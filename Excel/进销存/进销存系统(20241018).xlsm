
<file path=[Content_Types].xml><?xml version="1.0" encoding="utf-8"?>
<Types xmlns="http://schemas.openxmlformats.org/package/2006/content-types">
  <Default Extension="xml" ContentType="application/xml"/>
  <Default Extension="vml" ContentType="application/vnd.openxmlformats-officedocument.vmlDrawing"/>
  <Default Extension="wmf" ContentType="image/x-wmf"/>
  <Default Extension="png" ContentType="image/p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345" windowHeight="8175" tabRatio="882"/>
  </bookViews>
  <sheets>
    <sheet name="首页" sheetId="1" r:id="rId1"/>
    <sheet name="说明书" sheetId="2" r:id="rId2"/>
    <sheet name="加密" sheetId="3" state="veryHidden" r:id="rId3"/>
    <sheet name="入库" sheetId="4" state="veryHidden" r:id="rId4"/>
    <sheet name="入库单" sheetId="16" state="veryHidden" r:id="rId5"/>
    <sheet name="出库" sheetId="14" state="veryHidden" r:id="rId6"/>
    <sheet name="出库单" sheetId="17" state="veryHidden" r:id="rId7"/>
    <sheet name="期初数" sheetId="5" state="veryHidden" r:id="rId8"/>
    <sheet name="明细" sheetId="6" state="veryHidden" r:id="rId9"/>
    <sheet name="进销存" sheetId="7" state="veryHidden" r:id="rId10"/>
    <sheet name="客户|供应商查询" sheetId="8" state="veryHidden" r:id="rId11"/>
    <sheet name="商品进出查询" sheetId="15" state="veryHidden" r:id="rId12"/>
    <sheet name="基础资料" sheetId="9" state="veryHidden" r:id="rId13"/>
    <sheet name="客户资料" sheetId="10" state="veryHidden" r:id="rId14"/>
    <sheet name="供应商资料" sheetId="11" state="veryHidden" r:id="rId15"/>
    <sheet name="笔记" sheetId="12" state="veryHidden" r:id="rId16"/>
    <sheet name="用户管理" sheetId="13" state="veryHidden" r:id="rId17"/>
    <sheet name="二维码打印" sheetId="18" state="veryHidden" r:id="rId18"/>
  </sheets>
  <definedNames>
    <definedName name="_xlnm._FilterDatabase" localSheetId="8" hidden="1">明细!$D$4:$K$70</definedName>
    <definedName name="_xlnm.Print_Area" localSheetId="6">出库单!$C$4:$H$19</definedName>
    <definedName name="_xlnm.Print_Area" localSheetId="4">入库单!$C$4:$H$19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F4" authorId="0">
      <text>
        <r>
          <rPr>
            <sz val="9"/>
            <rFont val="宋体"/>
            <charset val="134"/>
          </rPr>
          <t>双击红角标位置查看信息</t>
        </r>
      </text>
    </comment>
  </commentList>
</comments>
</file>

<file path=xl/comments2.xml><?xml version="1.0" encoding="utf-8"?>
<comments xmlns="http://schemas.openxmlformats.org/spreadsheetml/2006/main">
  <authors>
    <author>Administrator</author>
  </authors>
  <commentList>
    <comment ref="F4" authorId="0">
      <text>
        <r>
          <rPr>
            <sz val="9"/>
            <rFont val="宋体"/>
            <charset val="134"/>
          </rPr>
          <t xml:space="preserve">双击红角标位置查看信息
</t>
        </r>
      </text>
    </comment>
  </commentList>
</comments>
</file>

<file path=xl/comments3.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G4" authorId="0">
      <text>
        <r>
          <rPr>
            <sz val="9"/>
            <rFont val="宋体"/>
            <charset val="134"/>
          </rPr>
          <t xml:space="preserve">双击红角标位置查看信息
</t>
        </r>
      </text>
    </comment>
    <comment ref="P4" authorId="0">
      <text>
        <r>
          <rPr>
            <sz val="12"/>
            <rFont val="宋体"/>
            <charset val="134"/>
          </rPr>
          <t>结存数量小于此列数值时标红提醒</t>
        </r>
      </text>
    </comment>
  </commentList>
</comments>
</file>

<file path=xl/comments5.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List>
</comments>
</file>

<file path=xl/sharedStrings.xml><?xml version="1.0" encoding="utf-8"?>
<sst xmlns="http://schemas.openxmlformats.org/spreadsheetml/2006/main" count="231" uniqueCount="104">
  <si>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</si>
  <si>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出入库</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</si>
  <si>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</si>
  <si>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</si>
  <si>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</si>
  <si>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</si>
  <si>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</si>
  <si>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</si>
  <si>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</si>
  <si>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</si>
  <si>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</si>
  <si>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</si>
  <si>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</si>
  <si>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</si>
  <si>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</si>
  <si>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</si>
  <si>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</si>
  <si>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</si>
  <si>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</si>
  <si>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</si>
  <si>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</si>
  <si>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</si>
  <si>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</si>
  <si>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北京登宏科技有限公司</t>
  </si>
  <si>
    <t>选中此处扫描商品二维码</t>
  </si>
  <si>
    <t>序号</t>
  </si>
  <si>
    <t>商品名称</t>
  </si>
  <si>
    <t>商品代码</t>
  </si>
  <si>
    <t>商品类别</t>
  </si>
  <si>
    <t>商品单位</t>
  </si>
  <si>
    <t>数量</t>
  </si>
  <si>
    <t>金额</t>
  </si>
  <si>
    <t>库存数量</t>
  </si>
  <si>
    <t>入库单</t>
  </si>
  <si>
    <t>订单号：</t>
  </si>
  <si>
    <t>CS001</t>
  </si>
  <si>
    <t>供应商：</t>
  </si>
  <si>
    <t>华为</t>
  </si>
  <si>
    <t>入库时间：</t>
  </si>
  <si>
    <t>单价</t>
  </si>
  <si>
    <t>无线耳机</t>
  </si>
  <si>
    <t>JTP0091测试</t>
  </si>
  <si>
    <t>外设1</t>
  </si>
  <si>
    <t>充电器</t>
  </si>
  <si>
    <t>CDQ0001</t>
  </si>
  <si>
    <t>电器</t>
  </si>
  <si>
    <t>笔记本N4</t>
  </si>
  <si>
    <t>BJB0032</t>
  </si>
  <si>
    <t>办公用品</t>
  </si>
  <si>
    <t>路由器</t>
  </si>
  <si>
    <t>测试商品1</t>
  </si>
  <si>
    <t>qe231</t>
  </si>
  <si>
    <t>undefined</t>
  </si>
  <si>
    <t>合计金额(大写):</t>
  </si>
  <si>
    <t>合计金额(小写):</t>
  </si>
  <si>
    <t>选中此处扫描订单二维码</t>
  </si>
  <si>
    <t>出库单</t>
  </si>
  <si>
    <t>cs002</t>
  </si>
  <si>
    <t>客户：</t>
  </si>
  <si>
    <t>长城</t>
  </si>
  <si>
    <t>出库时间：</t>
  </si>
  <si>
    <t>合计金额：218980</t>
  </si>
  <si>
    <t>id</t>
  </si>
  <si>
    <t>商品售价</t>
  </si>
  <si>
    <t>商品数量</t>
  </si>
  <si>
    <t>双击
勾选</t>
  </si>
  <si>
    <t>订单号</t>
  </si>
  <si>
    <t>价格</t>
  </si>
  <si>
    <t>明细类型</t>
  </si>
  <si>
    <t>时间</t>
  </si>
  <si>
    <t>公司名</t>
  </si>
  <si>
    <t>收/进货方</t>
  </si>
  <si>
    <t>期初</t>
  </si>
  <si>
    <t>入库</t>
  </si>
  <si>
    <t>出库</t>
  </si>
  <si>
    <t>结存</t>
  </si>
  <si>
    <t>边缘存量</t>
  </si>
  <si>
    <t>客户名称</t>
  </si>
  <si>
    <t>入库/出库数量</t>
  </si>
  <si>
    <t>入库/出库金额</t>
  </si>
  <si>
    <t>类别</t>
  </si>
  <si>
    <t>SB0028</t>
  </si>
  <si>
    <t>黑板</t>
  </si>
  <si>
    <t>教师用材</t>
  </si>
  <si>
    <t>XP0024</t>
  </si>
  <si>
    <t>DJ08111</t>
  </si>
  <si>
    <t>商品图片</t>
  </si>
  <si>
    <t>供应名称</t>
  </si>
  <si>
    <t>客户</t>
  </si>
  <si>
    <t>联系地址</t>
  </si>
  <si>
    <t>联系方式</t>
  </si>
  <si>
    <t>供应商</t>
  </si>
  <si>
    <t>备注</t>
  </si>
  <si>
    <t>用户名</t>
  </si>
  <si>
    <t>密码</t>
  </si>
  <si>
    <t>公司</t>
  </si>
  <si>
    <t>权限</t>
  </si>
  <si>
    <t>账号状态</t>
  </si>
  <si>
    <t>双击修改</t>
  </si>
  <si>
    <t>双击删除</t>
  </si>
  <si>
    <t xml:space="preserve"> 订单号：DD2021110302
 时间：2021/11/3 18:09:31</t>
  </si>
  <si>
    <t xml:space="preserve"> 订单号：CK20210817001
 时间：2021/8/17 16:33:23</t>
  </si>
  <si>
    <t xml:space="preserve"> 订单号：DD20210817001
 时间：2021/8/17 16:32:46</t>
  </si>
  <si>
    <t xml:space="preserve"> 订单号：DD20210817001
 时间：2021/8/17 16:31:34</t>
  </si>
</sst>
</file>

<file path=xl/styles.xml><?xml version="1.0" encoding="utf-8"?>
<styleSheet xmlns="http://schemas.openxmlformats.org/spreadsheetml/2006/main" xmlns:mc="http://schemas.openxmlformats.org/markup-compatibility/2006" xmlns:xr9="http://schemas.microsoft.com/office/spreadsheetml/2016/revision9" mc:Ignorable="xr9">
  <numFmts count="8">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m/d\ hh:mm:ss"/>
    <numFmt numFmtId="178" formatCode="[DBNum2][$RMB]General;[Red][DBNum2][$RMB]General"/>
    <numFmt numFmtId="179" formatCode="00"/>
  </numFmts>
  <fonts count="52">
    <font>
      <sz val="12"/>
      <name val="宋体"/>
      <charset val="134"/>
    </font>
    <font>
      <sz val="12"/>
      <name val="等线"/>
      <charset val="134"/>
    </font>
    <font>
      <sz val="10"/>
      <name val="等线"/>
      <charset val="134"/>
    </font>
    <font>
      <b/>
      <sz val="14"/>
      <color theme="0"/>
      <name val="等线"/>
      <charset val="134"/>
    </font>
    <font>
      <b/>
      <sz val="14"/>
      <name val="等线"/>
      <charset val="134"/>
    </font>
    <font>
      <sz val="14"/>
      <name val="微软雅黑"/>
      <charset val="134"/>
    </font>
    <font>
      <sz val="12"/>
      <color theme="1" tint="0.349986266670736"/>
      <name val="等线"/>
      <charset val="134"/>
    </font>
    <font>
      <b/>
      <sz val="10"/>
      <name val="等线"/>
      <charset val="134"/>
    </font>
    <font>
      <b/>
      <sz val="12"/>
      <name val="等线"/>
      <charset val="134"/>
    </font>
    <font>
      <b/>
      <sz val="14"/>
      <color theme="0"/>
      <name val="微软雅黑"/>
      <charset val="134"/>
    </font>
    <font>
      <sz val="20"/>
      <name val="微软雅黑"/>
      <charset val="134"/>
    </font>
    <font>
      <sz val="16"/>
      <name val="微软雅黑"/>
      <charset val="134"/>
    </font>
    <font>
      <sz val="11"/>
      <name val="等线"/>
      <charset val="134"/>
    </font>
    <font>
      <b/>
      <sz val="12"/>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70702230903"/>
      <name val="微软雅黑"/>
      <charset val="134"/>
    </font>
    <font>
      <sz val="9"/>
      <name val="宋体"/>
      <charset val="134"/>
    </font>
    <font>
      <sz val="12"/>
      <name val="宋体"/>
      <charset val="134"/>
    </font>
  </fonts>
  <fills count="41">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8">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left>
      <right/>
      <top style="thin">
        <color theme="0"/>
      </top>
      <bottom style="thin">
        <color theme="0"/>
      </bottom>
      <diagonal/>
    </border>
    <border>
      <left style="thin">
        <color theme="0" tint="-0.35"/>
      </left>
      <right style="thin">
        <color theme="0" tint="-0.35"/>
      </right>
      <top style="thin">
        <color theme="0" tint="-0.35"/>
      </top>
      <bottom style="thin">
        <color theme="0" tint="-0.35"/>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style="thin">
        <color theme="0" tint="-0.349986266670736"/>
      </right>
      <top/>
      <bottom/>
      <diagonal/>
    </border>
    <border>
      <left/>
      <right/>
      <top/>
      <bottom style="thin">
        <color theme="0" tint="-0.34998626667073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15" fillId="0" borderId="0" applyFont="0" applyFill="0" applyBorder="0" applyAlignment="0" applyProtection="0">
      <alignment vertical="center"/>
    </xf>
    <xf numFmtId="44" fontId="15" fillId="0" borderId="0" applyFont="0" applyFill="0" applyBorder="0" applyAlignment="0" applyProtection="0">
      <alignment vertical="center"/>
    </xf>
    <xf numFmtId="9" fontId="15" fillId="0" borderId="0" applyFont="0" applyFill="0" applyBorder="0" applyAlignment="0" applyProtection="0">
      <alignment vertical="center"/>
    </xf>
    <xf numFmtId="41" fontId="15" fillId="0" borderId="0" applyFont="0" applyFill="0" applyBorder="0" applyAlignment="0" applyProtection="0">
      <alignment vertical="center"/>
    </xf>
    <xf numFmtId="42" fontId="15" fillId="0" borderId="0" applyFon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15" fillId="11" borderId="10" applyNumberFormat="0" applyFont="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11" applyNumberFormat="0" applyFill="0" applyAlignment="0" applyProtection="0">
      <alignment vertical="center"/>
    </xf>
    <xf numFmtId="0" fontId="36" fillId="0" borderId="11" applyNumberFormat="0" applyFill="0" applyAlignment="0" applyProtection="0">
      <alignment vertical="center"/>
    </xf>
    <xf numFmtId="0" fontId="37" fillId="0" borderId="12" applyNumberFormat="0" applyFill="0" applyAlignment="0" applyProtection="0">
      <alignment vertical="center"/>
    </xf>
    <xf numFmtId="0" fontId="37" fillId="0" borderId="0" applyNumberFormat="0" applyFill="0" applyBorder="0" applyAlignment="0" applyProtection="0">
      <alignment vertical="center"/>
    </xf>
    <xf numFmtId="0" fontId="38" fillId="12" borderId="13" applyNumberFormat="0" applyAlignment="0" applyProtection="0">
      <alignment vertical="center"/>
    </xf>
    <xf numFmtId="0" fontId="39" fillId="13" borderId="14" applyNumberFormat="0" applyAlignment="0" applyProtection="0">
      <alignment vertical="center"/>
    </xf>
    <xf numFmtId="0" fontId="40" fillId="13" borderId="13" applyNumberFormat="0" applyAlignment="0" applyProtection="0">
      <alignment vertical="center"/>
    </xf>
    <xf numFmtId="0" fontId="41" fillId="14" borderId="15" applyNumberFormat="0" applyAlignment="0" applyProtection="0">
      <alignment vertical="center"/>
    </xf>
    <xf numFmtId="0" fontId="42" fillId="0" borderId="16" applyNumberFormat="0" applyFill="0" applyAlignment="0" applyProtection="0">
      <alignment vertical="center"/>
    </xf>
    <xf numFmtId="0" fontId="43" fillId="0" borderId="17" applyNumberFormat="0" applyFill="0" applyAlignment="0" applyProtection="0">
      <alignment vertical="center"/>
    </xf>
    <xf numFmtId="0" fontId="44" fillId="15" borderId="0" applyNumberFormat="0" applyBorder="0" applyAlignment="0" applyProtection="0">
      <alignment vertical="center"/>
    </xf>
    <xf numFmtId="0" fontId="45" fillId="16" borderId="0" applyNumberFormat="0" applyBorder="0" applyAlignment="0" applyProtection="0">
      <alignment vertical="center"/>
    </xf>
    <xf numFmtId="0" fontId="46" fillId="17" borderId="0" applyNumberFormat="0" applyBorder="0" applyAlignment="0" applyProtection="0">
      <alignment vertical="center"/>
    </xf>
    <xf numFmtId="0" fontId="47" fillId="18" borderId="0" applyNumberFormat="0" applyBorder="0" applyAlignment="0" applyProtection="0">
      <alignment vertical="center"/>
    </xf>
    <xf numFmtId="0" fontId="48" fillId="19" borderId="0" applyNumberFormat="0" applyBorder="0" applyAlignment="0" applyProtection="0">
      <alignment vertical="center"/>
    </xf>
    <xf numFmtId="0" fontId="48" fillId="3" borderId="0" applyNumberFormat="0" applyBorder="0" applyAlignment="0" applyProtection="0">
      <alignment vertical="center"/>
    </xf>
    <xf numFmtId="0" fontId="47" fillId="20" borderId="0" applyNumberFormat="0" applyBorder="0" applyAlignment="0" applyProtection="0">
      <alignment vertical="center"/>
    </xf>
    <xf numFmtId="0" fontId="47" fillId="21" borderId="0" applyNumberFormat="0" applyBorder="0" applyAlignment="0" applyProtection="0">
      <alignment vertical="center"/>
    </xf>
    <xf numFmtId="0" fontId="48" fillId="22" borderId="0" applyNumberFormat="0" applyBorder="0" applyAlignment="0" applyProtection="0">
      <alignment vertical="center"/>
    </xf>
    <xf numFmtId="0" fontId="48" fillId="23" borderId="0" applyNumberFormat="0" applyBorder="0" applyAlignment="0" applyProtection="0">
      <alignment vertical="center"/>
    </xf>
    <xf numFmtId="0" fontId="47" fillId="24" borderId="0" applyNumberFormat="0" applyBorder="0" applyAlignment="0" applyProtection="0">
      <alignment vertical="center"/>
    </xf>
    <xf numFmtId="0" fontId="47" fillId="25" borderId="0" applyNumberFormat="0" applyBorder="0" applyAlignment="0" applyProtection="0">
      <alignment vertical="center"/>
    </xf>
    <xf numFmtId="0" fontId="48" fillId="26" borderId="0" applyNumberFormat="0" applyBorder="0" applyAlignment="0" applyProtection="0">
      <alignment vertical="center"/>
    </xf>
    <xf numFmtId="0" fontId="48" fillId="27" borderId="0" applyNumberFormat="0" applyBorder="0" applyAlignment="0" applyProtection="0">
      <alignment vertical="center"/>
    </xf>
    <xf numFmtId="0" fontId="47" fillId="28" borderId="0" applyNumberFormat="0" applyBorder="0" applyAlignment="0" applyProtection="0">
      <alignment vertical="center"/>
    </xf>
    <xf numFmtId="0" fontId="47" fillId="29" borderId="0" applyNumberFormat="0" applyBorder="0" applyAlignment="0" applyProtection="0">
      <alignment vertical="center"/>
    </xf>
    <xf numFmtId="0" fontId="48" fillId="30" borderId="0" applyNumberFormat="0" applyBorder="0" applyAlignment="0" applyProtection="0">
      <alignment vertical="center"/>
    </xf>
    <xf numFmtId="0" fontId="48" fillId="31" borderId="0" applyNumberFormat="0" applyBorder="0" applyAlignment="0" applyProtection="0">
      <alignment vertical="center"/>
    </xf>
    <xf numFmtId="0" fontId="47" fillId="32" borderId="0" applyNumberFormat="0" applyBorder="0" applyAlignment="0" applyProtection="0">
      <alignment vertical="center"/>
    </xf>
    <xf numFmtId="0" fontId="47" fillId="33" borderId="0" applyNumberFormat="0" applyBorder="0" applyAlignment="0" applyProtection="0">
      <alignment vertical="center"/>
    </xf>
    <xf numFmtId="0" fontId="48" fillId="34" borderId="0" applyNumberFormat="0" applyBorder="0" applyAlignment="0" applyProtection="0">
      <alignment vertical="center"/>
    </xf>
    <xf numFmtId="0" fontId="48" fillId="35" borderId="0" applyNumberFormat="0" applyBorder="0" applyAlignment="0" applyProtection="0">
      <alignment vertical="center"/>
    </xf>
    <xf numFmtId="0" fontId="47" fillId="36" borderId="0" applyNumberFormat="0" applyBorder="0" applyAlignment="0" applyProtection="0">
      <alignment vertical="center"/>
    </xf>
    <xf numFmtId="0" fontId="47" fillId="37" borderId="0" applyNumberFormat="0" applyBorder="0" applyAlignment="0" applyProtection="0">
      <alignment vertical="center"/>
    </xf>
    <xf numFmtId="0" fontId="48" fillId="38" borderId="0" applyNumberFormat="0" applyBorder="0" applyAlignment="0" applyProtection="0">
      <alignment vertical="center"/>
    </xf>
    <xf numFmtId="0" fontId="48" fillId="39" borderId="0" applyNumberFormat="0" applyBorder="0" applyAlignment="0" applyProtection="0">
      <alignment vertical="center"/>
    </xf>
    <xf numFmtId="0" fontId="47" fillId="40" borderId="0" applyNumberFormat="0" applyBorder="0" applyAlignment="0" applyProtection="0">
      <alignment vertical="center"/>
    </xf>
  </cellStyleXfs>
  <cellXfs count="92">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0" borderId="1" xfId="0" applyFont="1" applyFill="1" applyBorder="1" applyAlignment="1">
      <alignment horizontal="left"/>
    </xf>
    <xf numFmtId="0" fontId="0" fillId="3" borderId="0" xfId="0" applyFill="1">
      <alignment vertical="center"/>
    </xf>
    <xf numFmtId="0" fontId="3" fillId="2" borderId="0" xfId="0" applyFont="1" applyFill="1" applyAlignment="1">
      <alignment horizontal="center" vertical="center"/>
    </xf>
    <xf numFmtId="0" fontId="2" fillId="2" borderId="0" xfId="0" applyFont="1" applyFill="1" applyAlignment="1">
      <alignment horizontal="center" vertical="center"/>
    </xf>
    <xf numFmtId="0" fontId="1" fillId="0" borderId="0" xfId="0" applyFont="1" applyFill="1" applyAlignment="1">
      <alignment horizontal="center" vertical="center"/>
    </xf>
    <xf numFmtId="0" fontId="2" fillId="0" borderId="0" xfId="0" applyFont="1" applyFill="1" applyAlignment="1">
      <alignment horizontal="left" wrapText="1"/>
    </xf>
    <xf numFmtId="0" fontId="2" fillId="0" borderId="1" xfId="0" applyFont="1" applyFill="1" applyBorder="1" applyAlignment="1">
      <alignment horizontal="left" wrapText="1"/>
    </xf>
    <xf numFmtId="0" fontId="2" fillId="4" borderId="2" xfId="0" applyFont="1" applyFill="1" applyBorder="1" applyAlignment="1">
      <alignment horizontal="center" vertical="center"/>
    </xf>
    <xf numFmtId="0" fontId="2" fillId="0" borderId="1" xfId="0" applyFont="1" applyFill="1" applyBorder="1" applyAlignment="1">
      <alignment horizontal="center" vertical="center"/>
    </xf>
    <xf numFmtId="0" fontId="4" fillId="0" borderId="0" xfId="0" applyFont="1" applyFill="1" applyAlignment="1">
      <alignment horizontal="center" vertical="center"/>
    </xf>
    <xf numFmtId="0" fontId="5" fillId="5" borderId="1" xfId="0" applyFont="1" applyFill="1" applyBorder="1" applyAlignment="1">
      <alignment horizontal="center" vertical="center"/>
    </xf>
    <xf numFmtId="0" fontId="6" fillId="2" borderId="0" xfId="0" applyFont="1" applyFill="1" applyAlignment="1">
      <alignment horizontal="center" vertical="center"/>
    </xf>
    <xf numFmtId="49" fontId="2" fillId="0" borderId="1" xfId="0" applyNumberFormat="1" applyFont="1" applyFill="1" applyBorder="1" applyAlignment="1">
      <alignment horizontal="center" vertical="center"/>
    </xf>
    <xf numFmtId="0" fontId="7" fillId="0" borderId="3" xfId="0" applyFont="1" applyFill="1" applyBorder="1" applyAlignment="1">
      <alignment horizontal="center" vertical="center"/>
    </xf>
    <xf numFmtId="0" fontId="1" fillId="0" borderId="0" xfId="0" applyFont="1" applyFill="1" applyAlignment="1">
      <alignment horizontal="center" vertical="center" wrapText="1"/>
    </xf>
    <xf numFmtId="0" fontId="8" fillId="0" borderId="3" xfId="0" applyFont="1" applyFill="1" applyBorder="1" applyAlignment="1">
      <alignment horizontal="center" vertical="center" wrapText="1"/>
    </xf>
    <xf numFmtId="0" fontId="5" fillId="5" borderId="1" xfId="0" applyFont="1" applyFill="1" applyBorder="1" applyAlignment="1">
      <alignment horizontal="center" vertical="center" wrapText="1"/>
    </xf>
    <xf numFmtId="0" fontId="2" fillId="0" borderId="1" xfId="0" applyFont="1" applyFill="1" applyBorder="1" applyAlignment="1">
      <alignment horizontal="center" vertical="center" wrapText="1"/>
    </xf>
    <xf numFmtId="176" fontId="2" fillId="0" borderId="1" xfId="0" applyNumberFormat="1" applyFont="1" applyFill="1" applyBorder="1" applyAlignment="1">
      <alignment horizontal="center" vertical="center"/>
    </xf>
    <xf numFmtId="0" fontId="5" fillId="5" borderId="4" xfId="0" applyFont="1" applyFill="1" applyBorder="1" applyAlignment="1">
      <alignment horizontal="center" vertical="center"/>
    </xf>
    <xf numFmtId="0" fontId="5" fillId="5" borderId="5" xfId="0" applyFont="1" applyFill="1" applyBorder="1" applyAlignment="1">
      <alignment horizontal="center" vertical="center"/>
    </xf>
    <xf numFmtId="0" fontId="5" fillId="5" borderId="6" xfId="0" applyFont="1" applyFill="1" applyBorder="1" applyAlignment="1">
      <alignment horizontal="center" vertical="center"/>
    </xf>
    <xf numFmtId="0" fontId="5" fillId="5" borderId="7"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1"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8" fillId="3" borderId="0" xfId="0"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5" fillId="5" borderId="1" xfId="0" applyNumberFormat="1" applyFont="1" applyFill="1" applyBorder="1" applyAlignment="1">
      <alignment horizontal="center" vertical="center"/>
    </xf>
    <xf numFmtId="49" fontId="5" fillId="5" borderId="6" xfId="0" applyNumberFormat="1" applyFont="1" applyFill="1" applyBorder="1" applyAlignment="1">
      <alignment horizontal="center" vertical="center"/>
    </xf>
    <xf numFmtId="177" fontId="2" fillId="0" borderId="1" xfId="0" applyNumberFormat="1" applyFont="1" applyFill="1" applyBorder="1" applyAlignment="1">
      <alignment horizontal="center" vertical="center"/>
    </xf>
    <xf numFmtId="0" fontId="5" fillId="5" borderId="8" xfId="0"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177" fontId="5" fillId="5" borderId="8" xfId="0" applyNumberFormat="1" applyFont="1" applyFill="1" applyBorder="1" applyAlignment="1">
      <alignment horizontal="center" vertical="center"/>
    </xf>
    <xf numFmtId="0" fontId="9" fillId="3" borderId="0" xfId="0" applyFont="1" applyFill="1" applyAlignment="1">
      <alignment horizontal="center" vertical="center"/>
    </xf>
    <xf numFmtId="0" fontId="2" fillId="6"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6" borderId="0" xfId="0" applyFont="1" applyFill="1" applyBorder="1" applyAlignment="1">
      <alignment horizontal="center" vertical="center"/>
    </xf>
    <xf numFmtId="0" fontId="10" fillId="6" borderId="0" xfId="0" applyFont="1" applyFill="1" applyBorder="1" applyAlignment="1">
      <alignment horizontal="center" vertical="center"/>
    </xf>
    <xf numFmtId="0" fontId="11" fillId="6" borderId="0" xfId="0" applyFont="1" applyFill="1" applyBorder="1" applyAlignment="1">
      <alignment horizontal="center" vertical="center"/>
    </xf>
    <xf numFmtId="0" fontId="12" fillId="6" borderId="0" xfId="0" applyFont="1" applyFill="1" applyBorder="1" applyAlignment="1">
      <alignment horizontal="center" vertical="center"/>
    </xf>
    <xf numFmtId="22" fontId="12" fillId="6" borderId="0" xfId="0" applyNumberFormat="1" applyFont="1" applyFill="1" applyBorder="1" applyAlignment="1">
      <alignment horizontal="center" vertical="center"/>
    </xf>
    <xf numFmtId="0" fontId="5" fillId="5" borderId="3" xfId="0" applyFont="1" applyFill="1" applyBorder="1" applyAlignment="1">
      <alignment horizontal="center" vertical="center"/>
    </xf>
    <xf numFmtId="0" fontId="2" fillId="6" borderId="3" xfId="0" applyFont="1" applyFill="1" applyBorder="1" applyAlignment="1">
      <alignment horizontal="center" vertical="center"/>
    </xf>
    <xf numFmtId="0" fontId="5" fillId="6" borderId="1" xfId="0" applyFont="1" applyFill="1" applyBorder="1" applyAlignment="1">
      <alignment horizontal="center" vertical="center"/>
    </xf>
    <xf numFmtId="178" fontId="5" fillId="6" borderId="1" xfId="0" applyNumberFormat="1" applyFont="1" applyFill="1" applyBorder="1" applyAlignment="1">
      <alignment horizontal="center" vertical="center"/>
    </xf>
    <xf numFmtId="0" fontId="2" fillId="6" borderId="1" xfId="0" applyFont="1" applyFill="1" applyBorder="1" applyAlignment="1">
      <alignment horizontal="center" vertical="center"/>
    </xf>
    <xf numFmtId="0" fontId="1" fillId="6" borderId="9" xfId="0" applyFont="1" applyFill="1" applyBorder="1" applyAlignment="1">
      <alignment horizontal="center" vertical="center"/>
    </xf>
    <xf numFmtId="0" fontId="13" fillId="3" borderId="0" xfId="0" applyFont="1" applyFill="1" applyAlignment="1">
      <alignment horizontal="center" vertical="center"/>
    </xf>
    <xf numFmtId="14" fontId="0" fillId="0" borderId="0" xfId="0" applyNumberFormat="1">
      <alignment vertical="center"/>
    </xf>
    <xf numFmtId="0" fontId="14" fillId="7" borderId="0" xfId="0" applyFont="1" applyFill="1" applyAlignment="1" applyProtection="1">
      <alignment horizontal="left" vertical="center"/>
    </xf>
    <xf numFmtId="0" fontId="15" fillId="8" borderId="0" xfId="0" applyFont="1" applyFill="1" applyAlignment="1" applyProtection="1">
      <alignment vertical="center"/>
    </xf>
    <xf numFmtId="0" fontId="16" fillId="8" borderId="0" xfId="0" applyFont="1" applyFill="1" applyAlignment="1" applyProtection="1">
      <alignment horizontal="left" vertical="center"/>
    </xf>
    <xf numFmtId="0" fontId="16" fillId="6" borderId="0" xfId="0" applyFont="1" applyFill="1" applyAlignment="1" applyProtection="1">
      <alignment horizontal="left" vertical="center"/>
    </xf>
    <xf numFmtId="49" fontId="17" fillId="6" borderId="0" xfId="0" applyNumberFormat="1" applyFont="1" applyFill="1" applyAlignment="1" applyProtection="1">
      <alignment horizontal="right" vertical="center"/>
    </xf>
    <xf numFmtId="0" fontId="18" fillId="6" borderId="0" xfId="0" applyFont="1" applyFill="1" applyAlignment="1" applyProtection="1">
      <alignment horizontal="left" vertical="center"/>
    </xf>
    <xf numFmtId="0" fontId="19" fillId="7" borderId="0" xfId="0" applyFont="1" applyFill="1" applyAlignment="1" applyProtection="1">
      <alignment horizontal="center" vertical="center"/>
    </xf>
    <xf numFmtId="49" fontId="20" fillId="7" borderId="0" xfId="0" applyNumberFormat="1" applyFont="1" applyFill="1" applyAlignment="1" applyProtection="1">
      <alignment horizontal="left" vertical="center"/>
    </xf>
    <xf numFmtId="49" fontId="21" fillId="8" borderId="0" xfId="0" applyNumberFormat="1" applyFont="1" applyFill="1" applyAlignment="1" applyProtection="1">
      <alignment horizontal="right" vertical="center"/>
    </xf>
    <xf numFmtId="49" fontId="21" fillId="6" borderId="0" xfId="0" applyNumberFormat="1" applyFont="1" applyFill="1" applyAlignment="1" applyProtection="1">
      <alignment horizontal="center" vertical="center"/>
    </xf>
    <xf numFmtId="49" fontId="22" fillId="9" borderId="0" xfId="0" applyNumberFormat="1" applyFont="1" applyFill="1" applyAlignment="1" applyProtection="1">
      <alignment horizontal="center" vertical="center" wrapText="1"/>
    </xf>
    <xf numFmtId="0" fontId="23" fillId="9" borderId="0" xfId="0" applyFont="1" applyFill="1" applyAlignment="1" applyProtection="1">
      <alignment horizontal="center" vertical="center" wrapText="1"/>
    </xf>
    <xf numFmtId="179" fontId="24" fillId="9" borderId="0" xfId="0" applyNumberFormat="1" applyFont="1" applyFill="1" applyAlignment="1" applyProtection="1">
      <alignment horizontal="right" vertical="center" indent="1"/>
    </xf>
    <xf numFmtId="0" fontId="25" fillId="9" borderId="0" xfId="0" applyFont="1" applyFill="1" applyAlignment="1" applyProtection="1">
      <alignment horizontal="center" vertical="center" wrapText="1"/>
    </xf>
    <xf numFmtId="49" fontId="23" fillId="9" borderId="0" xfId="0" applyNumberFormat="1" applyFont="1" applyFill="1" applyAlignment="1" applyProtection="1">
      <alignment horizontal="center" vertical="center" wrapText="1"/>
    </xf>
    <xf numFmtId="0" fontId="25" fillId="9" borderId="0" xfId="0" applyFont="1" applyFill="1" applyAlignment="1" applyProtection="1">
      <alignment vertical="center" wrapText="1"/>
    </xf>
    <xf numFmtId="49" fontId="17" fillId="10" borderId="0" xfId="0" applyNumberFormat="1" applyFont="1" applyFill="1" applyAlignment="1" applyProtection="1">
      <alignment horizontal="center" vertical="center" wrapText="1"/>
    </xf>
    <xf numFmtId="0" fontId="26" fillId="10" borderId="0" xfId="0" applyFont="1" applyFill="1" applyAlignment="1" applyProtection="1">
      <alignment horizontal="center" vertical="center" wrapText="1"/>
    </xf>
    <xf numFmtId="0" fontId="18" fillId="10" borderId="0" xfId="0" applyFont="1" applyFill="1" applyAlignment="1" applyProtection="1">
      <alignment horizontal="left" vertical="center"/>
    </xf>
    <xf numFmtId="49" fontId="14" fillId="7" borderId="0" xfId="0" applyNumberFormat="1" applyFont="1" applyFill="1" applyAlignment="1" applyProtection="1">
      <alignment horizontal="left" vertical="center"/>
    </xf>
    <xf numFmtId="0" fontId="27" fillId="3" borderId="0" xfId="0" applyFont="1" applyFill="1" applyAlignment="1">
      <alignment vertical="center"/>
    </xf>
    <xf numFmtId="0" fontId="28" fillId="3" borderId="0" xfId="0" applyFont="1" applyFill="1" applyAlignment="1">
      <alignment vertical="center"/>
    </xf>
    <xf numFmtId="0" fontId="29" fillId="3" borderId="0" xfId="0" applyFont="1" applyFill="1" applyAlignment="1">
      <alignment vertical="center"/>
    </xf>
    <xf numFmtId="0" fontId="29" fillId="3" borderId="0" xfId="0" applyFont="1" applyFill="1" applyBorder="1" applyAlignment="1">
      <alignment vertical="center"/>
    </xf>
    <xf numFmtId="0" fontId="5" fillId="3" borderId="0" xfId="0" applyFont="1" applyFill="1" applyAlignment="1">
      <alignment vertical="center"/>
    </xf>
    <xf numFmtId="0" fontId="5" fillId="3" borderId="0" xfId="0" applyFont="1" applyFill="1" applyBorder="1" applyAlignment="1">
      <alignment vertical="center"/>
    </xf>
    <xf numFmtId="0" fontId="27" fillId="3"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3" Type="http://schemas.openxmlformats.org/officeDocument/2006/relationships/styles" Target="styles.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theme" Target="theme/theme1.xml"/><Relationship Id="rId2" Type="http://schemas.openxmlformats.org/officeDocument/2006/relationships/worksheet" Target="worksheets/sheet2.xml"/><Relationship Id="rId19" Type="http://schemas.openxmlformats.org/officeDocument/2006/relationships/customXml" Target="../customXml/item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11</xdr:col>
      <xdr:colOff>10795</xdr:colOff>
      <xdr:row>13</xdr:row>
      <xdr:rowOff>11430</xdr:rowOff>
    </xdr:from>
    <xdr:to>
      <xdr:col>16</xdr:col>
      <xdr:colOff>259080</xdr:colOff>
      <xdr:row>16</xdr:row>
      <xdr:rowOff>161290</xdr:rowOff>
    </xdr:to>
    <xdr:sp macro="[0]!asht10">
      <xdr:nvSpPr>
        <xdr:cNvPr id="27" name="圆角矩形 14"/>
        <xdr:cNvSpPr/>
      </xdr:nvSpPr>
      <xdr:spPr>
        <a:xfrm>
          <a:off x="3049270" y="283464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18</xdr:col>
      <xdr:colOff>52070</xdr:colOff>
      <xdr:row>13</xdr:row>
      <xdr:rowOff>11430</xdr:rowOff>
    </xdr:from>
    <xdr:to>
      <xdr:col>24</xdr:col>
      <xdr:colOff>24130</xdr:colOff>
      <xdr:row>16</xdr:row>
      <xdr:rowOff>168910</xdr:rowOff>
    </xdr:to>
    <xdr:sp macro="[0]!asht11">
      <xdr:nvSpPr>
        <xdr:cNvPr id="28" name="圆角矩形 16"/>
        <xdr:cNvSpPr/>
      </xdr:nvSpPr>
      <xdr:spPr>
        <a:xfrm>
          <a:off x="5024120" y="2834640"/>
          <a:ext cx="1629410" cy="80899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18</xdr:col>
      <xdr:colOff>52070</xdr:colOff>
      <xdr:row>8</xdr:row>
      <xdr:rowOff>120015</xdr:rowOff>
    </xdr:from>
    <xdr:to>
      <xdr:col>24</xdr:col>
      <xdr:colOff>24130</xdr:colOff>
      <xdr:row>12</xdr:row>
      <xdr:rowOff>52705</xdr:rowOff>
    </xdr:to>
    <xdr:sp macro="[0]!asht8">
      <xdr:nvSpPr>
        <xdr:cNvPr id="29" name="圆角矩形 4"/>
        <xdr:cNvSpPr/>
      </xdr:nvSpPr>
      <xdr:spPr>
        <a:xfrm>
          <a:off x="5024120" y="1857375"/>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a:t>
          </a:r>
          <a:r>
            <a:rPr lang="en-US" altLang="zh-CN" sz="1600" b="1">
              <a:latin typeface="微软雅黑" panose="020B0503020204020204" charset="-122"/>
              <a:ea typeface="微软雅黑" panose="020B0503020204020204" charset="-122"/>
            </a:rPr>
            <a:t>/</a:t>
          </a:r>
          <a:r>
            <a:rPr lang="zh-CN" altLang="en-US" sz="1600" b="1">
              <a:latin typeface="微软雅黑" panose="020B0503020204020204" charset="-122"/>
              <a:ea typeface="微软雅黑" panose="020B0503020204020204" charset="-122"/>
            </a:rPr>
            <a:t>供应商</a:t>
          </a:r>
          <a:endParaRPr lang="zh-CN" altLang="en-US" sz="1600" b="1">
            <a:latin typeface="微软雅黑" panose="020B0503020204020204" charset="-122"/>
            <a:ea typeface="微软雅黑" panose="020B0503020204020204" charset="-122"/>
          </a:endParaRPr>
        </a:p>
        <a:p>
          <a:pPr algn="ctr"/>
          <a:r>
            <a:rPr lang="zh-CN" altLang="en-US" sz="1600" b="1">
              <a:latin typeface="微软雅黑" panose="020B0503020204020204" charset="-122"/>
              <a:ea typeface="微软雅黑" panose="020B0503020204020204" charset="-122"/>
            </a:rPr>
            <a:t>查询</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135255</xdr:colOff>
      <xdr:row>8</xdr:row>
      <xdr:rowOff>120015</xdr:rowOff>
    </xdr:from>
    <xdr:to>
      <xdr:col>38</xdr:col>
      <xdr:colOff>107315</xdr:colOff>
      <xdr:row>12</xdr:row>
      <xdr:rowOff>52705</xdr:rowOff>
    </xdr:to>
    <xdr:sp macro="[0]!asht9">
      <xdr:nvSpPr>
        <xdr:cNvPr id="30" name="圆角矩形 8"/>
        <xdr:cNvSpPr/>
      </xdr:nvSpPr>
      <xdr:spPr>
        <a:xfrm>
          <a:off x="8974455" y="1857375"/>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10795</xdr:colOff>
      <xdr:row>4</xdr:row>
      <xdr:rowOff>19050</xdr:rowOff>
    </xdr:from>
    <xdr:to>
      <xdr:col>16</xdr:col>
      <xdr:colOff>259080</xdr:colOff>
      <xdr:row>7</xdr:row>
      <xdr:rowOff>140970</xdr:rowOff>
    </xdr:to>
    <xdr:sp macro="[0]!asht4">
      <xdr:nvSpPr>
        <xdr:cNvPr id="33" name="圆角矩形 3"/>
        <xdr:cNvSpPr/>
      </xdr:nvSpPr>
      <xdr:spPr>
        <a:xfrm>
          <a:off x="30492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93345</xdr:colOff>
      <xdr:row>4</xdr:row>
      <xdr:rowOff>19050</xdr:rowOff>
    </xdr:from>
    <xdr:to>
      <xdr:col>31</xdr:col>
      <xdr:colOff>65405</xdr:colOff>
      <xdr:row>7</xdr:row>
      <xdr:rowOff>140970</xdr:rowOff>
    </xdr:to>
    <xdr:sp macro="[0]!asht5">
      <xdr:nvSpPr>
        <xdr:cNvPr id="34" name="圆角矩形 7"/>
        <xdr:cNvSpPr/>
      </xdr:nvSpPr>
      <xdr:spPr>
        <a:xfrm>
          <a:off x="69989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134620</xdr:colOff>
      <xdr:row>4</xdr:row>
      <xdr:rowOff>19050</xdr:rowOff>
    </xdr:from>
    <xdr:to>
      <xdr:col>38</xdr:col>
      <xdr:colOff>107315</xdr:colOff>
      <xdr:row>7</xdr:row>
      <xdr:rowOff>140970</xdr:rowOff>
    </xdr:to>
    <xdr:sp macro="[0]!asht6">
      <xdr:nvSpPr>
        <xdr:cNvPr id="35" name="圆角矩形 13"/>
        <xdr:cNvSpPr/>
      </xdr:nvSpPr>
      <xdr:spPr>
        <a:xfrm>
          <a:off x="8973820" y="887730"/>
          <a:ext cx="1630045"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8</xdr:row>
      <xdr:rowOff>120015</xdr:rowOff>
    </xdr:from>
    <xdr:to>
      <xdr:col>16</xdr:col>
      <xdr:colOff>259080</xdr:colOff>
      <xdr:row>12</xdr:row>
      <xdr:rowOff>32385</xdr:rowOff>
    </xdr:to>
    <xdr:sp macro="[0]!asht7">
      <xdr:nvSpPr>
        <xdr:cNvPr id="36" name="圆角矩形 15"/>
        <xdr:cNvSpPr/>
      </xdr:nvSpPr>
      <xdr:spPr>
        <a:xfrm>
          <a:off x="3049270" y="1857375"/>
          <a:ext cx="1629410" cy="78105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25</xdr:col>
      <xdr:colOff>93345</xdr:colOff>
      <xdr:row>13</xdr:row>
      <xdr:rowOff>11430</xdr:rowOff>
    </xdr:from>
    <xdr:to>
      <xdr:col>31</xdr:col>
      <xdr:colOff>65405</xdr:colOff>
      <xdr:row>16</xdr:row>
      <xdr:rowOff>161290</xdr:rowOff>
    </xdr:to>
    <xdr:sp macro="[0]!asht12">
      <xdr:nvSpPr>
        <xdr:cNvPr id="5" name="圆角矩形 4"/>
        <xdr:cNvSpPr/>
      </xdr:nvSpPr>
      <xdr:spPr>
        <a:xfrm>
          <a:off x="6998970" y="283464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134620</xdr:colOff>
      <xdr:row>13</xdr:row>
      <xdr:rowOff>11430</xdr:rowOff>
    </xdr:from>
    <xdr:to>
      <xdr:col>38</xdr:col>
      <xdr:colOff>106680</xdr:colOff>
      <xdr:row>16</xdr:row>
      <xdr:rowOff>161290</xdr:rowOff>
    </xdr:to>
    <xdr:sp macro="[0]!asht13">
      <xdr:nvSpPr>
        <xdr:cNvPr id="6" name="圆角矩形 8"/>
        <xdr:cNvSpPr/>
      </xdr:nvSpPr>
      <xdr:spPr>
        <a:xfrm>
          <a:off x="8973820" y="283464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20</xdr:col>
      <xdr:colOff>106045</xdr:colOff>
      <xdr:row>20</xdr:row>
      <xdr:rowOff>172085</xdr:rowOff>
    </xdr:from>
    <xdr:to>
      <xdr:col>25</xdr:col>
      <xdr:colOff>180975</xdr:colOff>
      <xdr:row>22</xdr:row>
      <xdr:rowOff>189865</xdr:rowOff>
    </xdr:to>
    <xdr:sp macro="[0]!denglu_show">
      <xdr:nvSpPr>
        <xdr:cNvPr id="3" name="圆角矩形 24"/>
        <xdr:cNvSpPr/>
      </xdr:nvSpPr>
      <xdr:spPr>
        <a:xfrm>
          <a:off x="56305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27</xdr:col>
      <xdr:colOff>97790</xdr:colOff>
      <xdr:row>20</xdr:row>
      <xdr:rowOff>172085</xdr:rowOff>
    </xdr:from>
    <xdr:to>
      <xdr:col>32</xdr:col>
      <xdr:colOff>173355</xdr:colOff>
      <xdr:row>22</xdr:row>
      <xdr:rowOff>189865</xdr:rowOff>
    </xdr:to>
    <xdr:sp macro="[0]!xiugaimima_show">
      <xdr:nvSpPr>
        <xdr:cNvPr id="4" name="圆角矩形 24"/>
        <xdr:cNvSpPr/>
      </xdr:nvSpPr>
      <xdr:spPr>
        <a:xfrm>
          <a:off x="75558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52070</xdr:colOff>
      <xdr:row>4</xdr:row>
      <xdr:rowOff>19050</xdr:rowOff>
    </xdr:from>
    <xdr:to>
      <xdr:col>24</xdr:col>
      <xdr:colOff>24130</xdr:colOff>
      <xdr:row>7</xdr:row>
      <xdr:rowOff>140970</xdr:rowOff>
    </xdr:to>
    <xdr:sp macro="[0]!asht14">
      <xdr:nvSpPr>
        <xdr:cNvPr id="23" name="圆角矩形 3"/>
        <xdr:cNvSpPr/>
      </xdr:nvSpPr>
      <xdr:spPr>
        <a:xfrm>
          <a:off x="502412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17</xdr:row>
      <xdr:rowOff>147955</xdr:rowOff>
    </xdr:from>
    <xdr:to>
      <xdr:col>16</xdr:col>
      <xdr:colOff>259080</xdr:colOff>
      <xdr:row>21</xdr:row>
      <xdr:rowOff>73025</xdr:rowOff>
    </xdr:to>
    <xdr:sp macro="[0]!asht18">
      <xdr:nvSpPr>
        <xdr:cNvPr id="2" name="圆角矩形 8"/>
        <xdr:cNvSpPr/>
      </xdr:nvSpPr>
      <xdr:spPr>
        <a:xfrm>
          <a:off x="3049270" y="3839845"/>
          <a:ext cx="1629410" cy="79375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二维码打印</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93345</xdr:colOff>
      <xdr:row>8</xdr:row>
      <xdr:rowOff>120015</xdr:rowOff>
    </xdr:from>
    <xdr:to>
      <xdr:col>31</xdr:col>
      <xdr:colOff>65405</xdr:colOff>
      <xdr:row>12</xdr:row>
      <xdr:rowOff>52705</xdr:rowOff>
    </xdr:to>
    <xdr:sp macro="[0]!asht15">
      <xdr:nvSpPr>
        <xdr:cNvPr id="7" name="圆角矩形 6"/>
        <xdr:cNvSpPr/>
      </xdr:nvSpPr>
      <xdr:spPr>
        <a:xfrm>
          <a:off x="6998970" y="1857375"/>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商品进出查询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142240</xdr:colOff>
      <xdr:row>0</xdr:row>
      <xdr:rowOff>187960</xdr:rowOff>
    </xdr:from>
    <xdr:to>
      <xdr:col>38</xdr:col>
      <xdr:colOff>198120</xdr:colOff>
      <xdr:row>3</xdr:row>
      <xdr:rowOff>2540</xdr:rowOff>
    </xdr:to>
    <xdr:sp>
      <xdr:nvSpPr>
        <xdr:cNvPr id="8" name="矩形 65"/>
        <xdr:cNvSpPr/>
      </xdr:nvSpPr>
      <xdr:spPr>
        <a:xfrm>
          <a:off x="8981440" y="187960"/>
          <a:ext cx="1713230" cy="46609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rPr>
            <a:t>版本号：</a:t>
          </a:r>
          <a:r>
            <a:rPr lang="en-US" altLang="zh-CN" sz="1400">
              <a:solidFill>
                <a:schemeClr val="tx1">
                  <a:lumMod val="75000"/>
                  <a:lumOff val="25000"/>
                </a:schemeClr>
              </a:solidFill>
              <a:latin typeface="微软雅黑" panose="020B0503020204020204" charset="-122"/>
              <a:ea typeface="微软雅黑" panose="020B0503020204020204" charset="-122"/>
            </a:rPr>
            <a:t>5.1.0.1</a:t>
          </a:r>
          <a:endParaRPr lang="en-US" altLang="zh-CN" sz="14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ruku">
      <xdr:nvSpPr>
        <xdr:cNvPr id="10" name="圆角矩形 9"/>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04_show">
      <xdr:nvSpPr>
        <xdr:cNvPr id="5" name="圆角矩形 4"/>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6"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11" name="3"/>
        <xdr:cNvSpPr/>
      </xdr:nvSpPr>
      <xdr:spPr>
        <a:xfrm>
          <a:off x="288480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2"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3"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4"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5"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6"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7"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8"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20"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21"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22" name="文本框 21"/>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23"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4"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5"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6"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7"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chuku">
      <xdr:nvSpPr>
        <xdr:cNvPr id="23" name="圆角矩形 2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14_show">
      <xdr:nvSpPr>
        <xdr:cNvPr id="2" name="圆角矩形 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28" name="5"/>
        <xdr:cNvSpPr/>
      </xdr:nvSpPr>
      <xdr:spPr>
        <a:xfrm>
          <a:off x="459422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3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3</xdr:col>
      <xdr:colOff>1028700</xdr:colOff>
      <xdr:row>1</xdr:row>
      <xdr:rowOff>441325</xdr:rowOff>
    </xdr:to>
    <xdr:sp macro="[0]!select05">
      <xdr:nvSpPr>
        <xdr:cNvPr id="35" name="圆角矩形 34"/>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twoCellAnchor editAs="absolute">
    <xdr:from>
      <xdr:col>6</xdr:col>
      <xdr:colOff>381000</xdr:colOff>
      <xdr:row>1</xdr:row>
      <xdr:rowOff>50800</xdr:rowOff>
    </xdr:from>
    <xdr:to>
      <xdr:col>7</xdr:col>
      <xdr:colOff>161925</xdr:colOff>
      <xdr:row>1</xdr:row>
      <xdr:rowOff>441325</xdr:rowOff>
    </xdr:to>
    <xdr:sp macro="[0]!query_05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474980</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7" name="7"/>
        <xdr:cNvSpPr/>
      </xdr:nvSpPr>
      <xdr:spPr>
        <a:xfrm>
          <a:off x="630364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12</xdr:col>
      <xdr:colOff>670560</xdr:colOff>
      <xdr:row>0</xdr:row>
      <xdr:rowOff>557530</xdr:rowOff>
    </xdr:to>
    <xdr:sp macro="[0]!asht15">
      <xdr:nvSpPr>
        <xdr:cNvPr id="31"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24130</xdr:colOff>
      <xdr:row>0</xdr:row>
      <xdr:rowOff>203200</xdr:rowOff>
    </xdr:from>
    <xdr:to>
      <xdr:col>14</xdr:col>
      <xdr:colOff>156210</xdr:colOff>
      <xdr:row>0</xdr:row>
      <xdr:rowOff>557530</xdr:rowOff>
    </xdr:to>
    <xdr:sp macro="[0]!asht9">
      <xdr:nvSpPr>
        <xdr:cNvPr id="32"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3" name="文本框 32"/>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195580</xdr:colOff>
      <xdr:row>0</xdr:row>
      <xdr:rowOff>203200</xdr:rowOff>
    </xdr:from>
    <xdr:to>
      <xdr:col>15</xdr:col>
      <xdr:colOff>327660</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367030</xdr:colOff>
      <xdr:row>0</xdr:row>
      <xdr:rowOff>203200</xdr:rowOff>
    </xdr:from>
    <xdr:to>
      <xdr:col>16</xdr:col>
      <xdr:colOff>499110</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538480</xdr:colOff>
      <xdr:row>0</xdr:row>
      <xdr:rowOff>203200</xdr:rowOff>
    </xdr:from>
    <xdr:to>
      <xdr:col>17</xdr:col>
      <xdr:colOff>670560</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24130</xdr:colOff>
      <xdr:row>0</xdr:row>
      <xdr:rowOff>203200</xdr:rowOff>
    </xdr:from>
    <xdr:to>
      <xdr:col>19</xdr:col>
      <xdr:colOff>156210</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195580</xdr:colOff>
      <xdr:row>0</xdr:row>
      <xdr:rowOff>203200</xdr:rowOff>
    </xdr:from>
    <xdr:to>
      <xdr:col>20</xdr:col>
      <xdr:colOff>327660</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1245235</xdr:colOff>
      <xdr:row>1</xdr:row>
      <xdr:rowOff>50800</xdr:rowOff>
    </xdr:from>
    <xdr:to>
      <xdr:col>4</xdr:col>
      <xdr:colOff>1026160</xdr:colOff>
      <xdr:row>1</xdr:row>
      <xdr:rowOff>441325</xdr:rowOff>
    </xdr:to>
    <xdr:sp macro="[0]!PLSC_id">
      <xdr:nvSpPr>
        <xdr:cNvPr id="22" name="圆角矩形 21"/>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90170</xdr:colOff>
      <xdr:row>1</xdr:row>
      <xdr:rowOff>50800</xdr:rowOff>
    </xdr:from>
    <xdr:to>
      <xdr:col>5</xdr:col>
      <xdr:colOff>1156970</xdr:colOff>
      <xdr:row>1</xdr:row>
      <xdr:rowOff>441325</xdr:rowOff>
    </xdr:to>
    <xdr:sp macro="[0]!select06_query">
      <xdr:nvSpPr>
        <xdr:cNvPr id="23" name="圆角矩形 22"/>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220980</xdr:colOff>
      <xdr:row>1</xdr:row>
      <xdr:rowOff>50800</xdr:rowOff>
    </xdr:from>
    <xdr:to>
      <xdr:col>7</xdr:col>
      <xdr:colOff>1905</xdr:colOff>
      <xdr:row>1</xdr:row>
      <xdr:rowOff>441325</xdr:rowOff>
    </xdr:to>
    <xdr:sp macro="[0]!save06">
      <xdr:nvSpPr>
        <xdr:cNvPr id="24" name="圆角矩形 23"/>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351790</xdr:colOff>
      <xdr:row>1</xdr:row>
      <xdr:rowOff>50800</xdr:rowOff>
    </xdr:from>
    <xdr:to>
      <xdr:col>8</xdr:col>
      <xdr:colOff>132715</xdr:colOff>
      <xdr:row>1</xdr:row>
      <xdr:rowOff>441325</xdr:rowOff>
    </xdr:to>
    <xdr:sp macro="[0]!baocun_show">
      <xdr:nvSpPr>
        <xdr:cNvPr id="25" name="圆角矩形 24"/>
        <xdr:cNvSpPr/>
      </xdr:nvSpPr>
      <xdr:spPr>
        <a:xfrm>
          <a:off x="627634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15</xdr:col>
      <xdr:colOff>646430</xdr:colOff>
      <xdr:row>0</xdr:row>
      <xdr:rowOff>624205</xdr:rowOff>
    </xdr:to>
    <xdr:sp>
      <xdr:nvSpPr>
        <xdr:cNvPr id="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33" name="8"/>
        <xdr:cNvSpPr/>
      </xdr:nvSpPr>
      <xdr:spPr>
        <a:xfrm>
          <a:off x="71583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12</xdr:col>
      <xdr:colOff>756285</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795655</xdr:colOff>
      <xdr:row>0</xdr:row>
      <xdr:rowOff>203200</xdr:rowOff>
    </xdr:from>
    <xdr:to>
      <xdr:col>13</xdr:col>
      <xdr:colOff>327660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13</xdr:col>
      <xdr:colOff>1184910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1224280</xdr:colOff>
      <xdr:row>0</xdr:row>
      <xdr:rowOff>203200</xdr:rowOff>
    </xdr:from>
    <xdr:to>
      <xdr:col>15</xdr:col>
      <xdr:colOff>499110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542925</xdr:colOff>
      <xdr:row>1</xdr:row>
      <xdr:rowOff>50800</xdr:rowOff>
    </xdr:from>
    <xdr:to>
      <xdr:col>9</xdr:col>
      <xdr:colOff>466090</xdr:colOff>
      <xdr:row>1</xdr:row>
      <xdr:rowOff>441325</xdr:rowOff>
    </xdr:to>
    <xdr:sp macro="[0]!qrcode06">
      <xdr:nvSpPr>
        <xdr:cNvPr id="3" name="圆角矩形 2"/>
        <xdr:cNvSpPr/>
      </xdr:nvSpPr>
      <xdr:spPr>
        <a:xfrm>
          <a:off x="7753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923925</xdr:colOff>
      <xdr:row>1</xdr:row>
      <xdr:rowOff>50800</xdr:rowOff>
    </xdr:from>
    <xdr:to>
      <xdr:col>10</xdr:col>
      <xdr:colOff>847090</xdr:colOff>
      <xdr:row>1</xdr:row>
      <xdr:rowOff>441325</xdr:rowOff>
    </xdr:to>
    <xdr:sp macro="[0]!barcode06">
      <xdr:nvSpPr>
        <xdr:cNvPr id="4" name="圆角矩形 3"/>
        <xdr:cNvSpPr/>
      </xdr:nvSpPr>
      <xdr:spPr>
        <a:xfrm>
          <a:off x="94202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95250</xdr:colOff>
      <xdr:row>1</xdr:row>
      <xdr:rowOff>50800</xdr:rowOff>
    </xdr:from>
    <xdr:to>
      <xdr:col>4</xdr:col>
      <xdr:colOff>1162050</xdr:colOff>
      <xdr:row>1</xdr:row>
      <xdr:rowOff>441325</xdr:rowOff>
    </xdr:to>
    <xdr:sp macro="[0]!select07_query">
      <xdr:nvSpPr>
        <xdr:cNvPr id="21" name="圆角矩形 20"/>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190500</xdr:colOff>
      <xdr:row>1</xdr:row>
      <xdr:rowOff>50800</xdr:rowOff>
    </xdr:from>
    <xdr:to>
      <xdr:col>5</xdr:col>
      <xdr:colOff>1257300</xdr:colOff>
      <xdr:row>1</xdr:row>
      <xdr:rowOff>441325</xdr:rowOff>
    </xdr:to>
    <xdr:sp macro="[0]!baocun_show">
      <xdr:nvSpPr>
        <xdr:cNvPr id="22" name="圆角矩形 2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14</xdr:col>
      <xdr:colOff>1075055</xdr:colOff>
      <xdr:row>0</xdr:row>
      <xdr:rowOff>624205</xdr:rowOff>
    </xdr:to>
    <xdr:sp>
      <xdr:nvSpPr>
        <xdr:cNvPr id="2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2" name="9"/>
        <xdr:cNvSpPr/>
      </xdr:nvSpPr>
      <xdr:spPr>
        <a:xfrm>
          <a:off x="801306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14</xdr:col>
      <xdr:colOff>927735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kehu_query">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21" name="圆角矩形 20"/>
        <xdr:cNvSpPr/>
      </xdr:nvSpPr>
      <xdr:spPr>
        <a:xfrm>
          <a:off x="18954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389255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10</xdr:col>
      <xdr:colOff>247015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286385</xdr:colOff>
      <xdr:row>0</xdr:row>
      <xdr:rowOff>203200</xdr:rowOff>
    </xdr:from>
    <xdr:to>
      <xdr:col>11</xdr:col>
      <xdr:colOff>415925</xdr:colOff>
      <xdr:row>0</xdr:row>
      <xdr:rowOff>557530</xdr:rowOff>
    </xdr:to>
    <xdr:sp macro="[0]!asht8">
      <xdr:nvSpPr>
        <xdr:cNvPr id="32" name="10"/>
        <xdr:cNvSpPr/>
      </xdr:nvSpPr>
      <xdr:spPr>
        <a:xfrm>
          <a:off x="886841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455295</xdr:colOff>
      <xdr:row>0</xdr:row>
      <xdr:rowOff>203200</xdr:rowOff>
    </xdr:from>
    <xdr:to>
      <xdr:col>12</xdr:col>
      <xdr:colOff>584835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624205</xdr:colOff>
      <xdr:row>0</xdr:row>
      <xdr:rowOff>203200</xdr:rowOff>
    </xdr:from>
    <xdr:to>
      <xdr:col>14</xdr:col>
      <xdr:colOff>70485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a:t>
          </a:r>
          <a:r>
            <a:rPr lang="en-US" altLang="zh-CN"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a:t>
          </a: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109855</xdr:colOff>
      <xdr:row>0</xdr:row>
      <xdr:rowOff>203200</xdr:rowOff>
    </xdr:from>
    <xdr:to>
      <xdr:col>15</xdr:col>
      <xdr:colOff>241935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281305</xdr:colOff>
      <xdr:row>0</xdr:row>
      <xdr:rowOff>203200</xdr:rowOff>
    </xdr:from>
    <xdr:to>
      <xdr:col>16</xdr:col>
      <xdr:colOff>413385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452755</xdr:colOff>
      <xdr:row>0</xdr:row>
      <xdr:rowOff>203200</xdr:rowOff>
    </xdr:from>
    <xdr:to>
      <xdr:col>17</xdr:col>
      <xdr:colOff>584835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624205</xdr:colOff>
      <xdr:row>0</xdr:row>
      <xdr:rowOff>203200</xdr:rowOff>
    </xdr:from>
    <xdr:to>
      <xdr:col>19</xdr:col>
      <xdr:colOff>70485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109855</xdr:colOff>
      <xdr:row>0</xdr:row>
      <xdr:rowOff>203200</xdr:rowOff>
    </xdr:from>
    <xdr:to>
      <xdr:col>20</xdr:col>
      <xdr:colOff>241935</xdr:colOff>
      <xdr:row>0</xdr:row>
      <xdr:rowOff>557530</xdr:rowOff>
    </xdr:to>
    <xdr:sp macro="[0]!asht18">
      <xdr:nvSpPr>
        <xdr:cNvPr id="40" name="12"/>
        <xdr:cNvSpPr/>
      </xdr:nvSpPr>
      <xdr:spPr>
        <a:xfrm>
          <a:off x="14864080" y="203200"/>
          <a:ext cx="81788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19</xdr:col>
      <xdr:colOff>322580</xdr:colOff>
      <xdr:row>0</xdr:row>
      <xdr:rowOff>624205</xdr:rowOff>
    </xdr:to>
    <xdr:sp>
      <xdr:nvSpPr>
        <xdr:cNvPr id="41"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2"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43"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44"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45"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46"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47"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48"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49"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9</xdr:col>
      <xdr:colOff>351790</xdr:colOff>
      <xdr:row>0</xdr:row>
      <xdr:rowOff>557530</xdr:rowOff>
    </xdr:to>
    <xdr:sp macro="[0]!asht7">
      <xdr:nvSpPr>
        <xdr:cNvPr id="50"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391160</xdr:colOff>
      <xdr:row>0</xdr:row>
      <xdr:rowOff>203200</xdr:rowOff>
    </xdr:from>
    <xdr:to>
      <xdr:col>9</xdr:col>
      <xdr:colOff>1206500</xdr:colOff>
      <xdr:row>0</xdr:row>
      <xdr:rowOff>557530</xdr:rowOff>
    </xdr:to>
    <xdr:sp macro="[0]!asht8">
      <xdr:nvSpPr>
        <xdr:cNvPr id="51"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1245870</xdr:colOff>
      <xdr:row>0</xdr:row>
      <xdr:rowOff>203200</xdr:rowOff>
    </xdr:from>
    <xdr:to>
      <xdr:col>11</xdr:col>
      <xdr:colOff>518160</xdr:colOff>
      <xdr:row>0</xdr:row>
      <xdr:rowOff>557530</xdr:rowOff>
    </xdr:to>
    <xdr:sp macro="[0]!asht15">
      <xdr:nvSpPr>
        <xdr:cNvPr id="52" name="11"/>
        <xdr:cNvSpPr/>
      </xdr:nvSpPr>
      <xdr:spPr>
        <a:xfrm>
          <a:off x="972312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557530</xdr:colOff>
      <xdr:row>0</xdr:row>
      <xdr:rowOff>203200</xdr:rowOff>
    </xdr:from>
    <xdr:to>
      <xdr:col>13</xdr:col>
      <xdr:colOff>3810</xdr:colOff>
      <xdr:row>0</xdr:row>
      <xdr:rowOff>557530</xdr:rowOff>
    </xdr:to>
    <xdr:sp macro="[0]!asht9">
      <xdr:nvSpPr>
        <xdr:cNvPr id="5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54" name="文本框 5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43180</xdr:colOff>
      <xdr:row>0</xdr:row>
      <xdr:rowOff>203200</xdr:rowOff>
    </xdr:from>
    <xdr:to>
      <xdr:col>14</xdr:col>
      <xdr:colOff>175260</xdr:colOff>
      <xdr:row>0</xdr:row>
      <xdr:rowOff>557530</xdr:rowOff>
    </xdr:to>
    <xdr:sp macro="[0]!asht10">
      <xdr:nvSpPr>
        <xdr:cNvPr id="55"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214630</xdr:colOff>
      <xdr:row>0</xdr:row>
      <xdr:rowOff>203200</xdr:rowOff>
    </xdr:from>
    <xdr:to>
      <xdr:col>15</xdr:col>
      <xdr:colOff>346710</xdr:colOff>
      <xdr:row>0</xdr:row>
      <xdr:rowOff>557530</xdr:rowOff>
    </xdr:to>
    <xdr:sp macro="[0]!asht11">
      <xdr:nvSpPr>
        <xdr:cNvPr id="5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386080</xdr:colOff>
      <xdr:row>0</xdr:row>
      <xdr:rowOff>203200</xdr:rowOff>
    </xdr:from>
    <xdr:to>
      <xdr:col>16</xdr:col>
      <xdr:colOff>518160</xdr:colOff>
      <xdr:row>0</xdr:row>
      <xdr:rowOff>557530</xdr:rowOff>
    </xdr:to>
    <xdr:sp macro="[0]!asht12">
      <xdr:nvSpPr>
        <xdr:cNvPr id="5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557530</xdr:colOff>
      <xdr:row>0</xdr:row>
      <xdr:rowOff>203200</xdr:rowOff>
    </xdr:from>
    <xdr:to>
      <xdr:col>18</xdr:col>
      <xdr:colOff>3810</xdr:colOff>
      <xdr:row>0</xdr:row>
      <xdr:rowOff>557530</xdr:rowOff>
    </xdr:to>
    <xdr:sp macro="[0]!asht13">
      <xdr:nvSpPr>
        <xdr:cNvPr id="58"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43180</xdr:colOff>
      <xdr:row>0</xdr:row>
      <xdr:rowOff>203200</xdr:rowOff>
    </xdr:from>
    <xdr:to>
      <xdr:col>19</xdr:col>
      <xdr:colOff>175260</xdr:colOff>
      <xdr:row>0</xdr:row>
      <xdr:rowOff>557530</xdr:rowOff>
    </xdr:to>
    <xdr:sp macro="[0]!asht18">
      <xdr:nvSpPr>
        <xdr:cNvPr id="59"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1254125</xdr:colOff>
      <xdr:row>1</xdr:row>
      <xdr:rowOff>50800</xdr:rowOff>
    </xdr:from>
    <xdr:to>
      <xdr:col>4</xdr:col>
      <xdr:colOff>1035050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107950</xdr:colOff>
      <xdr:row>1</xdr:row>
      <xdr:rowOff>50800</xdr:rowOff>
    </xdr:from>
    <xdr:to>
      <xdr:col>5</xdr:col>
      <xdr:colOff>1174750</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209550</xdr:colOff>
      <xdr:row>1</xdr:row>
      <xdr:rowOff>50800</xdr:rowOff>
    </xdr:from>
    <xdr:to>
      <xdr:col>6</xdr:col>
      <xdr:colOff>1276350</xdr:colOff>
      <xdr:row>1</xdr:row>
      <xdr:rowOff>441325</xdr:rowOff>
    </xdr:to>
    <xdr:sp macro="[0]!query_09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352425</xdr:colOff>
      <xdr:row>1</xdr:row>
      <xdr:rowOff>50800</xdr:rowOff>
    </xdr:from>
    <xdr:to>
      <xdr:col>8</xdr:col>
      <xdr:colOff>275590</xdr:colOff>
      <xdr:row>1</xdr:row>
      <xdr:rowOff>441325</xdr:rowOff>
    </xdr:to>
    <xdr:sp macro="[0]!qrcode09">
      <xdr:nvSpPr>
        <xdr:cNvPr id="24" name="圆角矩形 23"/>
        <xdr:cNvSpPr/>
      </xdr:nvSpPr>
      <xdr:spPr>
        <a:xfrm>
          <a:off x="62769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18</xdr:col>
      <xdr:colOff>474980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37" name="12"/>
        <xdr:cNvSpPr/>
      </xdr:nvSpPr>
      <xdr:spPr>
        <a:xfrm>
          <a:off x="10577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14</xdr:col>
      <xdr:colOff>499110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538480</xdr:colOff>
      <xdr:row>0</xdr:row>
      <xdr:rowOff>203200</xdr:rowOff>
    </xdr:from>
    <xdr:to>
      <xdr:col>15</xdr:col>
      <xdr:colOff>670560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24130</xdr:colOff>
      <xdr:row>0</xdr:row>
      <xdr:rowOff>203200</xdr:rowOff>
    </xdr:from>
    <xdr:to>
      <xdr:col>17</xdr:col>
      <xdr:colOff>156210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195580</xdr:colOff>
      <xdr:row>0</xdr:row>
      <xdr:rowOff>203200</xdr:rowOff>
    </xdr:from>
    <xdr:to>
      <xdr:col>18</xdr:col>
      <xdr:colOff>327660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628650</xdr:colOff>
      <xdr:row>1</xdr:row>
      <xdr:rowOff>50800</xdr:rowOff>
    </xdr:from>
    <xdr:to>
      <xdr:col>9</xdr:col>
      <xdr:colOff>551815</xdr:colOff>
      <xdr:row>1</xdr:row>
      <xdr:rowOff>441325</xdr:rowOff>
    </xdr:to>
    <xdr:sp macro="[0]!qrcode09">
      <xdr:nvSpPr>
        <xdr:cNvPr id="2" name="圆角矩形 1"/>
        <xdr:cNvSpPr/>
      </xdr:nvSpPr>
      <xdr:spPr>
        <a:xfrm>
          <a:off x="78390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0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27"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2"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4" name="文本框 3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5" name="12"/>
        <xdr:cNvSpPr/>
      </xdr:nvSpPr>
      <xdr:spPr>
        <a:xfrm>
          <a:off x="11435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3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1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9" name="12"/>
        <xdr:cNvSpPr/>
      </xdr:nvSpPr>
      <xdr:spPr>
        <a:xfrm>
          <a:off x="122923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2_show">
      <xdr:nvSpPr>
        <xdr:cNvPr id="23" name="圆角矩形 22"/>
        <xdr:cNvSpPr/>
      </xdr:nvSpPr>
      <xdr:spPr>
        <a:xfrm>
          <a:off x="48672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21</xdr:col>
      <xdr:colOff>351155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11</xdr:col>
      <xdr:colOff>208915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248285</xdr:colOff>
      <xdr:row>0</xdr:row>
      <xdr:rowOff>203200</xdr:rowOff>
    </xdr:from>
    <xdr:to>
      <xdr:col>12</xdr:col>
      <xdr:colOff>377825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417195</xdr:colOff>
      <xdr:row>0</xdr:row>
      <xdr:rowOff>203200</xdr:rowOff>
    </xdr:from>
    <xdr:to>
      <xdr:col>13</xdr:col>
      <xdr:colOff>546735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586105</xdr:colOff>
      <xdr:row>0</xdr:row>
      <xdr:rowOff>203200</xdr:rowOff>
    </xdr:from>
    <xdr:to>
      <xdr:col>15</xdr:col>
      <xdr:colOff>32385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笔记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15</xdr:col>
      <xdr:colOff>71755</xdr:colOff>
      <xdr:row>0</xdr:row>
      <xdr:rowOff>203200</xdr:rowOff>
    </xdr:from>
    <xdr:to>
      <xdr:col>16</xdr:col>
      <xdr:colOff>203835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243205</xdr:colOff>
      <xdr:row>0</xdr:row>
      <xdr:rowOff>203200</xdr:rowOff>
    </xdr:from>
    <xdr:to>
      <xdr:col>17</xdr:col>
      <xdr:colOff>375285</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414655</xdr:colOff>
      <xdr:row>0</xdr:row>
      <xdr:rowOff>203200</xdr:rowOff>
    </xdr:from>
    <xdr:to>
      <xdr:col>18</xdr:col>
      <xdr:colOff>546735</xdr:colOff>
      <xdr:row>0</xdr:row>
      <xdr:rowOff>557530</xdr:rowOff>
    </xdr:to>
    <xdr:sp macro="[0]!asht12">
      <xdr:nvSpPr>
        <xdr:cNvPr id="40" name="12"/>
        <xdr:cNvSpPr/>
      </xdr:nvSpPr>
      <xdr:spPr>
        <a:xfrm>
          <a:off x="131495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sym typeface="+mn-ea"/>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586105</xdr:colOff>
      <xdr:row>0</xdr:row>
      <xdr:rowOff>203200</xdr:rowOff>
    </xdr:from>
    <xdr:to>
      <xdr:col>20</xdr:col>
      <xdr:colOff>32385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71755</xdr:colOff>
      <xdr:row>0</xdr:row>
      <xdr:rowOff>203200</xdr:rowOff>
    </xdr:from>
    <xdr:to>
      <xdr:col>21</xdr:col>
      <xdr:colOff>203835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twoCellAnchor editAs="absolute">
    <xdr:from>
      <xdr:col>3</xdr:col>
      <xdr:colOff>489585</xdr:colOff>
      <xdr:row>0</xdr:row>
      <xdr:rowOff>127000</xdr:rowOff>
    </xdr:from>
    <xdr:to>
      <xdr:col>22</xdr:col>
      <xdr:colOff>436880</xdr:colOff>
      <xdr:row>0</xdr:row>
      <xdr:rowOff>624205</xdr:rowOff>
    </xdr:to>
    <xdr:sp>
      <xdr:nvSpPr>
        <xdr:cNvPr id="4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4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4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4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4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4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4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5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5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9</xdr:col>
      <xdr:colOff>485140</xdr:colOff>
      <xdr:row>0</xdr:row>
      <xdr:rowOff>557530</xdr:rowOff>
    </xdr:to>
    <xdr:sp macro="[0]!asht7">
      <xdr:nvSpPr>
        <xdr:cNvPr id="5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524510</xdr:colOff>
      <xdr:row>0</xdr:row>
      <xdr:rowOff>203200</xdr:rowOff>
    </xdr:from>
    <xdr:to>
      <xdr:col>10</xdr:col>
      <xdr:colOff>53975</xdr:colOff>
      <xdr:row>0</xdr:row>
      <xdr:rowOff>557530</xdr:rowOff>
    </xdr:to>
    <xdr:sp macro="[0]!asht8">
      <xdr:nvSpPr>
        <xdr:cNvPr id="5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93345</xdr:colOff>
      <xdr:row>0</xdr:row>
      <xdr:rowOff>203200</xdr:rowOff>
    </xdr:from>
    <xdr:to>
      <xdr:col>11</xdr:col>
      <xdr:colOff>632460</xdr:colOff>
      <xdr:row>0</xdr:row>
      <xdr:rowOff>557530</xdr:rowOff>
    </xdr:to>
    <xdr:sp macro="[0]!asht15">
      <xdr:nvSpPr>
        <xdr:cNvPr id="5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671830</xdr:colOff>
      <xdr:row>0</xdr:row>
      <xdr:rowOff>203200</xdr:rowOff>
    </xdr:from>
    <xdr:to>
      <xdr:col>13</xdr:col>
      <xdr:colOff>118110</xdr:colOff>
      <xdr:row>0</xdr:row>
      <xdr:rowOff>557530</xdr:rowOff>
    </xdr:to>
    <xdr:sp macro="[0]!asht9">
      <xdr:nvSpPr>
        <xdr:cNvPr id="5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56" name="文本框 5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157480</xdr:colOff>
      <xdr:row>0</xdr:row>
      <xdr:rowOff>203200</xdr:rowOff>
    </xdr:from>
    <xdr:to>
      <xdr:col>14</xdr:col>
      <xdr:colOff>289560</xdr:colOff>
      <xdr:row>0</xdr:row>
      <xdr:rowOff>557530</xdr:rowOff>
    </xdr:to>
    <xdr:sp macro="[0]!asht10">
      <xdr:nvSpPr>
        <xdr:cNvPr id="5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328930</xdr:colOff>
      <xdr:row>0</xdr:row>
      <xdr:rowOff>203200</xdr:rowOff>
    </xdr:from>
    <xdr:to>
      <xdr:col>15</xdr:col>
      <xdr:colOff>461010</xdr:colOff>
      <xdr:row>0</xdr:row>
      <xdr:rowOff>557530</xdr:rowOff>
    </xdr:to>
    <xdr:sp macro="[0]!asht11">
      <xdr:nvSpPr>
        <xdr:cNvPr id="5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500380</xdr:colOff>
      <xdr:row>0</xdr:row>
      <xdr:rowOff>203200</xdr:rowOff>
    </xdr:from>
    <xdr:to>
      <xdr:col>19</xdr:col>
      <xdr:colOff>632460</xdr:colOff>
      <xdr:row>0</xdr:row>
      <xdr:rowOff>557530</xdr:rowOff>
    </xdr:to>
    <xdr:sp macro="[0]!asht12">
      <xdr:nvSpPr>
        <xdr:cNvPr id="5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671830</xdr:colOff>
      <xdr:row>0</xdr:row>
      <xdr:rowOff>203200</xdr:rowOff>
    </xdr:from>
    <xdr:to>
      <xdr:col>21</xdr:col>
      <xdr:colOff>118110</xdr:colOff>
      <xdr:row>0</xdr:row>
      <xdr:rowOff>557530</xdr:rowOff>
    </xdr:to>
    <xdr:sp macro="[0]!asht13">
      <xdr:nvSpPr>
        <xdr:cNvPr id="60" name="12"/>
        <xdr:cNvSpPr/>
      </xdr:nvSpPr>
      <xdr:spPr>
        <a:xfrm>
          <a:off x="14006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21</xdr:col>
      <xdr:colOff>157480</xdr:colOff>
      <xdr:row>0</xdr:row>
      <xdr:rowOff>203200</xdr:rowOff>
    </xdr:from>
    <xdr:to>
      <xdr:col>22</xdr:col>
      <xdr:colOff>289560</xdr:colOff>
      <xdr:row>0</xdr:row>
      <xdr:rowOff>557530</xdr:rowOff>
    </xdr:to>
    <xdr:sp macro="[0]!asht18">
      <xdr:nvSpPr>
        <xdr:cNvPr id="6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24</xdr:col>
      <xdr:colOff>570230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187960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227330</xdr:colOff>
      <xdr:row>0</xdr:row>
      <xdr:rowOff>203200</xdr:rowOff>
    </xdr:from>
    <xdr:to>
      <xdr:col>7</xdr:col>
      <xdr:colOff>99695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139065</xdr:colOff>
      <xdr:row>0</xdr:row>
      <xdr:rowOff>203200</xdr:rowOff>
    </xdr:from>
    <xdr:to>
      <xdr:col>8</xdr:col>
      <xdr:colOff>268605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307975</xdr:colOff>
      <xdr:row>0</xdr:row>
      <xdr:rowOff>203200</xdr:rowOff>
    </xdr:from>
    <xdr:to>
      <xdr:col>9</xdr:col>
      <xdr:colOff>438150</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477520</xdr:colOff>
      <xdr:row>0</xdr:row>
      <xdr:rowOff>203200</xdr:rowOff>
    </xdr:from>
    <xdr:to>
      <xdr:col>10</xdr:col>
      <xdr:colOff>606425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645795</xdr:colOff>
      <xdr:row>0</xdr:row>
      <xdr:rowOff>203200</xdr:rowOff>
    </xdr:from>
    <xdr:to>
      <xdr:col>12</xdr:col>
      <xdr:colOff>89535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128905</xdr:colOff>
      <xdr:row>0</xdr:row>
      <xdr:rowOff>203200</xdr:rowOff>
    </xdr:from>
    <xdr:to>
      <xdr:col>13</xdr:col>
      <xdr:colOff>258445</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297815</xdr:colOff>
      <xdr:row>0</xdr:row>
      <xdr:rowOff>203200</xdr:rowOff>
    </xdr:from>
    <xdr:to>
      <xdr:col>14</xdr:col>
      <xdr:colOff>427990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467360</xdr:colOff>
      <xdr:row>0</xdr:row>
      <xdr:rowOff>203200</xdr:rowOff>
    </xdr:from>
    <xdr:to>
      <xdr:col>15</xdr:col>
      <xdr:colOff>596900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636270</xdr:colOff>
      <xdr:row>0</xdr:row>
      <xdr:rowOff>203200</xdr:rowOff>
    </xdr:from>
    <xdr:to>
      <xdr:col>17</xdr:col>
      <xdr:colOff>80010</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119380</xdr:colOff>
      <xdr:row>0</xdr:row>
      <xdr:rowOff>203200</xdr:rowOff>
    </xdr:from>
    <xdr:to>
      <xdr:col>18</xdr:col>
      <xdr:colOff>251460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二维码打印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18</xdr:col>
      <xdr:colOff>290830</xdr:colOff>
      <xdr:row>0</xdr:row>
      <xdr:rowOff>203200</xdr:rowOff>
    </xdr:from>
    <xdr:to>
      <xdr:col>19</xdr:col>
      <xdr:colOff>422910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462280</xdr:colOff>
      <xdr:row>0</xdr:row>
      <xdr:rowOff>203200</xdr:rowOff>
    </xdr:from>
    <xdr:to>
      <xdr:col>20</xdr:col>
      <xdr:colOff>594360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633730</xdr:colOff>
      <xdr:row>0</xdr:row>
      <xdr:rowOff>203200</xdr:rowOff>
    </xdr:from>
    <xdr:to>
      <xdr:col>22</xdr:col>
      <xdr:colOff>80010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119380</xdr:colOff>
      <xdr:row>0</xdr:row>
      <xdr:rowOff>203200</xdr:rowOff>
    </xdr:from>
    <xdr:to>
      <xdr:col>23</xdr:col>
      <xdr:colOff>251460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290830</xdr:colOff>
      <xdr:row>0</xdr:row>
      <xdr:rowOff>203200</xdr:rowOff>
    </xdr:from>
    <xdr:to>
      <xdr:col>24</xdr:col>
      <xdr:colOff>422910</xdr:colOff>
      <xdr:row>0</xdr:row>
      <xdr:rowOff>557530</xdr:rowOff>
    </xdr:to>
    <xdr:sp macro="[0]!asht18">
      <xdr:nvSpPr>
        <xdr:cNvPr id="43" name="12"/>
        <xdr:cNvSpPr/>
      </xdr:nvSpPr>
      <xdr:spPr>
        <a:xfrm>
          <a:off x="14864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二维码打印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28575</xdr:colOff>
      <xdr:row>1</xdr:row>
      <xdr:rowOff>47625</xdr:rowOff>
    </xdr:from>
    <xdr:to>
      <xdr:col>3</xdr:col>
      <xdr:colOff>1095375</xdr:colOff>
      <xdr:row>1</xdr:row>
      <xdr:rowOff>438150</xdr:rowOff>
    </xdr:to>
    <xdr:sp macro="[0]!print_out">
      <xdr:nvSpPr>
        <xdr:cNvPr id="44" name="圆角矩形 43"/>
        <xdr:cNvSpPr/>
      </xdr:nvSpPr>
      <xdr:spPr>
        <a:xfrm>
          <a:off x="6381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xdr:from>
      <xdr:col>2</xdr:col>
      <xdr:colOff>0</xdr:colOff>
      <xdr:row>2</xdr:row>
      <xdr:rowOff>1771650</xdr:rowOff>
    </xdr:from>
    <xdr:to>
      <xdr:col>3</xdr:col>
      <xdr:colOff>2095500</xdr:colOff>
      <xdr:row>3</xdr:row>
      <xdr:rowOff>546100</xdr:rowOff>
    </xdr:to>
    <xdr:sp>
      <xdr:nvSpPr>
        <xdr:cNvPr id="1462" name="矩形 1461"/>
        <xdr:cNvSpPr/>
      </xdr:nvSpPr>
      <xdr:spPr>
        <a:xfrm>
          <a:off x="609600" y="3041015"/>
          <a:ext cx="2047875" cy="55245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clientData/>
  </xdr:twoCellAnchor>
  <xdr:twoCellAnchor editAs="oneCell">
    <xdr:from>
      <xdr:col>3</xdr:col>
      <xdr:colOff>325119</xdr:colOff>
      <xdr:row>2</xdr:row>
      <xdr:rowOff>63499</xdr:rowOff>
    </xdr:from>
    <xdr:to>
      <xdr:col>3</xdr:col>
      <xdr:colOff>1722119</xdr:colOff>
      <xdr:row>2</xdr:row>
      <xdr:rowOff>1454797</xdr:rowOff>
    </xdr:to>
    <xdr:pic>
      <xdr:nvPicPr>
        <xdr:cNvPr id="188" name="pic"/>
        <xdr:cNvPicPr>
          <a:picLocks noChangeAspect="1"/>
        </xdr:cNvPicPr>
      </xdr:nvPicPr>
      <xdr:blipFill>
        <a:blip r:embed="rId1"/>
        <a:stretch>
          <a:fillRect/>
        </a:stretch>
      </xdr:blipFill>
      <xdr:spPr>
        <a:xfrm>
          <a:off x="934085" y="1332230"/>
          <a:ext cx="1397000" cy="1391920"/>
        </a:xfrm>
        <a:prstGeom prst="rect">
          <a:avLst/>
        </a:prstGeom>
        <a:noFill/>
        <a:ln w="9525">
          <a:noFill/>
        </a:ln>
      </xdr:spPr>
    </xdr:pic>
    <xdr:clientData/>
  </xdr:twoCellAnchor>
  <xdr:twoCellAnchor editAs="oneCell">
    <xdr:from>
      <xdr:col>3</xdr:col>
      <xdr:colOff>325119</xdr:colOff>
      <xdr:row>3</xdr:row>
      <xdr:rowOff>63499</xdr:rowOff>
    </xdr:from>
    <xdr:to>
      <xdr:col>3</xdr:col>
      <xdr:colOff>1722119</xdr:colOff>
      <xdr:row>3</xdr:row>
      <xdr:rowOff>1445979</xdr:rowOff>
    </xdr:to>
    <xdr:pic>
      <xdr:nvPicPr>
        <xdr:cNvPr id="189" name="pic"/>
        <xdr:cNvPicPr>
          <a:picLocks noChangeAspect="1"/>
        </xdr:cNvPicPr>
      </xdr:nvPicPr>
      <xdr:blipFill>
        <a:blip r:embed="rId2"/>
        <a:stretch>
          <a:fillRect/>
        </a:stretch>
      </xdr:blipFill>
      <xdr:spPr>
        <a:xfrm>
          <a:off x="934085" y="3110230"/>
          <a:ext cx="1397000" cy="1383030"/>
        </a:xfrm>
        <a:prstGeom prst="rect">
          <a:avLst/>
        </a:prstGeom>
        <a:noFill/>
        <a:ln w="9525">
          <a:noFill/>
        </a:ln>
      </xdr:spPr>
    </xdr:pic>
    <xdr:clientData/>
  </xdr:twoCellAnchor>
  <xdr:twoCellAnchor editAs="oneCell">
    <xdr:from>
      <xdr:col>3</xdr:col>
      <xdr:colOff>325119</xdr:colOff>
      <xdr:row>4</xdr:row>
      <xdr:rowOff>63500</xdr:rowOff>
    </xdr:from>
    <xdr:to>
      <xdr:col>3</xdr:col>
      <xdr:colOff>1722119</xdr:colOff>
      <xdr:row>4</xdr:row>
      <xdr:rowOff>1445980</xdr:rowOff>
    </xdr:to>
    <xdr:pic>
      <xdr:nvPicPr>
        <xdr:cNvPr id="190" name="pic"/>
        <xdr:cNvPicPr>
          <a:picLocks noChangeAspect="1"/>
        </xdr:cNvPicPr>
      </xdr:nvPicPr>
      <xdr:blipFill>
        <a:blip r:embed="rId3"/>
        <a:stretch>
          <a:fillRect/>
        </a:stretch>
      </xdr:blipFill>
      <xdr:spPr>
        <a:xfrm>
          <a:off x="934085" y="4888865"/>
          <a:ext cx="1397000" cy="1382395"/>
        </a:xfrm>
        <a:prstGeom prst="rect">
          <a:avLst/>
        </a:prstGeom>
        <a:noFill/>
        <a:ln w="9525">
          <a:noFill/>
        </a:ln>
      </xdr:spPr>
    </xdr:pic>
    <xdr:clientData/>
  </xdr:twoCellAnchor>
  <xdr:twoCellAnchor editAs="oneCell">
    <xdr:from>
      <xdr:col>3</xdr:col>
      <xdr:colOff>325119</xdr:colOff>
      <xdr:row>5</xdr:row>
      <xdr:rowOff>63500</xdr:rowOff>
    </xdr:from>
    <xdr:to>
      <xdr:col>3</xdr:col>
      <xdr:colOff>1722119</xdr:colOff>
      <xdr:row>5</xdr:row>
      <xdr:rowOff>1445980</xdr:rowOff>
    </xdr:to>
    <xdr:pic>
      <xdr:nvPicPr>
        <xdr:cNvPr id="191" name="pic"/>
        <xdr:cNvPicPr>
          <a:picLocks noChangeAspect="1"/>
        </xdr:cNvPicPr>
      </xdr:nvPicPr>
      <xdr:blipFill>
        <a:blip r:embed="rId3"/>
        <a:stretch>
          <a:fillRect/>
        </a:stretch>
      </xdr:blipFill>
      <xdr:spPr>
        <a:xfrm>
          <a:off x="934085" y="6666865"/>
          <a:ext cx="1397000" cy="1382395"/>
        </a:xfrm>
        <a:prstGeom prst="rect">
          <a:avLst/>
        </a:prstGeom>
        <a:noFill/>
        <a:ln w="9525">
          <a:noFill/>
        </a:ln>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rgbClr val="007BD3"/>
            </a:gs>
            <a:gs pos="100000">
              <a:srgbClr val="034373"/>
            </a:gs>
          </a:gsLst>
          <a:lin scaled="0"/>
        </a:gradFill>
      </a:spPr>
      <a:bodyPr vertOverflow="clip" horzOverflow="clip" wrap="square" rtlCol="0" anchor="ctr" anchorCtr="0"/>
      <a:lstStyle>
        <a:defPPr algn="ctr">
          <a:defRPr lang="zh-CN" altLang="en-US" sz="1400" b="1">
            <a:latin typeface="等线" panose="02010600030101010101" charset="-122"/>
            <a:ea typeface="等线" panose="02010600030101010101"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6.vml"/><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P26" sqref="P26"/>
    </sheetView>
  </sheetViews>
  <sheetFormatPr defaultColWidth="3.625" defaultRowHeight="17.1" customHeight="1"/>
  <cols>
    <col min="1" max="1" width="3.625" style="85" customWidth="1"/>
    <col min="2" max="16384" width="3.625" style="85"/>
  </cols>
  <sheetData>
    <row r="4" customHeight="1" spans="1:42">
      <c r="A4" s="86"/>
      <c r="B4" s="86"/>
      <c r="C4" s="86"/>
      <c r="D4" s="86"/>
      <c r="E4" s="86"/>
      <c r="F4" s="86"/>
      <c r="G4" s="86"/>
      <c r="H4" s="86"/>
      <c r="I4" s="86"/>
      <c r="J4" s="86"/>
      <c r="K4" s="86"/>
      <c r="L4" s="86"/>
      <c r="M4" s="86"/>
      <c r="N4" s="86"/>
      <c r="O4" s="86"/>
      <c r="P4" s="86"/>
      <c r="Q4" s="86"/>
      <c r="R4" s="86"/>
      <c r="S4" s="86"/>
      <c r="T4" s="86"/>
      <c r="U4" s="86"/>
      <c r="V4" s="86"/>
      <c r="W4" s="86"/>
      <c r="X4" s="86"/>
      <c r="Y4" s="86"/>
      <c r="Z4" s="86"/>
      <c r="AA4" s="86"/>
      <c r="AB4" s="86"/>
      <c r="AC4" s="86"/>
      <c r="AD4" s="86"/>
      <c r="AE4" s="86"/>
      <c r="AF4" s="86"/>
      <c r="AG4" s="86"/>
      <c r="AH4" s="86"/>
      <c r="AI4" s="86"/>
      <c r="AJ4" s="86"/>
      <c r="AK4" s="86"/>
      <c r="AL4" s="86"/>
      <c r="AM4" s="86"/>
      <c r="AN4" s="86"/>
      <c r="AO4" s="86"/>
      <c r="AP4" s="86"/>
    </row>
    <row r="5" customHeight="1" spans="1:42">
      <c r="A5" s="86"/>
      <c r="B5" s="86"/>
      <c r="C5" s="86"/>
      <c r="D5" s="86"/>
      <c r="E5" s="86"/>
      <c r="F5" s="86"/>
      <c r="G5" s="86"/>
      <c r="H5" s="86"/>
      <c r="I5" s="86"/>
      <c r="J5" s="86"/>
      <c r="K5" s="86"/>
      <c r="L5" s="86"/>
      <c r="M5" s="86"/>
      <c r="N5" s="86"/>
      <c r="O5" s="86"/>
      <c r="P5" s="86"/>
      <c r="Q5" s="86"/>
      <c r="R5" s="86"/>
      <c r="S5" s="86"/>
      <c r="T5" s="86"/>
      <c r="U5" s="86"/>
      <c r="V5" s="86"/>
      <c r="W5" s="86"/>
      <c r="X5" s="86"/>
      <c r="Y5" s="86"/>
      <c r="Z5" s="86"/>
      <c r="AA5" s="86"/>
      <c r="AB5" s="86"/>
      <c r="AC5" s="86"/>
      <c r="AD5" s="86"/>
      <c r="AE5" s="86"/>
      <c r="AF5" s="86"/>
      <c r="AG5" s="86"/>
      <c r="AH5" s="86"/>
      <c r="AI5" s="86"/>
      <c r="AJ5" s="86"/>
      <c r="AK5" s="86"/>
      <c r="AL5" s="86"/>
      <c r="AM5" s="86"/>
      <c r="AN5" s="86"/>
      <c r="AO5" s="86"/>
      <c r="AP5" s="86"/>
    </row>
    <row r="6" customHeight="1" spans="1:42">
      <c r="A6" s="87"/>
      <c r="B6" s="87"/>
      <c r="C6" s="87"/>
      <c r="D6" s="87"/>
      <c r="E6" s="87"/>
      <c r="F6" s="87"/>
      <c r="G6" s="87"/>
      <c r="H6" s="88"/>
      <c r="I6" s="88"/>
      <c r="J6" s="88"/>
      <c r="K6" s="88"/>
      <c r="L6" s="88"/>
      <c r="M6" s="88"/>
      <c r="N6" s="88"/>
      <c r="O6" s="88"/>
      <c r="P6" s="88"/>
      <c r="Q6" s="88"/>
      <c r="R6" s="87"/>
      <c r="S6" s="87"/>
      <c r="T6" s="87"/>
      <c r="U6" s="87"/>
      <c r="V6" s="87"/>
      <c r="W6" s="87"/>
      <c r="X6" s="87"/>
      <c r="Y6" s="87"/>
      <c r="Z6" s="87"/>
      <c r="AA6" s="87"/>
      <c r="AB6" s="87"/>
      <c r="AC6" s="87"/>
      <c r="AD6" s="87"/>
      <c r="AE6" s="87"/>
      <c r="AF6" s="87"/>
      <c r="AG6" s="87"/>
      <c r="AH6" s="87"/>
      <c r="AI6" s="87"/>
      <c r="AJ6" s="87"/>
      <c r="AK6" s="87"/>
      <c r="AL6" s="87"/>
      <c r="AM6" s="87"/>
      <c r="AN6" s="87"/>
      <c r="AO6" s="87"/>
      <c r="AP6" s="87"/>
    </row>
    <row r="7" customHeight="1" spans="5:23">
      <c r="E7" s="89"/>
      <c r="F7" s="89"/>
      <c r="G7" s="89"/>
      <c r="H7" s="90"/>
      <c r="I7" s="90"/>
      <c r="J7" s="90"/>
      <c r="K7" s="90"/>
      <c r="L7" s="90"/>
      <c r="M7" s="90"/>
      <c r="N7" s="91"/>
      <c r="O7" s="91"/>
      <c r="P7" s="91"/>
      <c r="Q7" s="91"/>
      <c r="T7" s="91"/>
      <c r="U7" s="91"/>
      <c r="V7" s="91"/>
      <c r="W7" s="91"/>
    </row>
    <row r="8" customHeight="1" spans="8:23">
      <c r="H8" s="91"/>
      <c r="I8" s="91"/>
      <c r="J8" s="91"/>
      <c r="K8" s="91"/>
      <c r="L8" s="91"/>
      <c r="M8" s="91"/>
      <c r="N8" s="91"/>
      <c r="O8" s="91"/>
      <c r="P8" s="91"/>
      <c r="Q8" s="91"/>
      <c r="T8" s="91"/>
      <c r="U8" s="91"/>
      <c r="V8" s="91"/>
      <c r="W8" s="91"/>
    </row>
    <row r="9" customHeight="1" spans="8:23">
      <c r="H9" s="91"/>
      <c r="I9" s="91"/>
      <c r="J9" s="91"/>
      <c r="K9" s="91"/>
      <c r="L9" s="91"/>
      <c r="M9" s="91"/>
      <c r="N9" s="91"/>
      <c r="O9" s="91"/>
      <c r="P9" s="91"/>
      <c r="Q9" s="91"/>
      <c r="R9" s="91"/>
      <c r="S9" s="91"/>
      <c r="T9" s="91"/>
      <c r="U9" s="91"/>
      <c r="V9" s="91"/>
      <c r="W9" s="91"/>
    </row>
    <row r="10" customHeight="1" spans="17:23">
      <c r="Q10" s="91"/>
      <c r="R10" s="91"/>
      <c r="S10" s="91"/>
      <c r="T10" s="91"/>
      <c r="U10" s="91"/>
      <c r="V10" s="91"/>
      <c r="W10" s="91"/>
    </row>
    <row r="11" customHeight="1" spans="17:23">
      <c r="Q11" s="91"/>
      <c r="R11" s="91"/>
      <c r="S11" s="91"/>
      <c r="T11" s="91"/>
      <c r="U11" s="91"/>
      <c r="V11" s="91"/>
      <c r="W11" s="91"/>
    </row>
    <row r="12" customHeight="1" spans="17:23">
      <c r="Q12" s="91"/>
      <c r="R12" s="91"/>
      <c r="S12" s="91"/>
      <c r="T12" s="91"/>
      <c r="U12" s="91"/>
      <c r="V12" s="91"/>
      <c r="W12" s="91"/>
    </row>
    <row r="13" customHeight="1" spans="17:23">
      <c r="Q13" s="91"/>
      <c r="R13" s="91"/>
      <c r="S13" s="91"/>
      <c r="T13" s="91"/>
      <c r="U13" s="91"/>
      <c r="V13" s="91"/>
      <c r="W13" s="91"/>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67" customWidth="1"/>
    <col min="2" max="2" width="2.625" style="68" customWidth="1"/>
    <col min="3" max="3" width="15.25" style="69" customWidth="1"/>
    <col min="4" max="4" width="19.125" style="70" customWidth="1"/>
    <col min="5" max="5" width="10.5" style="70" customWidth="1"/>
    <col min="6" max="8" width="24.625" style="70" customWidth="1"/>
    <col min="9" max="9" width="2.625" style="68" customWidth="1"/>
    <col min="10" max="10" width="4.25" style="67" customWidth="1"/>
    <col min="11" max="16384" width="9" style="67"/>
  </cols>
  <sheetData>
    <row r="1" s="65" customFormat="1" ht="54.95" customHeight="1" spans="1:10">
      <c r="A1" s="71"/>
      <c r="C1" s="72"/>
      <c r="J1" s="84"/>
    </row>
    <row r="2" ht="15.95" customHeight="1" spans="2:9">
      <c r="B2" s="67"/>
      <c r="C2" s="73"/>
      <c r="D2" s="67"/>
      <c r="E2" s="67"/>
      <c r="F2" s="67"/>
      <c r="G2" s="67"/>
      <c r="H2" s="67"/>
      <c r="I2" s="67"/>
    </row>
    <row r="3" ht="15.95" customHeight="1" spans="3:8">
      <c r="C3" s="74"/>
      <c r="D3" s="68"/>
      <c r="E3" s="68"/>
      <c r="F3" s="68"/>
      <c r="G3" s="68"/>
      <c r="H3" s="68"/>
    </row>
    <row r="4" ht="75.95" customHeight="1" spans="3:8">
      <c r="C4" s="75" t="s">
        <v>0</v>
      </c>
      <c r="D4" s="76"/>
      <c r="E4" s="76"/>
      <c r="F4" s="77">
        <f>D7</f>
        <v>1</v>
      </c>
      <c r="G4" s="78" t="s">
        <v>1</v>
      </c>
      <c r="H4" s="78"/>
    </row>
    <row r="5" ht="6" customHeight="1" spans="3:8">
      <c r="C5" s="79"/>
      <c r="D5" s="76"/>
      <c r="E5" s="76"/>
      <c r="F5" s="80"/>
      <c r="G5" s="80"/>
      <c r="H5" s="80"/>
    </row>
    <row r="6" s="66" customFormat="1" ht="9" customHeight="1" spans="2:9">
      <c r="B6" s="68"/>
      <c r="C6" s="81"/>
      <c r="D6" s="82"/>
      <c r="E6" s="82"/>
      <c r="F6" s="83"/>
      <c r="G6" s="83"/>
      <c r="H6" s="83"/>
      <c r="I6" s="68"/>
    </row>
    <row r="7" hidden="1" customHeight="1" spans="2:4">
      <c r="B7" s="68" t="s">
        <v>2</v>
      </c>
      <c r="D7" s="70">
        <v>1</v>
      </c>
    </row>
    <row r="8" customHeight="1" spans="3:4">
      <c r="C8" s="69" t="s">
        <v>3</v>
      </c>
      <c r="D8" s="70" t="s">
        <v>4</v>
      </c>
    </row>
    <row r="9" customHeight="1" spans="3:4">
      <c r="C9" s="69" t="s">
        <v>5</v>
      </c>
      <c r="D9" s="70" t="s">
        <v>6</v>
      </c>
    </row>
    <row r="18" hidden="1" customHeight="1" spans="3:4">
      <c r="C18" s="69" t="s">
        <v>3</v>
      </c>
      <c r="D18" s="70" t="s">
        <v>7</v>
      </c>
    </row>
    <row r="19" hidden="1" customHeight="1" spans="3:4">
      <c r="C19" s="69" t="s">
        <v>5</v>
      </c>
      <c r="D19" s="70" t="s">
        <v>8</v>
      </c>
    </row>
    <row r="20" hidden="1" customHeight="1" spans="3:4">
      <c r="C20" s="69" t="s">
        <v>9</v>
      </c>
      <c r="D20" s="70" t="s">
        <v>10</v>
      </c>
    </row>
    <row r="21" hidden="1" customHeight="1"/>
    <row r="22" hidden="1" customHeight="1"/>
    <row r="23" hidden="1" customHeight="1"/>
    <row r="24" hidden="1" customHeight="1"/>
    <row r="25" hidden="1" customHeight="1"/>
    <row r="26" hidden="1" customHeight="1"/>
    <row r="27" hidden="1" customHeight="1"/>
    <row r="28" hidden="1" customHeight="1" spans="3:4">
      <c r="C28" s="69" t="s">
        <v>3</v>
      </c>
      <c r="D28" s="70" t="s">
        <v>11</v>
      </c>
    </row>
    <row r="29" hidden="1" customHeight="1" spans="3:4">
      <c r="C29" s="69" t="s">
        <v>5</v>
      </c>
      <c r="D29" s="70" t="s">
        <v>12</v>
      </c>
    </row>
    <row r="30" hidden="1" customHeight="1" spans="3:4">
      <c r="C30" s="69" t="s">
        <v>9</v>
      </c>
      <c r="D30" s="70" t="s">
        <v>10</v>
      </c>
    </row>
    <row r="31" hidden="1" customHeight="1"/>
    <row r="32" hidden="1" customHeight="1"/>
    <row r="33" hidden="1" customHeight="1"/>
    <row r="34" hidden="1" customHeight="1"/>
    <row r="35" hidden="1" customHeight="1"/>
    <row r="36" hidden="1" customHeight="1"/>
    <row r="37" hidden="1" customHeight="1"/>
    <row r="38" hidden="1" customHeight="1" spans="3:4">
      <c r="C38" s="69" t="s">
        <v>3</v>
      </c>
      <c r="D38" s="70" t="s">
        <v>13</v>
      </c>
    </row>
    <row r="39" hidden="1" customHeight="1" spans="3:4">
      <c r="C39" s="69" t="s">
        <v>5</v>
      </c>
      <c r="D39" s="70" t="s">
        <v>14</v>
      </c>
    </row>
    <row r="40" hidden="1" customHeight="1" spans="3:4">
      <c r="C40" s="69" t="s">
        <v>9</v>
      </c>
      <c r="D40" s="70" t="s">
        <v>12</v>
      </c>
    </row>
    <row r="41" hidden="1" customHeight="1"/>
    <row r="42" hidden="1" customHeight="1"/>
    <row r="43" hidden="1" customHeight="1"/>
    <row r="44" hidden="1" customHeight="1"/>
    <row r="45" hidden="1" customHeight="1"/>
    <row r="46" hidden="1" customHeight="1"/>
    <row r="47" hidden="1" customHeight="1"/>
    <row r="48" hidden="1" customHeight="1" spans="3:4">
      <c r="C48" s="69" t="s">
        <v>3</v>
      </c>
      <c r="D48" s="70"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69" t="s">
        <v>3</v>
      </c>
      <c r="D58" s="70" t="s">
        <v>16</v>
      </c>
    </row>
    <row r="59" hidden="1" customHeight="1" spans="4:4">
      <c r="D59" s="70" t="s">
        <v>17</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69" t="s">
        <v>3</v>
      </c>
      <c r="D68" s="70" t="s">
        <v>18</v>
      </c>
    </row>
    <row r="69" hidden="1" customHeight="1" spans="3:4">
      <c r="C69" s="69" t="s">
        <v>5</v>
      </c>
      <c r="D69" s="70" t="s">
        <v>19</v>
      </c>
    </row>
    <row r="70" hidden="1" customHeight="1" spans="3:4">
      <c r="C70" s="69" t="s">
        <v>9</v>
      </c>
      <c r="D70" s="70" t="s">
        <v>20</v>
      </c>
    </row>
    <row r="71" hidden="1" customHeight="1" spans="3:4">
      <c r="C71" s="69" t="s">
        <v>21</v>
      </c>
      <c r="D71" s="70" t="s">
        <v>22</v>
      </c>
    </row>
    <row r="72" hidden="1" customHeight="1"/>
    <row r="73" hidden="1" customHeight="1"/>
    <row r="74" hidden="1" customHeight="1"/>
    <row r="75" hidden="1" customHeight="1"/>
    <row r="76" hidden="1" customHeight="1"/>
    <row r="77" hidden="1" customHeight="1"/>
    <row r="78" hidden="1" customHeight="1" spans="3:3">
      <c r="C78" s="69">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69">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69">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E1" sqref="E1"/>
    </sheetView>
  </sheetViews>
  <sheetFormatPr defaultColWidth="9" defaultRowHeight="14.25" outlineLevelRow="2" outlineLevelCol="4"/>
  <sheetData>
    <row r="1" spans="1:5">
      <c r="A1" s="64">
        <v>58441</v>
      </c>
      <c r="C1" s="64">
        <v>47848</v>
      </c>
      <c r="D1">
        <v>1000</v>
      </c>
      <c r="E1">
        <v>10</v>
      </c>
    </row>
    <row r="3" spans="1:1">
      <c r="A3" t="s">
        <v>23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4"/>
  <sheetViews>
    <sheetView showGridLines="0" workbookViewId="0">
      <pane ySplit="4" topLeftCell="A5" activePane="bottomLeft" state="frozen"/>
      <selection/>
      <selection pane="bottomLeft" activeCell="A1" sqref="A1"/>
    </sheetView>
  </sheetViews>
  <sheetFormatPr defaultColWidth="9" defaultRowHeight="20.1" customHeight="1" outlineLevelRow="3"/>
  <cols>
    <col min="1" max="1" width="4.625" style="3" customWidth="1"/>
    <col min="2" max="2" width="3.375" style="4" customWidth="1"/>
    <col min="3" max="10" width="16.875" style="61" customWidth="1"/>
    <col min="11" max="11" width="3.375" style="4" customWidth="1"/>
    <col min="12" max="16384" width="9" style="3"/>
  </cols>
  <sheetData>
    <row r="1" s="1" customFormat="1" ht="60" customHeight="1" spans="1:1">
      <c r="A1" s="7"/>
    </row>
    <row r="2" s="2" customFormat="1" ht="39.95" customHeight="1" spans="8:10">
      <c r="H2" s="63"/>
      <c r="I2" s="37" t="s">
        <v>24</v>
      </c>
      <c r="J2" s="37"/>
    </row>
    <row r="3" s="2" customFormat="1" customHeight="1" spans="2:11">
      <c r="B3" s="9"/>
      <c r="C3" s="62"/>
      <c r="D3" s="62"/>
      <c r="E3" s="62"/>
      <c r="F3" s="62"/>
      <c r="G3" s="62"/>
      <c r="H3" s="62"/>
      <c r="I3" s="62"/>
      <c r="J3" s="62"/>
      <c r="K3" s="9"/>
    </row>
    <row r="4" s="2" customFormat="1" ht="30" customHeight="1" spans="2:11">
      <c r="B4" s="9"/>
      <c r="C4" s="43" t="s">
        <v>25</v>
      </c>
      <c r="D4" s="43" t="s">
        <v>26</v>
      </c>
      <c r="E4" s="43" t="s">
        <v>27</v>
      </c>
      <c r="F4" s="43" t="s">
        <v>28</v>
      </c>
      <c r="G4" s="43" t="s">
        <v>29</v>
      </c>
      <c r="H4" s="43" t="s">
        <v>30</v>
      </c>
      <c r="I4" s="43" t="s">
        <v>31</v>
      </c>
      <c r="J4" s="43" t="s">
        <v>32</v>
      </c>
      <c r="K4" s="9"/>
    </row>
  </sheetData>
  <sheetProtection formatCells="0" formatColumns="0" formatRows="0" insertRows="0" insertColumns="0" insertHyperlinks="0" deleteColumns="0" deleteRows="0" sort="0" autoFilter="0" pivotTables="0"/>
  <mergeCells count="1">
    <mergeCell ref="I2:J2"/>
  </mergeCells>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workbookViewId="0">
      <selection activeCell="E11" sqref="E11"/>
    </sheetView>
  </sheetViews>
  <sheetFormatPr defaultColWidth="9" defaultRowHeight="20.1" customHeight="1"/>
  <cols>
    <col min="1" max="1" width="4.625" style="3" customWidth="1"/>
    <col min="2" max="2" width="3.375" style="4" customWidth="1"/>
    <col min="3" max="8" width="20.625" style="49" customWidth="1"/>
    <col min="9" max="9" width="3.375" style="4" customWidth="1"/>
    <col min="10" max="16384" width="9" style="3"/>
  </cols>
  <sheetData>
    <row r="1" s="1" customFormat="1" ht="60" customHeight="1" spans="1:8">
      <c r="A1" s="7"/>
      <c r="C1" s="50"/>
      <c r="D1" s="50"/>
      <c r="E1" s="50"/>
      <c r="F1" s="50"/>
      <c r="G1" s="50"/>
      <c r="H1" s="50"/>
    </row>
    <row r="2" s="2" customFormat="1" ht="39.95" customHeight="1" spans="3:8">
      <c r="C2" s="51"/>
      <c r="D2" s="51"/>
      <c r="E2" s="51"/>
      <c r="F2" s="51"/>
      <c r="G2" s="51"/>
      <c r="H2" s="51"/>
    </row>
    <row r="3" s="2" customFormat="1" customHeight="1" spans="2:9">
      <c r="B3" s="9"/>
      <c r="C3" s="52"/>
      <c r="D3" s="52"/>
      <c r="E3" s="52"/>
      <c r="F3" s="52"/>
      <c r="G3" s="52"/>
      <c r="H3" s="52"/>
      <c r="I3" s="9"/>
    </row>
    <row r="4" s="2" customFormat="1" ht="40" customHeight="1" spans="2:9">
      <c r="B4" s="9"/>
      <c r="C4" s="53" t="s">
        <v>33</v>
      </c>
      <c r="D4" s="53"/>
      <c r="E4" s="53"/>
      <c r="F4" s="53"/>
      <c r="G4" s="53"/>
      <c r="H4" s="53"/>
      <c r="I4" s="9"/>
    </row>
    <row r="5" s="2" customFormat="1" ht="30" customHeight="1" spans="2:9">
      <c r="B5" s="9"/>
      <c r="C5" s="54" t="s">
        <v>34</v>
      </c>
      <c r="D5" s="55" t="s">
        <v>35</v>
      </c>
      <c r="E5" s="54" t="s">
        <v>36</v>
      </c>
      <c r="F5" s="55" t="s">
        <v>37</v>
      </c>
      <c r="G5" s="54" t="s">
        <v>38</v>
      </c>
      <c r="H5" s="56">
        <v>45184</v>
      </c>
      <c r="I5" s="9"/>
    </row>
    <row r="6" s="2" customFormat="1" ht="30" customHeight="1" spans="2:9">
      <c r="B6" s="9"/>
      <c r="C6" s="57" t="s">
        <v>26</v>
      </c>
      <c r="D6" s="57" t="s">
        <v>27</v>
      </c>
      <c r="E6" s="57" t="s">
        <v>28</v>
      </c>
      <c r="F6" s="57" t="s">
        <v>30</v>
      </c>
      <c r="G6" s="57" t="s">
        <v>39</v>
      </c>
      <c r="H6" s="57" t="s">
        <v>31</v>
      </c>
      <c r="I6" s="9"/>
    </row>
    <row r="7" customHeight="1" spans="3:8">
      <c r="C7" s="58" t="s">
        <v>40</v>
      </c>
      <c r="D7" s="58" t="s">
        <v>41</v>
      </c>
      <c r="E7" s="58" t="s">
        <v>42</v>
      </c>
      <c r="F7" s="58">
        <v>200</v>
      </c>
      <c r="G7" s="58">
        <v>70</v>
      </c>
      <c r="H7" s="58">
        <v>14000</v>
      </c>
    </row>
    <row r="8" customHeight="1" spans="3:8">
      <c r="C8" s="58" t="s">
        <v>43</v>
      </c>
      <c r="D8" s="58" t="s">
        <v>44</v>
      </c>
      <c r="E8" s="58" t="s">
        <v>45</v>
      </c>
      <c r="F8" s="58">
        <v>200</v>
      </c>
      <c r="G8" s="58">
        <v>80</v>
      </c>
      <c r="H8" s="58">
        <v>16000</v>
      </c>
    </row>
    <row r="9" customHeight="1" spans="3:8">
      <c r="C9" s="58" t="s">
        <v>46</v>
      </c>
      <c r="D9" s="58" t="s">
        <v>47</v>
      </c>
      <c r="E9" s="58" t="s">
        <v>48</v>
      </c>
      <c r="F9" s="58">
        <v>200</v>
      </c>
      <c r="G9" s="58">
        <v>90</v>
      </c>
      <c r="H9" s="58">
        <v>18000</v>
      </c>
    </row>
    <row r="10" customHeight="1" spans="3:8">
      <c r="C10" s="58" t="s">
        <v>49</v>
      </c>
      <c r="D10" s="58">
        <v>778899</v>
      </c>
      <c r="E10" s="58" t="s">
        <v>48</v>
      </c>
      <c r="F10" s="58">
        <v>200</v>
      </c>
      <c r="G10" s="58">
        <v>100</v>
      </c>
      <c r="H10" s="58">
        <v>20000</v>
      </c>
    </row>
    <row r="11" customHeight="1" spans="3:8">
      <c r="C11" s="58" t="s">
        <v>50</v>
      </c>
      <c r="D11" s="58" t="s">
        <v>51</v>
      </c>
      <c r="E11" s="58" t="s">
        <v>48</v>
      </c>
      <c r="F11" s="58">
        <v>200</v>
      </c>
      <c r="G11" s="58">
        <v>110</v>
      </c>
      <c r="H11" s="58">
        <v>22000</v>
      </c>
    </row>
    <row r="12" customHeight="1" spans="3:8">
      <c r="C12" s="58" t="s">
        <v>52</v>
      </c>
      <c r="D12" s="58">
        <v>222</v>
      </c>
      <c r="E12" s="58" t="s">
        <v>52</v>
      </c>
      <c r="F12" s="58">
        <v>200</v>
      </c>
      <c r="G12" s="58">
        <v>120</v>
      </c>
      <c r="H12" s="58">
        <v>24000</v>
      </c>
    </row>
    <row r="13" customHeight="1" spans="3:8">
      <c r="C13" s="58" t="s">
        <v>52</v>
      </c>
      <c r="D13" s="58" t="s">
        <v>52</v>
      </c>
      <c r="E13" s="58" t="s">
        <v>52</v>
      </c>
      <c r="F13" s="58">
        <v>200</v>
      </c>
      <c r="G13" s="58">
        <v>130</v>
      </c>
      <c r="H13" s="58">
        <v>26000</v>
      </c>
    </row>
    <row r="14" customHeight="1" spans="3:8">
      <c r="C14" s="58"/>
      <c r="D14" s="58"/>
      <c r="E14" s="58"/>
      <c r="F14" s="58"/>
      <c r="G14" s="58"/>
      <c r="H14" s="58"/>
    </row>
    <row r="15" customHeight="1" spans="3:8">
      <c r="C15" s="58"/>
      <c r="D15" s="58"/>
      <c r="E15" s="58"/>
      <c r="F15" s="58"/>
      <c r="G15" s="58"/>
      <c r="H15" s="58"/>
    </row>
    <row r="16" customHeight="1" spans="3:8">
      <c r="C16" s="58"/>
      <c r="D16" s="58"/>
      <c r="E16" s="58"/>
      <c r="F16" s="58"/>
      <c r="G16" s="58"/>
      <c r="H16" s="58"/>
    </row>
    <row r="17" customHeight="1" spans="3:8">
      <c r="C17" s="58"/>
      <c r="D17" s="58"/>
      <c r="E17" s="58"/>
      <c r="F17" s="58"/>
      <c r="G17" s="58"/>
      <c r="H17" s="58"/>
    </row>
    <row r="18" customHeight="1" spans="3:8">
      <c r="C18" s="58"/>
      <c r="D18" s="58"/>
      <c r="E18" s="58"/>
      <c r="F18" s="58"/>
      <c r="G18" s="58"/>
      <c r="H18" s="58"/>
    </row>
    <row r="19" ht="30" customHeight="1" spans="3:8">
      <c r="C19" s="59" t="s">
        <v>53</v>
      </c>
      <c r="D19" s="60">
        <f>G19</f>
        <v>140000</v>
      </c>
      <c r="E19" s="60"/>
      <c r="F19" s="59" t="s">
        <v>54</v>
      </c>
      <c r="G19" s="59">
        <f>SUM(H7:H18)</f>
        <v>140000</v>
      </c>
      <c r="H19" s="59"/>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A1" sqref="A1"/>
    </sheetView>
  </sheetViews>
  <sheetFormatPr defaultColWidth="9" defaultRowHeight="20.1" customHeight="1" outlineLevelRow="3"/>
  <cols>
    <col min="1" max="1" width="4.625" style="3" customWidth="1"/>
    <col min="2" max="2" width="3.375" style="4" customWidth="1"/>
    <col min="3" max="10" width="16.875" style="61" customWidth="1"/>
    <col min="11" max="11" width="3.375" style="4" customWidth="1"/>
    <col min="12" max="16384" width="9" style="3"/>
  </cols>
  <sheetData>
    <row r="1" s="1" customFormat="1" ht="60" customHeight="1" spans="1:1">
      <c r="A1" s="7"/>
    </row>
    <row r="2" s="2" customFormat="1" ht="39.95" customHeight="1" spans="7:10">
      <c r="G2" s="37" t="s">
        <v>55</v>
      </c>
      <c r="H2" s="37"/>
      <c r="I2" s="37" t="s">
        <v>24</v>
      </c>
      <c r="J2" s="37"/>
    </row>
    <row r="3" s="2" customFormat="1" customHeight="1" spans="2:11">
      <c r="B3" s="9"/>
      <c r="C3" s="62"/>
      <c r="D3" s="62"/>
      <c r="E3" s="62"/>
      <c r="F3" s="62"/>
      <c r="G3" s="62"/>
      <c r="H3" s="62"/>
      <c r="I3" s="62"/>
      <c r="J3" s="62"/>
      <c r="K3" s="9"/>
    </row>
    <row r="4" s="2" customFormat="1" ht="30" customHeight="1" spans="2:11">
      <c r="B4" s="9"/>
      <c r="C4" s="43" t="s">
        <v>25</v>
      </c>
      <c r="D4" s="43" t="s">
        <v>26</v>
      </c>
      <c r="E4" s="43" t="s">
        <v>27</v>
      </c>
      <c r="F4" s="43" t="s">
        <v>28</v>
      </c>
      <c r="G4" s="43" t="s">
        <v>29</v>
      </c>
      <c r="H4" s="43" t="s">
        <v>30</v>
      </c>
      <c r="I4" s="43" t="s">
        <v>39</v>
      </c>
      <c r="J4" s="43" t="s">
        <v>32</v>
      </c>
      <c r="K4" s="9"/>
    </row>
  </sheetData>
  <sheetProtection formatCells="0" formatColumns="0" formatRows="0" insertRows="0" insertColumns="0" insertHyperlinks="0" deleteColumns="0" deleteRows="0" sort="0" autoFilter="0" pivotTables="0"/>
  <mergeCells count="2">
    <mergeCell ref="G2:H2"/>
    <mergeCell ref="I2:J2"/>
  </mergeCells>
  <dataValidations count="1">
    <dataValidation type="list" allowBlank="1" showInputMessage="1" sqref="E5:E1048576">
      <formula1>基础资料!$F$5:$F$65536</formula1>
    </dataValidation>
  </dataValidations>
  <pageMargins left="0.7" right="0.7" top="0.75" bottom="0.75" header="0.3" footer="0.3"/>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workbookViewId="0">
      <selection activeCell="E14" sqref="E14"/>
    </sheetView>
  </sheetViews>
  <sheetFormatPr defaultColWidth="9" defaultRowHeight="20.1" customHeight="1"/>
  <cols>
    <col min="1" max="1" width="4.625" style="3" customWidth="1"/>
    <col min="2" max="2" width="3.375" style="4" customWidth="1"/>
    <col min="3" max="8" width="20.625" style="49" customWidth="1"/>
    <col min="9" max="9" width="3.375" style="4" customWidth="1"/>
    <col min="10" max="16384" width="9" style="3"/>
  </cols>
  <sheetData>
    <row r="1" s="1" customFormat="1" ht="60" customHeight="1" spans="1:8">
      <c r="A1" s="7"/>
      <c r="C1" s="50"/>
      <c r="D1" s="50"/>
      <c r="E1" s="50"/>
      <c r="F1" s="50"/>
      <c r="G1" s="50"/>
      <c r="H1" s="50"/>
    </row>
    <row r="2" s="2" customFormat="1" ht="39.95" customHeight="1" spans="3:8">
      <c r="C2" s="51"/>
      <c r="D2" s="51"/>
      <c r="E2" s="51"/>
      <c r="F2" s="51"/>
      <c r="G2" s="51"/>
      <c r="H2" s="51"/>
    </row>
    <row r="3" s="2" customFormat="1" customHeight="1" spans="2:9">
      <c r="B3" s="9"/>
      <c r="C3" s="52"/>
      <c r="D3" s="52"/>
      <c r="E3" s="52"/>
      <c r="F3" s="52"/>
      <c r="G3" s="52"/>
      <c r="H3" s="52"/>
      <c r="I3" s="9"/>
    </row>
    <row r="4" s="2" customFormat="1" ht="40" customHeight="1" spans="2:9">
      <c r="B4" s="9"/>
      <c r="C4" s="53" t="s">
        <v>56</v>
      </c>
      <c r="D4" s="53"/>
      <c r="E4" s="53"/>
      <c r="F4" s="53"/>
      <c r="G4" s="53"/>
      <c r="H4" s="53"/>
      <c r="I4" s="9"/>
    </row>
    <row r="5" s="2" customFormat="1" ht="30" customHeight="1" spans="2:9">
      <c r="B5" s="9"/>
      <c r="C5" s="54" t="s">
        <v>34</v>
      </c>
      <c r="D5" s="55" t="s">
        <v>57</v>
      </c>
      <c r="E5" s="54" t="s">
        <v>58</v>
      </c>
      <c r="F5" s="55" t="s">
        <v>59</v>
      </c>
      <c r="G5" s="54" t="s">
        <v>60</v>
      </c>
      <c r="H5" s="56">
        <v>45194</v>
      </c>
      <c r="I5" s="9"/>
    </row>
    <row r="6" s="2" customFormat="1" ht="30" customHeight="1" spans="2:9">
      <c r="B6" s="9"/>
      <c r="C6" s="57" t="s">
        <v>26</v>
      </c>
      <c r="D6" s="57" t="s">
        <v>27</v>
      </c>
      <c r="E6" s="57" t="s">
        <v>28</v>
      </c>
      <c r="F6" s="57" t="s">
        <v>30</v>
      </c>
      <c r="G6" s="57" t="s">
        <v>39</v>
      </c>
      <c r="H6" s="57" t="s">
        <v>31</v>
      </c>
      <c r="I6" s="9"/>
    </row>
    <row r="7" s="3" customFormat="1" customHeight="1" spans="2:9">
      <c r="B7" s="4"/>
      <c r="C7" s="58" t="s">
        <v>40</v>
      </c>
      <c r="D7" s="58" t="s">
        <v>41</v>
      </c>
      <c r="E7" s="58" t="s">
        <v>42</v>
      </c>
      <c r="F7" s="58">
        <v>20</v>
      </c>
      <c r="G7" s="58">
        <v>20</v>
      </c>
      <c r="H7" s="58">
        <v>400</v>
      </c>
      <c r="I7" s="4"/>
    </row>
    <row r="8" s="3" customFormat="1" customHeight="1" spans="2:9">
      <c r="B8" s="4"/>
      <c r="C8" s="58" t="s">
        <v>43</v>
      </c>
      <c r="D8" s="58" t="s">
        <v>44</v>
      </c>
      <c r="E8" s="58" t="s">
        <v>45</v>
      </c>
      <c r="F8" s="58">
        <v>20</v>
      </c>
      <c r="G8" s="58">
        <v>20</v>
      </c>
      <c r="H8" s="58">
        <v>400</v>
      </c>
      <c r="I8" s="4"/>
    </row>
    <row r="9" s="3" customFormat="1" customHeight="1" spans="2:9">
      <c r="B9" s="4"/>
      <c r="C9" s="58" t="s">
        <v>46</v>
      </c>
      <c r="D9" s="58" t="s">
        <v>47</v>
      </c>
      <c r="E9" s="58" t="s">
        <v>48</v>
      </c>
      <c r="F9" s="58">
        <v>20</v>
      </c>
      <c r="G9" s="58">
        <v>20</v>
      </c>
      <c r="H9" s="58">
        <v>400</v>
      </c>
      <c r="I9" s="4"/>
    </row>
    <row r="10" s="3" customFormat="1" customHeight="1" spans="2:9">
      <c r="B10" s="4"/>
      <c r="C10" s="58" t="s">
        <v>49</v>
      </c>
      <c r="D10" s="58">
        <v>778899</v>
      </c>
      <c r="E10" s="58" t="s">
        <v>48</v>
      </c>
      <c r="F10" s="58">
        <v>20</v>
      </c>
      <c r="G10" s="58">
        <v>20</v>
      </c>
      <c r="H10" s="58">
        <v>400</v>
      </c>
      <c r="I10" s="4"/>
    </row>
    <row r="11" s="3" customFormat="1" customHeight="1" spans="2:9">
      <c r="B11" s="4"/>
      <c r="C11" s="58" t="s">
        <v>50</v>
      </c>
      <c r="D11" s="58" t="s">
        <v>51</v>
      </c>
      <c r="E11" s="58" t="s">
        <v>48</v>
      </c>
      <c r="F11" s="58">
        <v>20</v>
      </c>
      <c r="G11" s="58">
        <v>20</v>
      </c>
      <c r="H11" s="58">
        <v>400</v>
      </c>
      <c r="I11" s="4"/>
    </row>
    <row r="12" s="3" customFormat="1" customHeight="1" spans="2:9">
      <c r="B12" s="4"/>
      <c r="C12" s="58" t="s">
        <v>52</v>
      </c>
      <c r="D12" s="58">
        <v>222</v>
      </c>
      <c r="E12" s="58" t="s">
        <v>52</v>
      </c>
      <c r="F12" s="58">
        <v>20</v>
      </c>
      <c r="G12" s="58">
        <v>20</v>
      </c>
      <c r="H12" s="58">
        <v>400</v>
      </c>
      <c r="I12" s="4"/>
    </row>
    <row r="13" s="3" customFormat="1" customHeight="1" spans="2:9">
      <c r="B13" s="4"/>
      <c r="C13" s="58" t="s">
        <v>52</v>
      </c>
      <c r="D13" s="58" t="s">
        <v>52</v>
      </c>
      <c r="E13" s="58" t="s">
        <v>52</v>
      </c>
      <c r="F13" s="58">
        <v>20</v>
      </c>
      <c r="G13" s="58">
        <v>20</v>
      </c>
      <c r="H13" s="58">
        <v>400</v>
      </c>
      <c r="I13" s="4"/>
    </row>
    <row r="14" s="3" customFormat="1" customHeight="1" spans="2:9">
      <c r="B14" s="4"/>
      <c r="C14" s="58"/>
      <c r="D14" s="58"/>
      <c r="E14" s="58"/>
      <c r="F14" s="58"/>
      <c r="G14" s="58"/>
      <c r="H14" s="58"/>
      <c r="I14" s="4"/>
    </row>
    <row r="15" s="3" customFormat="1" customHeight="1" spans="2:9">
      <c r="B15" s="4"/>
      <c r="C15" s="58"/>
      <c r="D15" s="58"/>
      <c r="E15" s="58"/>
      <c r="F15" s="58"/>
      <c r="G15" s="58"/>
      <c r="H15" s="58"/>
      <c r="I15" s="4"/>
    </row>
    <row r="16" s="3" customFormat="1" customHeight="1" spans="2:9">
      <c r="B16" s="4"/>
      <c r="C16" s="58"/>
      <c r="D16" s="58"/>
      <c r="E16" s="58"/>
      <c r="F16" s="58"/>
      <c r="G16" s="58"/>
      <c r="H16" s="58"/>
      <c r="I16" s="4"/>
    </row>
    <row r="17" s="3" customFormat="1" customHeight="1" spans="2:9">
      <c r="B17" s="4"/>
      <c r="C17" s="58"/>
      <c r="D17" s="58"/>
      <c r="E17" s="58"/>
      <c r="F17" s="58"/>
      <c r="G17" s="58"/>
      <c r="H17" s="58"/>
      <c r="I17" s="4"/>
    </row>
    <row r="18" s="3" customFormat="1" customHeight="1" spans="2:9">
      <c r="B18" s="4"/>
      <c r="C18" s="58"/>
      <c r="D18" s="58"/>
      <c r="E18" s="58"/>
      <c r="F18" s="58"/>
      <c r="G18" s="58"/>
      <c r="H18" s="58"/>
      <c r="I18" s="4"/>
    </row>
    <row r="19" s="3" customFormat="1" ht="30" customHeight="1" spans="2:9">
      <c r="B19" s="4"/>
      <c r="C19" s="59" t="s">
        <v>53</v>
      </c>
      <c r="D19" s="60">
        <f>G19</f>
        <v>2800</v>
      </c>
      <c r="E19" s="60"/>
      <c r="F19" s="59" t="s">
        <v>54</v>
      </c>
      <c r="G19" s="59">
        <f>SUM(H7:H18)</f>
        <v>2800</v>
      </c>
      <c r="H19" s="59"/>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H13" sqref="H13"/>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13" customWidth="1"/>
    <col min="11" max="11" width="3.375" style="4" customWidth="1"/>
    <col min="12" max="12" width="4.25" style="3" hidden="1" customWidth="1"/>
    <col min="13" max="13" width="9" style="3"/>
    <col min="14" max="20" width="9" style="6"/>
  </cols>
  <sheetData>
    <row r="1" s="1" customFormat="1" ht="60" customHeight="1" spans="1:1">
      <c r="A1" s="7"/>
    </row>
    <row r="2" s="2" customFormat="1" ht="39.95" customHeight="1" spans="10:10">
      <c r="J2" s="48" t="s">
        <v>61</v>
      </c>
    </row>
    <row r="3" s="2" customFormat="1" customHeight="1" spans="2:11">
      <c r="B3" s="9"/>
      <c r="C3" s="9"/>
      <c r="D3" s="9"/>
      <c r="E3" s="9"/>
      <c r="F3" s="9"/>
      <c r="G3" s="9"/>
      <c r="H3" s="9"/>
      <c r="I3" s="9"/>
      <c r="J3" s="9"/>
      <c r="K3" s="9"/>
    </row>
    <row r="4" s="2" customFormat="1" ht="30" customHeight="1" spans="2:11">
      <c r="B4" s="9"/>
      <c r="C4" s="9" t="s">
        <v>62</v>
      </c>
      <c r="D4" s="43" t="s">
        <v>25</v>
      </c>
      <c r="E4" s="43" t="s">
        <v>26</v>
      </c>
      <c r="F4" s="43" t="s">
        <v>27</v>
      </c>
      <c r="G4" s="43" t="s">
        <v>28</v>
      </c>
      <c r="H4" s="43" t="s">
        <v>63</v>
      </c>
      <c r="I4" s="43" t="s">
        <v>64</v>
      </c>
      <c r="J4" s="43" t="s">
        <v>31</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O13"/>
  <sheetViews>
    <sheetView showGridLines="0" workbookViewId="0">
      <pane ySplit="4" topLeftCell="A5" activePane="bottomLeft" state="frozen"/>
      <selection/>
      <selection pane="bottomLeft" activeCell="N6" sqref="N6"/>
    </sheetView>
  </sheetViews>
  <sheetFormatPr defaultColWidth="9" defaultRowHeight="20.1" customHeight="1"/>
  <cols>
    <col min="1" max="1" width="4.625" style="3" customWidth="1"/>
    <col min="2" max="2" width="5.625" style="18" customWidth="1"/>
    <col min="3" max="3" width="4.625" style="4" hidden="1" customWidth="1"/>
    <col min="4" max="11" width="16.875" style="13" customWidth="1"/>
    <col min="12" max="12" width="16.875" style="42" customWidth="1"/>
    <col min="13" max="14" width="16.875" style="13" customWidth="1"/>
    <col min="15" max="15" width="3.375" style="4" customWidth="1"/>
    <col min="16" max="16" width="9" style="3" customWidth="1"/>
    <col min="17" max="17" width="9" style="3"/>
    <col min="18" max="16384" width="9" style="6"/>
  </cols>
  <sheetData>
    <row r="1" s="1" customFormat="1" ht="60" customHeight="1" spans="1:12">
      <c r="A1" s="7"/>
      <c r="L1" s="44"/>
    </row>
    <row r="2" s="2" customFormat="1" ht="39.95" customHeight="1" spans="12:12">
      <c r="L2" s="45"/>
    </row>
    <row r="3" s="2" customFormat="1" customHeight="1" spans="2:15">
      <c r="B3" s="9"/>
      <c r="C3" s="9"/>
      <c r="D3" s="9"/>
      <c r="E3" s="9"/>
      <c r="F3" s="9"/>
      <c r="G3" s="9"/>
      <c r="H3" s="9"/>
      <c r="I3" s="9"/>
      <c r="J3" s="9"/>
      <c r="K3" s="9"/>
      <c r="L3" s="46"/>
      <c r="M3" s="9"/>
      <c r="N3" s="9"/>
      <c r="O3" s="9"/>
    </row>
    <row r="4" s="2" customFormat="1" ht="30" customHeight="1" spans="2:15">
      <c r="B4" s="20" t="s">
        <v>65</v>
      </c>
      <c r="C4" s="9" t="s">
        <v>62</v>
      </c>
      <c r="D4" s="43" t="s">
        <v>25</v>
      </c>
      <c r="E4" s="43" t="s">
        <v>66</v>
      </c>
      <c r="F4" s="43" t="s">
        <v>27</v>
      </c>
      <c r="G4" s="43" t="s">
        <v>26</v>
      </c>
      <c r="H4" s="43" t="s">
        <v>28</v>
      </c>
      <c r="I4" s="43" t="s">
        <v>67</v>
      </c>
      <c r="J4" s="43" t="s">
        <v>30</v>
      </c>
      <c r="K4" s="43" t="s">
        <v>68</v>
      </c>
      <c r="L4" s="47" t="s">
        <v>69</v>
      </c>
      <c r="M4" s="43" t="s">
        <v>70</v>
      </c>
      <c r="N4" s="43" t="s">
        <v>71</v>
      </c>
      <c r="O4" s="9"/>
    </row>
    <row r="5" s="3" customFormat="1" customHeight="1" spans="2:15">
      <c r="B5" s="18"/>
      <c r="C5" s="4"/>
      <c r="D5" s="13"/>
      <c r="E5" s="13"/>
      <c r="F5" s="13"/>
      <c r="G5" s="13"/>
      <c r="H5" s="13"/>
      <c r="I5" s="13"/>
      <c r="J5" s="13"/>
      <c r="K5" s="13"/>
      <c r="L5" s="42"/>
      <c r="M5" s="13"/>
      <c r="N5" s="13"/>
      <c r="O5" s="4"/>
    </row>
    <row r="6" s="3" customFormat="1" customHeight="1" spans="2:15">
      <c r="B6" s="18"/>
      <c r="C6" s="4"/>
      <c r="D6" s="13"/>
      <c r="E6" s="13"/>
      <c r="F6" s="13"/>
      <c r="G6" s="13"/>
      <c r="H6" s="13"/>
      <c r="I6" s="13"/>
      <c r="J6" s="13"/>
      <c r="K6" s="13"/>
      <c r="L6" s="42"/>
      <c r="M6" s="13"/>
      <c r="N6" s="13"/>
      <c r="O6" s="4"/>
    </row>
    <row r="7" s="3" customFormat="1" customHeight="1" spans="2:15">
      <c r="B7" s="18"/>
      <c r="C7" s="4"/>
      <c r="D7" s="13"/>
      <c r="E7" s="13"/>
      <c r="F7" s="13"/>
      <c r="G7" s="13"/>
      <c r="H7" s="13"/>
      <c r="I7" s="13"/>
      <c r="J7" s="13"/>
      <c r="K7" s="13"/>
      <c r="L7" s="42"/>
      <c r="M7" s="13"/>
      <c r="N7" s="13"/>
      <c r="O7" s="4"/>
    </row>
    <row r="8" s="3" customFormat="1" customHeight="1" spans="2:15">
      <c r="B8" s="18"/>
      <c r="C8" s="4"/>
      <c r="D8" s="13"/>
      <c r="E8" s="13"/>
      <c r="F8" s="13"/>
      <c r="G8" s="13"/>
      <c r="H8" s="13"/>
      <c r="I8" s="13"/>
      <c r="J8" s="13"/>
      <c r="K8" s="13"/>
      <c r="L8" s="42"/>
      <c r="M8" s="13"/>
      <c r="N8" s="13"/>
      <c r="O8" s="4"/>
    </row>
    <row r="9" s="3" customFormat="1" customHeight="1" spans="2:15">
      <c r="B9" s="18"/>
      <c r="C9" s="4"/>
      <c r="D9" s="13"/>
      <c r="E9" s="13"/>
      <c r="F9" s="13"/>
      <c r="G9" s="13"/>
      <c r="H9" s="13"/>
      <c r="I9" s="13"/>
      <c r="J9" s="13"/>
      <c r="K9" s="13"/>
      <c r="L9" s="42"/>
      <c r="M9" s="13"/>
      <c r="N9" s="13"/>
      <c r="O9" s="4"/>
    </row>
    <row r="10" s="3" customFormat="1" customHeight="1" spans="2:15">
      <c r="B10" s="18"/>
      <c r="C10" s="4"/>
      <c r="D10" s="13"/>
      <c r="E10" s="13"/>
      <c r="F10" s="13"/>
      <c r="G10" s="13"/>
      <c r="H10" s="13"/>
      <c r="I10" s="13"/>
      <c r="J10" s="13"/>
      <c r="K10" s="13"/>
      <c r="L10" s="42"/>
      <c r="M10" s="13"/>
      <c r="N10" s="13"/>
      <c r="O10" s="4"/>
    </row>
    <row r="11" s="3" customFormat="1" customHeight="1" spans="2:15">
      <c r="B11" s="18"/>
      <c r="C11" s="4"/>
      <c r="D11" s="13"/>
      <c r="E11" s="13"/>
      <c r="F11" s="13"/>
      <c r="G11" s="13"/>
      <c r="H11" s="13"/>
      <c r="I11" s="13"/>
      <c r="J11" s="13"/>
      <c r="K11" s="13"/>
      <c r="L11" s="42"/>
      <c r="M11" s="13"/>
      <c r="N11" s="13"/>
      <c r="O11" s="4"/>
    </row>
    <row r="12" s="3" customFormat="1" customHeight="1" spans="2:15">
      <c r="B12" s="18"/>
      <c r="C12" s="4"/>
      <c r="D12" s="13"/>
      <c r="E12" s="13"/>
      <c r="F12" s="13"/>
      <c r="G12" s="13"/>
      <c r="H12" s="13"/>
      <c r="I12" s="13"/>
      <c r="J12" s="13"/>
      <c r="K12" s="13"/>
      <c r="L12" s="42"/>
      <c r="M12" s="13"/>
      <c r="N12" s="13"/>
      <c r="O12" s="4"/>
    </row>
    <row r="13" s="3" customFormat="1" customHeight="1" spans="2:15">
      <c r="B13" s="18"/>
      <c r="C13" s="4"/>
      <c r="D13" s="13"/>
      <c r="E13" s="13"/>
      <c r="F13" s="13"/>
      <c r="G13" s="13"/>
      <c r="H13" s="13"/>
      <c r="I13" s="13"/>
      <c r="J13" s="13"/>
      <c r="K13" s="13"/>
      <c r="L13" s="42"/>
      <c r="M13" s="13"/>
      <c r="N13" s="13"/>
      <c r="O13" s="4"/>
    </row>
  </sheetData>
  <sheetProtection formatCells="0" formatColumns="0" formatRows="0" insertRows="0" insertColumns="0" insertHyperlinks="0" deleteColumns="0" deleteRows="0" sort="0" autoFilter="0" pivotTables="0"/>
  <autoFilter xmlns:etc="http://www.wps.cn/officeDocument/2017/etCustomData" ref="D4:K70" etc:filterBottomFollowUsedRange="0">
    <extLst/>
  </autoFilter>
  <dataValidations count="1">
    <dataValidation type="list" allowBlank="1" showInputMessage="1" showErrorMessage="1" sqref="K5:K1048576">
      <formula1>"入库,出库"</formula1>
    </dataValidation>
  </dataValidations>
  <pageMargins left="0.75" right="0.75" top="1" bottom="1" header="0.5" footer="0.5"/>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workbookViewId="0">
      <pane ySplit="5" topLeftCell="A6" activePane="bottomLeft" state="frozen"/>
      <selection/>
      <selection pane="bottomLeft" activeCell="G4" sqref="G4:G5"/>
    </sheetView>
  </sheetViews>
  <sheetFormatPr defaultColWidth="9" defaultRowHeight="20.1" customHeight="1"/>
  <cols>
    <col min="1" max="1" width="4.625" style="30" customWidth="1"/>
    <col min="2" max="2" width="3.375" style="31" customWidth="1"/>
    <col min="3" max="3" width="4.625" style="31" hidden="1" customWidth="1"/>
    <col min="4" max="4" width="16.875" style="32" customWidth="1"/>
    <col min="5" max="7" width="16.875" style="17" customWidth="1"/>
    <col min="8" max="16" width="16.875" style="32" customWidth="1"/>
    <col min="17" max="17" width="3.375" style="31" customWidth="1"/>
    <col min="18" max="18" width="9" style="30" hidden="1" customWidth="1"/>
    <col min="19" max="19" width="9" style="30"/>
    <col min="20" max="16384" width="9" style="33"/>
  </cols>
  <sheetData>
    <row r="1" s="28" customFormat="1" ht="60" customHeight="1" spans="1:7">
      <c r="A1" s="34"/>
      <c r="E1" s="35"/>
      <c r="F1" s="35"/>
      <c r="G1" s="35"/>
    </row>
    <row r="2" s="29" customFormat="1" ht="39.95" customHeight="1" spans="5:9">
      <c r="E2" s="36"/>
      <c r="F2" s="36"/>
      <c r="G2" s="36"/>
      <c r="H2" s="37" t="s">
        <v>55</v>
      </c>
      <c r="I2" s="37"/>
    </row>
    <row r="3" s="29" customFormat="1" customHeight="1" spans="2:17">
      <c r="B3" s="38"/>
      <c r="C3" s="38"/>
      <c r="D3" s="38"/>
      <c r="E3" s="39"/>
      <c r="F3" s="39"/>
      <c r="G3" s="39"/>
      <c r="H3" s="38"/>
      <c r="I3" s="38"/>
      <c r="J3" s="38"/>
      <c r="K3" s="38"/>
      <c r="L3" s="38"/>
      <c r="M3" s="38"/>
      <c r="N3" s="38"/>
      <c r="O3" s="38"/>
      <c r="P3" s="38"/>
      <c r="Q3" s="38"/>
    </row>
    <row r="4" s="29" customFormat="1" ht="24.95" customHeight="1" spans="2:17">
      <c r="B4" s="38"/>
      <c r="C4" s="38" t="s">
        <v>62</v>
      </c>
      <c r="D4" s="15" t="s">
        <v>25</v>
      </c>
      <c r="E4" s="40" t="s">
        <v>27</v>
      </c>
      <c r="F4" s="40" t="s">
        <v>26</v>
      </c>
      <c r="G4" s="40" t="s">
        <v>28</v>
      </c>
      <c r="H4" s="15" t="s">
        <v>72</v>
      </c>
      <c r="I4" s="15"/>
      <c r="J4" s="15" t="s">
        <v>73</v>
      </c>
      <c r="K4" s="15"/>
      <c r="L4" s="15" t="s">
        <v>74</v>
      </c>
      <c r="M4" s="15"/>
      <c r="N4" s="15" t="s">
        <v>75</v>
      </c>
      <c r="O4" s="15"/>
      <c r="P4" s="15" t="s">
        <v>76</v>
      </c>
      <c r="Q4" s="38"/>
    </row>
    <row r="5" s="29" customFormat="1" ht="24.95" customHeight="1" spans="2:17">
      <c r="B5" s="38"/>
      <c r="C5" s="38"/>
      <c r="D5" s="26"/>
      <c r="E5" s="41"/>
      <c r="F5" s="41"/>
      <c r="G5" s="41"/>
      <c r="H5" s="26" t="s">
        <v>30</v>
      </c>
      <c r="I5" s="26" t="s">
        <v>31</v>
      </c>
      <c r="J5" s="26" t="s">
        <v>30</v>
      </c>
      <c r="K5" s="26" t="s">
        <v>31</v>
      </c>
      <c r="L5" s="26" t="s">
        <v>30</v>
      </c>
      <c r="M5" s="26" t="s">
        <v>31</v>
      </c>
      <c r="N5" s="26" t="s">
        <v>30</v>
      </c>
      <c r="O5" s="26" t="s">
        <v>31</v>
      </c>
      <c r="P5" s="26"/>
      <c r="Q5" s="38"/>
    </row>
    <row r="6" s="30" customFormat="1" customHeight="1" spans="2:17">
      <c r="B6" s="31"/>
      <c r="C6" s="31"/>
      <c r="D6" s="32"/>
      <c r="E6" s="17"/>
      <c r="F6" s="17"/>
      <c r="G6" s="17"/>
      <c r="H6" s="32"/>
      <c r="I6" s="32"/>
      <c r="J6" s="32"/>
      <c r="K6" s="32"/>
      <c r="L6" s="32"/>
      <c r="M6" s="32"/>
      <c r="N6" s="32"/>
      <c r="O6" s="32"/>
      <c r="P6" s="32"/>
      <c r="Q6" s="31"/>
    </row>
    <row r="7" s="30" customFormat="1" customHeight="1" spans="2:17">
      <c r="B7" s="31"/>
      <c r="C7" s="31"/>
      <c r="D7" s="32"/>
      <c r="E7" s="17"/>
      <c r="F7" s="17"/>
      <c r="G7" s="17"/>
      <c r="H7" s="32"/>
      <c r="I7" s="32"/>
      <c r="J7" s="32"/>
      <c r="K7" s="32"/>
      <c r="L7" s="32"/>
      <c r="M7" s="32"/>
      <c r="N7" s="32"/>
      <c r="O7" s="32"/>
      <c r="P7" s="32"/>
      <c r="Q7" s="31"/>
    </row>
    <row r="8" s="30" customFormat="1" customHeight="1" spans="2:17">
      <c r="B8" s="31"/>
      <c r="C8" s="31"/>
      <c r="D8" s="32"/>
      <c r="E8" s="17"/>
      <c r="F8" s="17"/>
      <c r="G8" s="17"/>
      <c r="H8" s="32"/>
      <c r="I8" s="32"/>
      <c r="J8" s="32"/>
      <c r="K8" s="32"/>
      <c r="L8" s="32"/>
      <c r="M8" s="32"/>
      <c r="N8" s="32"/>
      <c r="O8" s="32"/>
      <c r="P8" s="32"/>
      <c r="Q8" s="31"/>
    </row>
    <row r="9" s="30" customFormat="1" customHeight="1" spans="2:17">
      <c r="B9" s="31"/>
      <c r="C9" s="31"/>
      <c r="D9" s="32"/>
      <c r="E9" s="17"/>
      <c r="F9" s="17"/>
      <c r="G9" s="17"/>
      <c r="H9" s="32"/>
      <c r="I9" s="32"/>
      <c r="J9" s="32"/>
      <c r="K9" s="32"/>
      <c r="L9" s="32"/>
      <c r="M9" s="32"/>
      <c r="N9" s="32"/>
      <c r="O9" s="32"/>
      <c r="P9" s="32"/>
      <c r="Q9" s="31"/>
    </row>
    <row r="10" s="30" customFormat="1" customHeight="1" spans="2:17">
      <c r="B10" s="31"/>
      <c r="C10" s="31"/>
      <c r="D10" s="32"/>
      <c r="E10" s="17"/>
      <c r="F10" s="17"/>
      <c r="G10" s="17"/>
      <c r="H10" s="32"/>
      <c r="I10" s="32"/>
      <c r="J10" s="32"/>
      <c r="K10" s="32"/>
      <c r="L10" s="32"/>
      <c r="M10" s="32"/>
      <c r="N10" s="32"/>
      <c r="O10" s="32"/>
      <c r="P10" s="32"/>
      <c r="Q10" s="31"/>
    </row>
    <row r="11" s="30" customFormat="1" customHeight="1" spans="2:17">
      <c r="B11" s="31"/>
      <c r="C11" s="31"/>
      <c r="D11" s="32"/>
      <c r="E11" s="17"/>
      <c r="F11" s="17"/>
      <c r="G11" s="17"/>
      <c r="H11" s="32"/>
      <c r="I11" s="32"/>
      <c r="J11" s="32"/>
      <c r="K11" s="32"/>
      <c r="L11" s="32"/>
      <c r="M11" s="32"/>
      <c r="N11" s="32"/>
      <c r="O11" s="32"/>
      <c r="P11" s="32"/>
      <c r="Q11" s="31"/>
    </row>
    <row r="12" s="30" customFormat="1" customHeight="1" spans="2:17">
      <c r="B12" s="31"/>
      <c r="C12" s="31"/>
      <c r="D12" s="32"/>
      <c r="E12" s="17"/>
      <c r="F12" s="17"/>
      <c r="G12" s="17"/>
      <c r="H12" s="32"/>
      <c r="I12" s="32"/>
      <c r="J12" s="32"/>
      <c r="K12" s="32"/>
      <c r="L12" s="32"/>
      <c r="M12" s="32"/>
      <c r="N12" s="32"/>
      <c r="O12" s="32"/>
      <c r="P12" s="32"/>
      <c r="Q12" s="31"/>
    </row>
    <row r="13" s="30" customFormat="1" customHeight="1" spans="2:17">
      <c r="B13" s="31"/>
      <c r="C13" s="31"/>
      <c r="D13" s="32"/>
      <c r="E13" s="17"/>
      <c r="F13" s="17"/>
      <c r="G13" s="17"/>
      <c r="H13" s="32"/>
      <c r="I13" s="32"/>
      <c r="J13" s="32"/>
      <c r="K13" s="32"/>
      <c r="L13" s="32"/>
      <c r="M13" s="32"/>
      <c r="N13" s="32"/>
      <c r="O13" s="32"/>
      <c r="P13" s="32"/>
      <c r="Q13" s="31"/>
    </row>
    <row r="14" s="30" customFormat="1" customHeight="1" spans="2:17">
      <c r="B14" s="31"/>
      <c r="C14" s="31"/>
      <c r="D14" s="32"/>
      <c r="E14" s="17"/>
      <c r="F14" s="17"/>
      <c r="G14" s="17"/>
      <c r="H14" s="32"/>
      <c r="I14" s="32"/>
      <c r="J14" s="32"/>
      <c r="K14" s="32"/>
      <c r="L14" s="32"/>
      <c r="M14" s="32"/>
      <c r="N14" s="32"/>
      <c r="O14" s="32"/>
      <c r="P14" s="32"/>
      <c r="Q14" s="31"/>
    </row>
  </sheetData>
  <sheetProtection formatCells="0" formatColumns="0" formatRows="0" insertRows="0" insertColumns="0" insertHyperlinks="0" deleteColumns="0" deleteRows="0" sort="0" autoFilter="0" pivotTables="0"/>
  <mergeCells count="10">
    <mergeCell ref="H2:I2"/>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J5"/>
  <sheetViews>
    <sheetView showGridLines="0" workbookViewId="0">
      <pane ySplit="5" topLeftCell="A6" activePane="bottomLeft" state="frozen"/>
      <selection/>
      <selection pane="bottomLeft" activeCell="I6" sqref="I6"/>
    </sheetView>
  </sheetViews>
  <sheetFormatPr defaultColWidth="9" defaultRowHeight="20.1" customHeight="1" outlineLevelRow="4"/>
  <cols>
    <col min="1" max="1" width="4.625" style="3" customWidth="1"/>
    <col min="2" max="2" width="3.375" style="4" customWidth="1"/>
    <col min="3" max="3" width="4.625" style="4" hidden="1" customWidth="1"/>
    <col min="4" max="9" width="16.875" style="13" customWidth="1"/>
    <col min="10" max="10" width="3.375" style="4" customWidth="1"/>
    <col min="11" max="11" width="9" style="3" customWidth="1"/>
    <col min="12" max="16384" width="9" style="3"/>
  </cols>
  <sheetData>
    <row r="1" s="1" customFormat="1" ht="60" customHeight="1" spans="1:1">
      <c r="A1" s="7"/>
    </row>
    <row r="2" s="2" customFormat="1" ht="39.95" customHeight="1"/>
    <row r="3" s="2" customFormat="1" customHeight="1" spans="2:10">
      <c r="B3" s="9"/>
      <c r="C3" s="9"/>
      <c r="D3" s="9"/>
      <c r="E3" s="9"/>
      <c r="F3" s="9"/>
      <c r="G3" s="9"/>
      <c r="H3" s="9"/>
      <c r="I3" s="9"/>
      <c r="J3" s="9"/>
    </row>
    <row r="4" s="2" customFormat="1" ht="24.95" customHeight="1" spans="2:10">
      <c r="B4" s="9"/>
      <c r="C4" s="9" t="s">
        <v>62</v>
      </c>
      <c r="D4" s="15" t="s">
        <v>77</v>
      </c>
      <c r="E4" s="15" t="s">
        <v>27</v>
      </c>
      <c r="F4" s="15" t="s">
        <v>28</v>
      </c>
      <c r="G4" s="15" t="s">
        <v>26</v>
      </c>
      <c r="H4" s="26" t="s">
        <v>78</v>
      </c>
      <c r="I4" s="26" t="s">
        <v>79</v>
      </c>
      <c r="J4" s="9"/>
    </row>
    <row r="5" s="2" customFormat="1" ht="24.95" customHeight="1" spans="2:10">
      <c r="B5" s="9"/>
      <c r="C5" s="9"/>
      <c r="D5" s="15"/>
      <c r="E5" s="15"/>
      <c r="F5" s="15"/>
      <c r="G5" s="15"/>
      <c r="H5" s="27"/>
      <c r="I5" s="27"/>
      <c r="J5" s="9"/>
    </row>
  </sheetData>
  <sheetProtection formatCells="0" formatColumns="0" formatRows="0" insertRows="0" insertColumns="0" insertHyperlinks="0" deleteColumns="0" deleteRows="0" sort="0" autoFilter="0" pivotTables="0"/>
  <mergeCells count="6">
    <mergeCell ref="D4:D5"/>
    <mergeCell ref="E4:E5"/>
    <mergeCell ref="F4:F5"/>
    <mergeCell ref="G4:G5"/>
    <mergeCell ref="H4:H5"/>
    <mergeCell ref="I4:I5"/>
  </mergeCells>
  <pageMargins left="0.75" right="0.75" top="1" bottom="1" header="0.5" footer="0.5"/>
  <pageSetup paperSize="256" orientation="portrait"/>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K20"/>
  <sheetViews>
    <sheetView showGridLines="0" workbookViewId="0">
      <selection activeCell="A1" sqref="A1"/>
    </sheetView>
  </sheetViews>
  <sheetFormatPr defaultColWidth="9" defaultRowHeight="20.1" customHeight="1"/>
  <cols>
    <col min="1" max="1" width="4.625" style="3" customWidth="1"/>
    <col min="2" max="2" width="3.375" style="4" customWidth="1"/>
    <col min="3" max="3" width="4.625" style="4" hidden="1" customWidth="1"/>
    <col min="4" max="4" width="18.875" style="23" customWidth="1"/>
    <col min="5" max="10" width="16.875" style="13" customWidth="1"/>
    <col min="11" max="11" width="3.375" style="4" customWidth="1"/>
    <col min="12" max="12" width="9" style="3" customWidth="1"/>
    <col min="13" max="16384" width="9" style="3"/>
  </cols>
  <sheetData>
    <row r="1" s="1" customFormat="1" ht="60" customHeight="1" spans="1:1">
      <c r="A1" s="7"/>
    </row>
    <row r="2" s="2" customFormat="1" ht="39.95" customHeight="1"/>
    <row r="3" s="2" customFormat="1" customHeight="1" spans="2:11">
      <c r="B3" s="9"/>
      <c r="C3" s="9"/>
      <c r="D3" s="9"/>
      <c r="E3" s="9"/>
      <c r="F3" s="9"/>
      <c r="G3" s="9"/>
      <c r="H3" s="9"/>
      <c r="I3" s="9"/>
      <c r="J3" s="9"/>
      <c r="K3" s="9"/>
    </row>
    <row r="4" s="2" customFormat="1" ht="24.95" customHeight="1" spans="2:11">
      <c r="B4" s="9"/>
      <c r="C4" s="9" t="s">
        <v>62</v>
      </c>
      <c r="D4" s="15" t="s">
        <v>27</v>
      </c>
      <c r="E4" s="15" t="s">
        <v>26</v>
      </c>
      <c r="F4" s="15" t="s">
        <v>80</v>
      </c>
      <c r="G4" s="24" t="s">
        <v>73</v>
      </c>
      <c r="H4" s="25"/>
      <c r="I4" s="24" t="s">
        <v>74</v>
      </c>
      <c r="J4" s="25"/>
      <c r="K4" s="9"/>
    </row>
    <row r="5" s="2" customFormat="1" ht="24.95" customHeight="1" spans="2:11">
      <c r="B5" s="9"/>
      <c r="C5" s="9"/>
      <c r="D5" s="15"/>
      <c r="E5" s="15"/>
      <c r="F5" s="15"/>
      <c r="G5" s="15" t="s">
        <v>30</v>
      </c>
      <c r="H5" s="15" t="s">
        <v>31</v>
      </c>
      <c r="I5" s="15" t="s">
        <v>30</v>
      </c>
      <c r="J5" s="15" t="s">
        <v>31</v>
      </c>
      <c r="K5" s="9"/>
    </row>
    <row r="6" s="3" customFormat="1" customHeight="1" spans="2:11">
      <c r="B6" s="4"/>
      <c r="C6" s="4"/>
      <c r="D6" s="23" t="s">
        <v>81</v>
      </c>
      <c r="E6" s="13" t="s">
        <v>82</v>
      </c>
      <c r="F6" s="13" t="s">
        <v>83</v>
      </c>
      <c r="G6" s="13">
        <v>40</v>
      </c>
      <c r="H6" s="13">
        <v>1600</v>
      </c>
      <c r="I6" s="13">
        <v>0</v>
      </c>
      <c r="J6" s="13">
        <v>0</v>
      </c>
      <c r="K6" s="4"/>
    </row>
    <row r="7" s="3" customFormat="1" customHeight="1" spans="2:11">
      <c r="B7" s="4"/>
      <c r="C7" s="4"/>
      <c r="D7" s="23" t="s">
        <v>84</v>
      </c>
      <c r="E7" s="13" t="s">
        <v>82</v>
      </c>
      <c r="F7" s="13" t="s">
        <v>83</v>
      </c>
      <c r="G7" s="13">
        <v>120</v>
      </c>
      <c r="H7" s="13">
        <v>46000</v>
      </c>
      <c r="I7" s="13">
        <v>0</v>
      </c>
      <c r="J7" s="13">
        <v>0</v>
      </c>
      <c r="K7" s="4"/>
    </row>
    <row r="8" s="3" customFormat="1" customHeight="1" spans="2:11">
      <c r="B8" s="4"/>
      <c r="C8" s="4"/>
      <c r="D8" s="23" t="s">
        <v>85</v>
      </c>
      <c r="E8" s="13" t="s">
        <v>82</v>
      </c>
      <c r="F8" s="13" t="s">
        <v>83</v>
      </c>
      <c r="G8" s="13">
        <v>63</v>
      </c>
      <c r="H8" s="13">
        <v>1460</v>
      </c>
      <c r="I8" s="13">
        <v>20</v>
      </c>
      <c r="J8" s="13">
        <v>1120</v>
      </c>
      <c r="K8" s="4"/>
    </row>
    <row r="9" s="3" customFormat="1" customHeight="1" spans="2:11">
      <c r="B9" s="4"/>
      <c r="C9" s="4"/>
      <c r="D9" s="23"/>
      <c r="E9" s="13"/>
      <c r="F9" s="13"/>
      <c r="G9" s="13"/>
      <c r="H9" s="13"/>
      <c r="I9" s="13"/>
      <c r="J9" s="13"/>
      <c r="K9" s="4"/>
    </row>
    <row r="10" s="3" customFormat="1" customHeight="1" spans="2:11">
      <c r="B10" s="4"/>
      <c r="C10" s="4"/>
      <c r="D10" s="23"/>
      <c r="E10" s="13"/>
      <c r="F10" s="13"/>
      <c r="G10" s="13"/>
      <c r="H10" s="13"/>
      <c r="I10" s="13"/>
      <c r="J10" s="13"/>
      <c r="K10" s="4"/>
    </row>
    <row r="11" s="3" customFormat="1" customHeight="1" spans="2:11">
      <c r="B11" s="4"/>
      <c r="C11" s="4"/>
      <c r="D11" s="23"/>
      <c r="E11" s="13"/>
      <c r="F11" s="13"/>
      <c r="G11" s="13"/>
      <c r="H11" s="13"/>
      <c r="I11" s="13"/>
      <c r="J11" s="13"/>
      <c r="K11" s="4"/>
    </row>
    <row r="12" s="3" customFormat="1" customHeight="1" spans="2:11">
      <c r="B12" s="4"/>
      <c r="C12" s="4"/>
      <c r="D12" s="23"/>
      <c r="E12" s="13"/>
      <c r="F12" s="13"/>
      <c r="G12" s="13"/>
      <c r="H12" s="13"/>
      <c r="I12" s="13"/>
      <c r="J12" s="13"/>
      <c r="K12" s="4"/>
    </row>
    <row r="13" s="3" customFormat="1" customHeight="1" spans="2:11">
      <c r="B13" s="4"/>
      <c r="C13" s="4"/>
      <c r="D13" s="23"/>
      <c r="E13" s="13"/>
      <c r="F13" s="13"/>
      <c r="G13" s="13"/>
      <c r="H13" s="13"/>
      <c r="I13" s="13"/>
      <c r="J13" s="13"/>
      <c r="K13" s="4"/>
    </row>
    <row r="14" s="3" customFormat="1" customHeight="1" spans="2:11">
      <c r="B14" s="4"/>
      <c r="C14" s="4"/>
      <c r="D14" s="23"/>
      <c r="E14" s="13"/>
      <c r="F14" s="13"/>
      <c r="G14" s="13"/>
      <c r="H14" s="13"/>
      <c r="I14" s="13"/>
      <c r="J14" s="13"/>
      <c r="K14" s="4"/>
    </row>
    <row r="15" s="3" customFormat="1" customHeight="1" spans="2:11">
      <c r="B15" s="4"/>
      <c r="C15" s="4"/>
      <c r="D15" s="23"/>
      <c r="E15" s="13"/>
      <c r="F15" s="13"/>
      <c r="G15" s="13"/>
      <c r="H15" s="13"/>
      <c r="I15" s="13"/>
      <c r="J15" s="13"/>
      <c r="K15" s="4"/>
    </row>
    <row r="16" s="3" customFormat="1" customHeight="1" spans="2:11">
      <c r="B16" s="4"/>
      <c r="C16" s="4"/>
      <c r="D16" s="23"/>
      <c r="E16" s="13"/>
      <c r="F16" s="13"/>
      <c r="G16" s="13"/>
      <c r="H16" s="13"/>
      <c r="I16" s="13"/>
      <c r="J16" s="13"/>
      <c r="K16" s="4"/>
    </row>
    <row r="17" s="3" customFormat="1" customHeight="1" spans="2:11">
      <c r="B17" s="4"/>
      <c r="C17" s="4"/>
      <c r="D17" s="23"/>
      <c r="E17" s="13"/>
      <c r="F17" s="13"/>
      <c r="G17" s="13"/>
      <c r="H17" s="13"/>
      <c r="I17" s="13"/>
      <c r="J17" s="13"/>
      <c r="K17" s="4"/>
    </row>
    <row r="18" s="3" customFormat="1" customHeight="1" spans="2:11">
      <c r="B18" s="4"/>
      <c r="C18" s="4"/>
      <c r="D18" s="23"/>
      <c r="E18" s="13"/>
      <c r="F18" s="13"/>
      <c r="G18" s="13"/>
      <c r="H18" s="13"/>
      <c r="I18" s="13"/>
      <c r="J18" s="13"/>
      <c r="K18" s="4"/>
    </row>
    <row r="19" s="3" customFormat="1" customHeight="1" spans="2:11">
      <c r="B19" s="4"/>
      <c r="C19" s="4"/>
      <c r="D19" s="23"/>
      <c r="E19" s="13"/>
      <c r="F19" s="13"/>
      <c r="G19" s="13"/>
      <c r="H19" s="13"/>
      <c r="I19" s="13"/>
      <c r="J19" s="13"/>
      <c r="K19" s="4"/>
    </row>
    <row r="20" s="3" customFormat="1" customHeight="1" spans="2:11">
      <c r="B20" s="4"/>
      <c r="C20" s="4"/>
      <c r="D20" s="23"/>
      <c r="E20" s="13"/>
      <c r="F20" s="13"/>
      <c r="G20" s="13"/>
      <c r="H20" s="13"/>
      <c r="I20" s="13"/>
      <c r="J20" s="13"/>
      <c r="K20" s="4"/>
    </row>
  </sheetData>
  <mergeCells count="5">
    <mergeCell ref="G4:H4"/>
    <mergeCell ref="I4:J4"/>
    <mergeCell ref="D4:D5"/>
    <mergeCell ref="E4:E5"/>
    <mergeCell ref="F4:F5"/>
  </mergeCell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6"/>
  <sheetViews>
    <sheetView showGridLines="0" workbookViewId="0">
      <pane ySplit="4" topLeftCell="A5" activePane="bottomLeft" state="frozen"/>
      <selection/>
      <selection pane="bottomLeft" activeCell="B4" sqref="B4:B1048576"/>
    </sheetView>
  </sheetViews>
  <sheetFormatPr defaultColWidth="9" defaultRowHeight="20.1" customHeight="1" outlineLevelRow="5"/>
  <cols>
    <col min="1" max="1" width="4.625" style="3" customWidth="1"/>
    <col min="2" max="2" width="5.625" style="18" customWidth="1"/>
    <col min="3" max="3" width="4.625" style="4" hidden="1" customWidth="1"/>
    <col min="4" max="12" width="16.875" style="13" customWidth="1"/>
    <col min="13" max="13" width="3.375" style="4" customWidth="1"/>
    <col min="14" max="14" width="9" style="3" hidden="1" customWidth="1"/>
    <col min="15" max="16384" width="9" style="3"/>
  </cols>
  <sheetData>
    <row r="1" s="1" customFormat="1" ht="60" customHeight="1" spans="1:1">
      <c r="A1" s="7"/>
    </row>
    <row r="2" s="2" customFormat="1" ht="39.95" customHeight="1"/>
    <row r="3" s="2" customFormat="1" customHeight="1" spans="2:13">
      <c r="B3" s="9"/>
      <c r="C3" s="9"/>
      <c r="D3" s="19"/>
      <c r="E3" s="9"/>
      <c r="F3" s="9"/>
      <c r="G3" s="9"/>
      <c r="H3" s="9"/>
      <c r="I3" s="9"/>
      <c r="J3" s="9"/>
      <c r="K3" s="9"/>
      <c r="L3" s="9"/>
      <c r="M3" s="9"/>
    </row>
    <row r="4" s="2" customFormat="1" ht="30" customHeight="1" spans="2:13">
      <c r="B4" s="20" t="s">
        <v>65</v>
      </c>
      <c r="C4" s="9" t="s">
        <v>62</v>
      </c>
      <c r="D4" s="21" t="s">
        <v>25</v>
      </c>
      <c r="E4" s="15" t="s">
        <v>26</v>
      </c>
      <c r="F4" s="15" t="s">
        <v>27</v>
      </c>
      <c r="G4" s="15" t="s">
        <v>28</v>
      </c>
      <c r="H4" s="15" t="s">
        <v>29</v>
      </c>
      <c r="I4" s="15" t="s">
        <v>86</v>
      </c>
      <c r="J4" s="15" t="s">
        <v>77</v>
      </c>
      <c r="K4" s="15" t="s">
        <v>87</v>
      </c>
      <c r="L4" s="15" t="s">
        <v>76</v>
      </c>
      <c r="M4" s="9"/>
    </row>
    <row r="5" customHeight="1" spans="4:4">
      <c r="D5" s="22"/>
    </row>
    <row r="6" customHeight="1" spans="4:4">
      <c r="D6" s="22"/>
    </row>
  </sheetData>
  <sheetProtection formatCells="0" formatColumns="0" formatRows="0" insertRows="0" insertColumns="0" insertHyperlinks="0" deleteColumns="0" deleteRows="0" sort="0" autoFilter="0" pivotTables="0"/>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workbookViewId="0">
      <pane ySplit="4" topLeftCell="A5" activePane="bottomLeft" state="frozen"/>
      <selection/>
      <selection pane="bottomLeft" activeCell="E11" sqref="E11"/>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4" width="9" style="6"/>
  </cols>
  <sheetData>
    <row r="1" s="1" customFormat="1" ht="60" customHeight="1" spans="1:1">
      <c r="A1" s="7"/>
    </row>
    <row r="2" s="2" customFormat="1" ht="39.95" customHeight="1"/>
    <row r="3" s="2" customFormat="1" customHeight="1" spans="2:8">
      <c r="B3" s="9"/>
      <c r="C3" s="9"/>
      <c r="D3" s="9"/>
      <c r="E3" s="9"/>
      <c r="F3" s="9"/>
      <c r="G3" s="9"/>
      <c r="H3" s="9"/>
    </row>
    <row r="4" s="2" customFormat="1" ht="30" customHeight="1" spans="2:8">
      <c r="B4" s="9"/>
      <c r="C4" s="9" t="s">
        <v>62</v>
      </c>
      <c r="D4" s="15" t="s">
        <v>25</v>
      </c>
      <c r="E4" s="15" t="s">
        <v>88</v>
      </c>
      <c r="F4" s="15" t="s">
        <v>89</v>
      </c>
      <c r="G4" s="15" t="s">
        <v>90</v>
      </c>
      <c r="H4" s="9"/>
    </row>
    <row r="5" s="3" customFormat="1" customHeight="1" spans="2:8">
      <c r="B5" s="4"/>
      <c r="C5" s="4"/>
      <c r="D5" s="13"/>
      <c r="E5" s="13"/>
      <c r="F5" s="13"/>
      <c r="G5" s="17"/>
      <c r="H5" s="4"/>
    </row>
    <row r="6" s="3" customFormat="1" customHeight="1" spans="2:8">
      <c r="B6" s="4"/>
      <c r="C6" s="4"/>
      <c r="D6" s="13"/>
      <c r="E6" s="13"/>
      <c r="F6" s="13"/>
      <c r="G6" s="17"/>
      <c r="H6" s="4"/>
    </row>
    <row r="7" s="3" customFormat="1" customHeight="1" spans="2:8">
      <c r="B7" s="4"/>
      <c r="C7" s="4"/>
      <c r="D7" s="13"/>
      <c r="E7" s="13"/>
      <c r="F7" s="13"/>
      <c r="G7" s="17"/>
      <c r="H7" s="4"/>
    </row>
    <row r="8" s="3" customFormat="1" customHeight="1" spans="2:8">
      <c r="B8" s="4"/>
      <c r="C8" s="4"/>
      <c r="D8" s="13"/>
      <c r="E8" s="13"/>
      <c r="F8" s="13"/>
      <c r="G8" s="17"/>
      <c r="H8" s="4"/>
    </row>
    <row r="9" s="3" customFormat="1" customHeight="1" spans="2:8">
      <c r="B9" s="4"/>
      <c r="C9" s="4"/>
      <c r="D9" s="13"/>
      <c r="E9" s="13"/>
      <c r="F9" s="13"/>
      <c r="G9" s="17"/>
      <c r="H9" s="4"/>
    </row>
    <row r="10" s="3" customFormat="1" customHeight="1" spans="2:8">
      <c r="B10" s="4"/>
      <c r="C10" s="4"/>
      <c r="D10" s="13"/>
      <c r="E10" s="13"/>
      <c r="F10" s="13"/>
      <c r="G10" s="17"/>
      <c r="H10" s="4"/>
    </row>
    <row r="11" s="3" customFormat="1" customHeight="1" spans="2:8">
      <c r="B11" s="4"/>
      <c r="C11" s="4"/>
      <c r="D11" s="13"/>
      <c r="E11" s="13"/>
      <c r="F11" s="13"/>
      <c r="G11" s="17"/>
      <c r="H11" s="4"/>
    </row>
    <row r="12" s="3" customFormat="1" customHeight="1" spans="2:8">
      <c r="B12" s="4"/>
      <c r="C12" s="4"/>
      <c r="D12" s="13"/>
      <c r="E12" s="13"/>
      <c r="F12" s="13"/>
      <c r="G12" s="17"/>
      <c r="H12" s="4"/>
    </row>
    <row r="13" s="3" customFormat="1" customHeight="1" spans="2: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workbookViewId="0">
      <pane ySplit="4" topLeftCell="A5" activePane="bottomLeft" state="frozen"/>
      <selection/>
      <selection pane="bottomLeft" activeCell="D7" sqref="D7"/>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2" width="9" style="6"/>
    <col min="16384" max="16384" width="9" style="6"/>
  </cols>
  <sheetData>
    <row r="1" s="1" customFormat="1" ht="60" customHeight="1" spans="1:1">
      <c r="A1" s="7"/>
    </row>
    <row r="2" s="2" customFormat="1" ht="39.95" customHeight="1"/>
    <row r="3" s="2" customFormat="1" customHeight="1" spans="2:8">
      <c r="B3" s="9"/>
      <c r="C3" s="9"/>
      <c r="D3" s="9"/>
      <c r="E3" s="9"/>
      <c r="F3" s="9"/>
      <c r="G3" s="9"/>
      <c r="H3" s="9"/>
    </row>
    <row r="4" s="2" customFormat="1" ht="30" customHeight="1" spans="2:8">
      <c r="B4" s="9"/>
      <c r="C4" s="9" t="s">
        <v>62</v>
      </c>
      <c r="D4" s="15" t="s">
        <v>25</v>
      </c>
      <c r="E4" s="15" t="s">
        <v>91</v>
      </c>
      <c r="F4" s="15" t="s">
        <v>89</v>
      </c>
      <c r="G4" s="15" t="s">
        <v>90</v>
      </c>
      <c r="H4" s="9"/>
    </row>
    <row r="5" s="3" customFormat="1" customHeight="1" spans="2:8">
      <c r="B5" s="4"/>
      <c r="C5" s="4"/>
      <c r="D5" s="13"/>
      <c r="E5" s="13"/>
      <c r="F5" s="13"/>
      <c r="G5" s="17"/>
      <c r="H5" s="4"/>
    </row>
    <row r="6" s="3" customFormat="1" customHeight="1" spans="2:8">
      <c r="B6" s="4"/>
      <c r="C6" s="4"/>
      <c r="D6" s="13"/>
      <c r="E6" s="13"/>
      <c r="F6" s="13"/>
      <c r="G6" s="17"/>
      <c r="H6" s="4"/>
    </row>
    <row r="7" s="3" customFormat="1" customHeight="1" spans="2:8">
      <c r="B7" s="4"/>
      <c r="C7" s="4"/>
      <c r="D7" s="13"/>
      <c r="E7" s="13"/>
      <c r="F7" s="13"/>
      <c r="G7" s="17"/>
      <c r="H7" s="4"/>
    </row>
    <row r="8" s="3" customFormat="1" customHeight="1" spans="2:8">
      <c r="B8" s="4"/>
      <c r="C8" s="4"/>
      <c r="D8" s="13"/>
      <c r="E8" s="13"/>
      <c r="F8" s="13"/>
      <c r="G8" s="17"/>
      <c r="H8" s="4"/>
    </row>
    <row r="9" s="3" customFormat="1" customHeight="1" spans="2:8">
      <c r="B9" s="4"/>
      <c r="C9" s="4"/>
      <c r="D9" s="13"/>
      <c r="E9" s="13"/>
      <c r="F9" s="13"/>
      <c r="G9" s="17"/>
      <c r="H9" s="4"/>
    </row>
    <row r="10" s="3" customFormat="1" customHeight="1" spans="2:8">
      <c r="B10" s="4"/>
      <c r="C10" s="4"/>
      <c r="D10" s="13"/>
      <c r="E10" s="13"/>
      <c r="F10" s="13"/>
      <c r="G10" s="17"/>
      <c r="H10" s="4"/>
    </row>
    <row r="11" s="3" customFormat="1" customHeight="1" spans="2:8">
      <c r="B11" s="4"/>
      <c r="C11" s="4"/>
      <c r="D11" s="13"/>
      <c r="E11" s="13"/>
      <c r="F11" s="13"/>
      <c r="G11" s="17"/>
      <c r="H11" s="4"/>
    </row>
    <row r="12" s="3" customFormat="1" customHeight="1" spans="2:8">
      <c r="B12" s="4"/>
      <c r="C12" s="4"/>
      <c r="D12" s="13"/>
      <c r="E12" s="13"/>
      <c r="F12" s="13"/>
      <c r="G12" s="17"/>
      <c r="H12" s="4"/>
    </row>
    <row r="13" s="3" customFormat="1" customHeight="1" spans="2: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J13"/>
  <sheetViews>
    <sheetView showGridLines="0" workbookViewId="0">
      <pane ySplit="4" topLeftCell="A5" activePane="bottomLeft" state="frozen"/>
      <selection/>
      <selection pane="bottomLeft" activeCell="E13" sqref="E13"/>
    </sheetView>
  </sheetViews>
  <sheetFormatPr defaultColWidth="9" defaultRowHeight="20.1" customHeight="1"/>
  <cols>
    <col min="1" max="1" width="4.625" style="3" customWidth="1"/>
    <col min="2" max="2" width="3.625" style="4" customWidth="1"/>
    <col min="3" max="3" width="4" style="4" hidden="1" customWidth="1"/>
    <col min="4" max="6" width="16.875" style="13" customWidth="1"/>
    <col min="7" max="9" width="16.875" style="17" customWidth="1"/>
    <col min="10" max="10" width="3.625" style="4" customWidth="1"/>
    <col min="11" max="11" width="6.75" style="3" hidden="1" customWidth="1"/>
    <col min="12" max="20" width="9" style="3"/>
    <col min="21" max="16384" width="9" style="6"/>
  </cols>
  <sheetData>
    <row r="1" s="1" customFormat="1" ht="60" customHeight="1" spans="1:1">
      <c r="A1" s="7"/>
    </row>
    <row r="2" s="2" customFormat="1" ht="39.95" customHeight="1"/>
    <row r="3" s="2" customFormat="1" customHeight="1" spans="2:10">
      <c r="B3" s="9"/>
      <c r="C3" s="9"/>
      <c r="D3" s="9"/>
      <c r="E3" s="9"/>
      <c r="F3" s="9"/>
      <c r="G3" s="9"/>
      <c r="H3" s="9"/>
      <c r="I3" s="9"/>
      <c r="J3" s="9"/>
    </row>
    <row r="4" s="2" customFormat="1" ht="30" customHeight="1" spans="2:10">
      <c r="B4" s="9"/>
      <c r="C4" s="9" t="s">
        <v>62</v>
      </c>
      <c r="D4" s="15" t="s">
        <v>25</v>
      </c>
      <c r="E4" s="15" t="s">
        <v>27</v>
      </c>
      <c r="F4" s="15" t="s">
        <v>26</v>
      </c>
      <c r="G4" s="15" t="s">
        <v>28</v>
      </c>
      <c r="H4" s="15" t="s">
        <v>29</v>
      </c>
      <c r="I4" s="15" t="s">
        <v>92</v>
      </c>
      <c r="J4" s="9"/>
    </row>
    <row r="5" s="3" customFormat="1" customHeight="1" spans="2:10">
      <c r="B5" s="4"/>
      <c r="C5" s="4"/>
      <c r="D5" s="13"/>
      <c r="E5" s="13"/>
      <c r="F5" s="13"/>
      <c r="G5" s="17"/>
      <c r="H5" s="17"/>
      <c r="I5" s="17"/>
      <c r="J5" s="4"/>
    </row>
    <row r="6" s="3" customFormat="1" customHeight="1" spans="2:10">
      <c r="B6" s="4"/>
      <c r="C6" s="4"/>
      <c r="D6" s="13"/>
      <c r="E6" s="13"/>
      <c r="F6" s="13"/>
      <c r="G6" s="17"/>
      <c r="H6" s="17"/>
      <c r="I6" s="17"/>
      <c r="J6" s="4"/>
    </row>
    <row r="7" s="3" customFormat="1" customHeight="1" spans="2:10">
      <c r="B7" s="4"/>
      <c r="C7" s="4"/>
      <c r="D7" s="13"/>
      <c r="E7" s="13"/>
      <c r="F7" s="13"/>
      <c r="G7" s="17"/>
      <c r="H7" s="17"/>
      <c r="I7" s="17"/>
      <c r="J7" s="4"/>
    </row>
    <row r="8" s="3" customFormat="1" customHeight="1" spans="2:10">
      <c r="B8" s="4"/>
      <c r="C8" s="4"/>
      <c r="D8" s="13"/>
      <c r="E8" s="13"/>
      <c r="F8" s="13"/>
      <c r="G8" s="17"/>
      <c r="H8" s="17"/>
      <c r="I8" s="17"/>
      <c r="J8" s="4"/>
    </row>
    <row r="9" s="3" customFormat="1" customHeight="1" spans="2:10">
      <c r="B9" s="4"/>
      <c r="C9" s="4"/>
      <c r="D9" s="13"/>
      <c r="E9" s="13"/>
      <c r="F9" s="13"/>
      <c r="G9" s="17"/>
      <c r="H9" s="17"/>
      <c r="I9" s="17"/>
      <c r="J9" s="4"/>
    </row>
    <row r="10" s="3" customFormat="1" customHeight="1" spans="2:10">
      <c r="B10" s="4"/>
      <c r="C10" s="4"/>
      <c r="D10" s="13"/>
      <c r="E10" s="13"/>
      <c r="F10" s="13"/>
      <c r="G10" s="17"/>
      <c r="H10" s="17"/>
      <c r="I10" s="17"/>
      <c r="J10" s="4"/>
    </row>
    <row r="11" s="3" customFormat="1" customHeight="1" spans="2:10">
      <c r="B11" s="4"/>
      <c r="C11" s="4"/>
      <c r="D11" s="13"/>
      <c r="E11" s="13"/>
      <c r="F11" s="13"/>
      <c r="G11" s="17"/>
      <c r="H11" s="17"/>
      <c r="I11" s="17"/>
      <c r="J11" s="4"/>
    </row>
    <row r="12" s="3" customFormat="1" customHeight="1" spans="2:10">
      <c r="B12" s="4"/>
      <c r="C12" s="4"/>
      <c r="D12" s="13"/>
      <c r="E12" s="13"/>
      <c r="F12" s="13"/>
      <c r="G12" s="17"/>
      <c r="H12" s="17"/>
      <c r="I12" s="17"/>
      <c r="J12" s="4"/>
    </row>
    <row r="13" s="3" customFormat="1" customHeight="1" spans="2:10">
      <c r="B13" s="4"/>
      <c r="C13" s="4"/>
      <c r="D13" s="13"/>
      <c r="E13" s="13"/>
      <c r="F13" s="13"/>
      <c r="G13" s="17"/>
      <c r="H13" s="17"/>
      <c r="I13" s="17"/>
      <c r="J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D6" sqref="D6"/>
    </sheetView>
  </sheetViews>
  <sheetFormatPr defaultColWidth="9" defaultRowHeight="20.1" customHeight="1"/>
  <cols>
    <col min="1" max="1" width="4.625" style="3" customWidth="1"/>
    <col min="2" max="2" width="3.625" style="4" customWidth="1"/>
    <col min="3" max="3" width="4.5" style="12" hidden="1" customWidth="1"/>
    <col min="4" max="10" width="16.875" style="13" customWidth="1"/>
    <col min="11" max="11" width="3.625" style="4" customWidth="1"/>
    <col min="12" max="13" width="9" style="3"/>
    <col min="14" max="16" width="9" style="6"/>
    <col min="17" max="19" width="9" style="6" hidden="1" customWidth="1"/>
    <col min="20" max="20" width="9" style="6" customWidth="1"/>
    <col min="21" max="16384" width="9" style="6"/>
  </cols>
  <sheetData>
    <row r="1" s="1" customFormat="1" ht="60" customHeight="1" spans="1:20">
      <c r="A1" s="7"/>
      <c r="R1" s="16"/>
      <c r="S1" s="16"/>
      <c r="T1" s="16">
        <v>1</v>
      </c>
    </row>
    <row r="2" s="2" customFormat="1" ht="39.95" customHeight="1"/>
    <row r="3" s="2" customFormat="1" customHeight="1" spans="2:11">
      <c r="B3" s="9"/>
      <c r="C3" s="9"/>
      <c r="D3" s="9"/>
      <c r="E3" s="9"/>
      <c r="F3" s="9"/>
      <c r="G3" s="9"/>
      <c r="H3" s="9"/>
      <c r="I3" s="9"/>
      <c r="J3" s="9"/>
      <c r="K3" s="9"/>
    </row>
    <row r="4" s="2" customFormat="1" ht="30" customHeight="1" spans="2:11">
      <c r="B4" s="9"/>
      <c r="C4" s="14" t="s">
        <v>62</v>
      </c>
      <c r="D4" s="15" t="s">
        <v>93</v>
      </c>
      <c r="E4" s="15" t="s">
        <v>94</v>
      </c>
      <c r="F4" s="15" t="s">
        <v>95</v>
      </c>
      <c r="G4" s="15" t="s">
        <v>96</v>
      </c>
      <c r="H4" s="15" t="s">
        <v>97</v>
      </c>
      <c r="I4" s="15" t="s">
        <v>98</v>
      </c>
      <c r="J4" s="15" t="s">
        <v>99</v>
      </c>
      <c r="K4" s="9"/>
    </row>
    <row r="5" s="3" customFormat="1" customHeight="1" spans="2:11">
      <c r="B5" s="4"/>
      <c r="C5" s="12"/>
      <c r="D5" s="13"/>
      <c r="E5" s="13"/>
      <c r="F5" s="13"/>
      <c r="G5" s="13"/>
      <c r="H5" s="13"/>
      <c r="I5" s="13"/>
      <c r="J5" s="13"/>
      <c r="K5" s="4"/>
    </row>
    <row r="6" s="3" customFormat="1" customHeight="1" spans="2:11">
      <c r="B6" s="4"/>
      <c r="C6" s="12"/>
      <c r="D6" s="13"/>
      <c r="E6" s="13"/>
      <c r="F6" s="13"/>
      <c r="G6" s="13"/>
      <c r="H6" s="13"/>
      <c r="I6" s="13"/>
      <c r="J6" s="13"/>
      <c r="K6" s="4"/>
    </row>
    <row r="7" s="3" customFormat="1" customHeight="1" spans="2:11">
      <c r="B7" s="4"/>
      <c r="C7" s="12"/>
      <c r="D7" s="13"/>
      <c r="E7" s="13"/>
      <c r="F7" s="13"/>
      <c r="G7" s="13"/>
      <c r="H7" s="13"/>
      <c r="I7" s="13"/>
      <c r="J7" s="13"/>
      <c r="K7" s="4"/>
    </row>
    <row r="8" s="3" customFormat="1" customHeight="1" spans="2:11">
      <c r="B8" s="4"/>
      <c r="C8" s="12"/>
      <c r="D8" s="13"/>
      <c r="E8" s="13"/>
      <c r="F8" s="13"/>
      <c r="G8" s="13"/>
      <c r="H8" s="13"/>
      <c r="I8" s="13"/>
      <c r="J8" s="13"/>
      <c r="K8" s="4"/>
    </row>
    <row r="9" s="3" customFormat="1" customHeight="1" spans="2:11">
      <c r="B9" s="4"/>
      <c r="C9" s="12"/>
      <c r="D9" s="13"/>
      <c r="E9" s="13"/>
      <c r="F9" s="13"/>
      <c r="G9" s="13"/>
      <c r="H9" s="13"/>
      <c r="I9" s="13"/>
      <c r="J9" s="13"/>
      <c r="K9" s="4"/>
    </row>
    <row r="10" s="3" customFormat="1" customHeight="1" spans="2:11">
      <c r="B10" s="4"/>
      <c r="C10" s="12"/>
      <c r="D10" s="13"/>
      <c r="E10" s="13"/>
      <c r="F10" s="13"/>
      <c r="G10" s="13"/>
      <c r="H10" s="13"/>
      <c r="I10" s="13"/>
      <c r="J10" s="13"/>
      <c r="K10" s="4"/>
    </row>
    <row r="11" s="3" customFormat="1" customHeight="1" spans="2:11">
      <c r="B11" s="4"/>
      <c r="C11" s="12"/>
      <c r="D11" s="13"/>
      <c r="E11" s="13"/>
      <c r="F11" s="13"/>
      <c r="G11" s="13"/>
      <c r="H11" s="13"/>
      <c r="I11" s="13"/>
      <c r="J11" s="13"/>
      <c r="K11" s="4"/>
    </row>
    <row r="12" s="3" customFormat="1" customHeight="1" spans="2:11">
      <c r="B12" s="4"/>
      <c r="C12" s="12"/>
      <c r="D12" s="13"/>
      <c r="E12" s="13"/>
      <c r="F12" s="13"/>
      <c r="G12" s="13"/>
      <c r="H12" s="13"/>
      <c r="I12" s="13"/>
      <c r="J12" s="13"/>
      <c r="K12" s="4"/>
    </row>
    <row r="13" s="3" customFormat="1" customHeight="1" spans="2:11">
      <c r="B13" s="4"/>
      <c r="C13" s="12"/>
      <c r="D13" s="13"/>
      <c r="E13" s="13"/>
      <c r="F13" s="13"/>
      <c r="G13" s="13"/>
      <c r="H13" s="13"/>
      <c r="I13" s="13"/>
      <c r="J13" s="13"/>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G1048576">
      <formula1>"管理员,普通用户"</formula1>
    </dataValidation>
    <dataValidation type="list" allowBlank="1" showInputMessage="1" showErrorMessage="1" sqref="H5: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E12"/>
  <sheetViews>
    <sheetView workbookViewId="0">
      <pane ySplit="2" topLeftCell="A3" activePane="bottomLeft" state="frozen"/>
      <selection/>
      <selection pane="bottomLeft" activeCell="K4" sqref="K4"/>
    </sheetView>
  </sheetViews>
  <sheetFormatPr defaultColWidth="9" defaultRowHeight="140" customHeight="1" outlineLevelCol="4"/>
  <cols>
    <col min="1" max="1" width="4.625" style="3" customWidth="1"/>
    <col min="2" max="2" width="3.375" style="4" customWidth="1"/>
    <col min="3" max="3" width="4" style="4" hidden="1" customWidth="1"/>
    <col min="4" max="4" width="26.875" style="5" customWidth="1"/>
    <col min="5" max="5" width="3.375" style="4" customWidth="1"/>
    <col min="6" max="6" width="6.75" style="3" hidden="1" customWidth="1"/>
    <col min="7" max="15" width="9" style="3"/>
    <col min="16" max="16384" width="9" style="6"/>
  </cols>
  <sheetData>
    <row r="1" s="1" customFormat="1" ht="60" customHeight="1" spans="1:4">
      <c r="A1" s="7"/>
      <c r="D1" s="8"/>
    </row>
    <row r="2" s="2" customFormat="1" ht="39.95" customHeight="1" spans="4:4">
      <c r="D2" s="3"/>
    </row>
    <row r="3" s="2" customFormat="1" customHeight="1" spans="2:5">
      <c r="B3" s="9"/>
      <c r="C3" s="9"/>
      <c r="D3" s="10" t="s">
        <v>100</v>
      </c>
      <c r="E3" s="9"/>
    </row>
    <row r="4" s="3" customFormat="1" customHeight="1" spans="2:5">
      <c r="B4" s="4"/>
      <c r="C4" s="4"/>
      <c r="D4" s="11" t="s">
        <v>101</v>
      </c>
      <c r="E4" s="4"/>
    </row>
    <row r="5" s="3" customFormat="1" customHeight="1" spans="2:5">
      <c r="B5" s="4"/>
      <c r="C5" s="4"/>
      <c r="D5" s="11" t="s">
        <v>102</v>
      </c>
      <c r="E5" s="4"/>
    </row>
    <row r="6" s="3" customFormat="1" customHeight="1" spans="2:5">
      <c r="B6" s="4"/>
      <c r="C6" s="4"/>
      <c r="D6" s="11" t="s">
        <v>103</v>
      </c>
      <c r="E6" s="4"/>
    </row>
    <row r="7" s="3" customFormat="1" customHeight="1" spans="2:5">
      <c r="B7" s="4"/>
      <c r="C7" s="4"/>
      <c r="D7" s="11"/>
      <c r="E7" s="4"/>
    </row>
    <row r="8" s="3" customFormat="1" customHeight="1" spans="2:5">
      <c r="B8" s="4"/>
      <c r="C8" s="4"/>
      <c r="D8" s="5"/>
      <c r="E8" s="4"/>
    </row>
    <row r="9" s="3" customFormat="1" customHeight="1" spans="2:5">
      <c r="B9" s="4"/>
      <c r="C9" s="4"/>
      <c r="D9" s="5"/>
      <c r="E9" s="4"/>
    </row>
    <row r="10" s="3" customFormat="1" customHeight="1" spans="2:5">
      <c r="B10" s="4"/>
      <c r="C10" s="4"/>
      <c r="D10" s="5"/>
      <c r="E10" s="4"/>
    </row>
    <row r="11" s="3" customFormat="1" customHeight="1" spans="2:5">
      <c r="B11" s="4"/>
      <c r="C11" s="4"/>
      <c r="D11" s="5"/>
      <c r="E11" s="4"/>
    </row>
    <row r="12" s="3" customFormat="1" customHeight="1" spans="2:5">
      <c r="B12" s="4"/>
      <c r="C12" s="4"/>
      <c r="D12" s="5"/>
      <c r="E12" s="4"/>
    </row>
  </sheetData>
  <pageMargins left="0.75" right="0.75" top="1" bottom="1" header="0.5" footer="0.5"/>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16" master="" otherUserPermission="visible"/>
  <rangeList sheetStid="14" master="" otherUserPermission="visible"/>
  <rangeList sheetStid="17" master="" otherUserPermission="visible"/>
  <rangeList sheetStid="5" master="" otherUserPermission="visible"/>
  <rangeList sheetStid="6" master="" otherUserPermission="visible"/>
  <rangeList sheetStid="7" master="" otherUserPermission="visible"/>
  <rangeList sheetStid="8" master="" otherUserPermission="visible"/>
  <rangeList sheetStid="15" master="" otherUserPermission="visible"/>
  <rangeList sheetStid="9" master="" otherUserPermission="visible"/>
  <rangeList sheetStid="10" master="" otherUserPermission="visible"/>
  <rangeList sheetStid="11" master="" otherUserPermission="visible"/>
  <rangeList sheetStid="12" master="" otherUserPermission="visible"/>
  <rangeList sheetStid="13" master="" otherUserPermission="visible"/>
  <rangeList sheetStid="18"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加密</vt:lpstr>
      <vt:lpstr>入库</vt:lpstr>
      <vt:lpstr>入库单</vt:lpstr>
      <vt:lpstr>出库</vt:lpstr>
      <vt:lpstr>出库单</vt:lpstr>
      <vt:lpstr>期初数</vt:lpstr>
      <vt:lpstr>明细</vt:lpstr>
      <vt:lpstr>进销存</vt:lpstr>
      <vt:lpstr>客户|供应商查询</vt:lpstr>
      <vt:lpstr>商品进出查询</vt:lpstr>
      <vt:lpstr>基础资料</vt:lpstr>
      <vt:lpstr>客户资料</vt:lpstr>
      <vt:lpstr>供应商资料</vt:lpstr>
      <vt:lpstr>笔记</vt:lpstr>
      <vt:lpstr>用户管理</vt:lpstr>
      <vt:lpstr>二维码打印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YH309</cp:lastModifiedBy>
  <dcterms:created xsi:type="dcterms:W3CDTF">2021-02-01T06:30:00Z</dcterms:created>
  <dcterms:modified xsi:type="dcterms:W3CDTF">2024-10-28T10:46:13Z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2052-12.1.0.18608</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ies>
</file>