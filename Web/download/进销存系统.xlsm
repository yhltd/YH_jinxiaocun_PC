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<sst xmlns="http://schemas.openxmlformats.org/spreadsheetml/2006/main" count="619" uniqueCount="141">
  <si>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</si>
  <si>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</si>
  <si>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</si>
  <si>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</si>
  <si>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</si>
  <si>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</si>
  <si>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</si>
  <si>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</si>
  <si>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</si>
  <si>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</si>
  <si>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</si>
  <si>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</si>
  <si>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</si>
  <si>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</si>
  <si>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</si>
  <si>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</si>
  <si>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</si>
  <si>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</si>
  <si>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</si>
  <si>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</si>
  <si>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</si>
  <si>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</si>
  <si>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</si>
  <si>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</si>
  <si>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</si>
  <si>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</si>
  <si>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</si>
  <si>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</si>
  <si>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</si>
  <si>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</si>
  <si>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</si>
  <si>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</si>
  <si>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</si>
  <si>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</si>
  <si>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</si>
  <si>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</si>
  <si>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</si>
  <si>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</si>
  <si>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</si>
  <si>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</si>
  <si>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</si>
  <si>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</si>
  <si>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</si>
  <si>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</si>
  <si>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</si>
  <si>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</si>
  <si>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</si>
  <si>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</si>
  <si>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</si>
  <si>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</si>
  <si>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</si>
  <si>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</si>
  <si>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</si>
  <si>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</si>
  <si>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</si>
  <si>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</si>
  <si>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</si>
  <si>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</si>
  <si>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</si>
  <si>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散热风扇</t>
  </si>
  <si>
    <t>套</t>
  </si>
  <si>
    <t>无线</t>
  </si>
  <si>
    <t>A仓库</t>
  </si>
  <si>
    <t>实际数量</t>
  </si>
  <si>
    <t>总退货数量</t>
  </si>
  <si>
    <t>总退货金额</t>
  </si>
  <si>
    <t>平均退货数量</t>
  </si>
  <si>
    <t>涉及商品数</t>
  </si>
  <si>
    <t>B仓库</t>
  </si>
  <si>
    <t>类别</t>
  </si>
  <si>
    <t>名称</t>
  </si>
  <si>
    <t>售价</t>
  </si>
  <si>
    <t>仓库</t>
  </si>
  <si>
    <t>外设</t>
  </si>
  <si>
    <t>双击
勾选</t>
  </si>
  <si>
    <t>id</t>
  </si>
  <si>
    <t>订单号</t>
  </si>
  <si>
    <t>价格</t>
  </si>
  <si>
    <t>类型</t>
  </si>
  <si>
    <t>时间</t>
  </si>
  <si>
    <t>公司名</t>
  </si>
  <si>
    <t>进货方</t>
  </si>
  <si>
    <t>采购</t>
  </si>
  <si>
    <t>科创</t>
  </si>
  <si>
    <t>采购单</t>
  </si>
  <si>
    <t>订单号:</t>
  </si>
  <si>
    <t>入库时间:</t>
  </si>
  <si>
    <t>供应商:</t>
  </si>
  <si>
    <t>仓库:</t>
  </si>
  <si>
    <t>合计金额(大写):</t>
  </si>
  <si>
    <t>合计金额(小写):</t>
  </si>
  <si>
    <t>入库单</t>
  </si>
  <si>
    <t>订单号：</t>
  </si>
  <si>
    <t>供应商：</t>
  </si>
  <si>
    <t>华为</t>
  </si>
  <si>
    <t>入库时间：</t>
  </si>
  <si>
    <t>出库单</t>
  </si>
  <si>
    <t>cs002</t>
  </si>
  <si>
    <t>客户：</t>
  </si>
  <si>
    <t>长城</t>
  </si>
  <si>
    <t>出库时间：</t>
  </si>
  <si>
    <t>JTP0091测试</t>
  </si>
  <si>
    <t>测试商品1</t>
  </si>
  <si>
    <t>qe231</t>
  </si>
  <si>
    <t>undefined</t>
  </si>
  <si>
    <t>合计金额：11020</t>
  </si>
  <si>
    <t>商品售价</t>
  </si>
  <si>
    <t>商品数量</t>
  </si>
  <si>
    <t>开始合计金额：96488</t>
  </si>
  <si>
    <t>结束合计金额：100011</t>
  </si>
  <si>
    <t>期初数量</t>
  </si>
  <si>
    <t>期初金额</t>
  </si>
  <si>
    <t>期末数量</t>
  </si>
  <si>
    <t>期末金额</t>
  </si>
  <si>
    <t>库存金额</t>
  </si>
  <si>
    <t>明细类型</t>
  </si>
  <si>
    <t>收/进货方</t>
  </si>
  <si>
    <t>期初</t>
  </si>
  <si>
    <t>入库</t>
  </si>
  <si>
    <t>出库</t>
  </si>
  <si>
    <t>结存</t>
  </si>
  <si>
    <t>边缘存量</t>
  </si>
  <si>
    <t>JP0037</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</si>
  <si>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</si>
  <si>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</si>
  <si>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</si>
  <si>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</si>
  <si>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</si>
  <si>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</si>
  <si>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</si>
  <si>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</si>
  <si>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</si>
  <si>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</si>
  <si>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</si>
  <si>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</si>
  <si>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</si>
  <si>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</si>
  <si>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</si>
  <si>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</si>
  <si>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</si>
  <si>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订单号：123
 时间：2026/3/14 9:02:43</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</si>
</sst>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12"/>
      <name val="宋体"/>
      <charset val="134"/>
    </font>
    <font>
      <sz val="9"/>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pt idx="2">
                  <c:v>B仓库</c:v>
                </c:pt>
                <c:pt idx="3">
                  <c:v>12</c:v>
                </c:pt>
              </c:strCache>
            </c:strRef>
          </c:cat>
          <c:val>
            <c:numRef>
              <c:f>销售退货统计!$N$4:$U$4</c:f>
              <c:numCache>
                <c:formatCode>General</c:formatCode>
                <c:ptCount val="8"/>
                <c:pt idx="0">
                  <c:v>5</c:v>
                </c:pt>
                <c:pt idx="1">
                  <c:v>41</c:v>
                </c:pt>
                <c:pt idx="2">
                  <c:v>12</c:v>
                </c:pt>
                <c:pt idx="3">
                  <c:v>22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pt idx="2">
                  <c:v>B仓库</c:v>
                </c:pt>
                <c:pt idx="3">
                  <c:v>12</c:v>
                </c:pt>
              </c:strCache>
            </c:strRef>
          </c:cat>
          <c:val>
            <c:numRef>
              <c:f>销售退货统计!$N$4:$U$4</c:f>
              <c:numCache>
                <c:formatCode>General</c:formatCode>
                <c:ptCount val="8"/>
                <c:pt idx="0">
                  <c:v>5</c:v>
                </c:pt>
                <c:pt idx="1">
                  <c:v>41</c:v>
                </c:pt>
                <c:pt idx="2">
                  <c:v>12</c:v>
                </c:pt>
                <c:pt idx="3">
                  <c:v>22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strCache>
            </c:strRef>
          </c:cat>
          <c:val>
            <c:numRef>
              <c:f>采购退货统计!$N$4:$U$4</c:f>
              <c:numCache>
                <c:formatCode>General</c:formatCode>
                <c:ptCount val="8"/>
                <c:pt idx="0">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strCache>
            </c:strRef>
          </c:cat>
          <c:val>
            <c:numRef>
              <c:f>采购退货统计!$N$4:$U$4</c:f>
              <c:numCache>
                <c:formatCode>General</c:formatCode>
                <c:ptCount val="8"/>
                <c:pt idx="0">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125</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125</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107315</xdr:colOff>
      <xdr:row>0</xdr:row>
      <xdr:rowOff>85725</xdr:rowOff>
    </xdr:from>
    <xdr:to>
      <xdr:col>7</xdr:col>
      <xdr:colOff>805815</xdr:colOff>
      <xdr:row>0</xdr:row>
      <xdr:rowOff>600710</xdr:rowOff>
    </xdr:to>
    <xdr:sp macro="[0]!up">
      <xdr:nvSpPr>
        <xdr:cNvPr id="3" name="nextPage"/>
        <xdr:cNvSpPr/>
      </xdr:nvSpPr>
      <xdr:spPr>
        <a:xfrm>
          <a:off x="76034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1202690</xdr:colOff>
      <xdr:row>0</xdr:row>
      <xdr:rowOff>159385</xdr:rowOff>
    </xdr:from>
    <xdr:to>
      <xdr:col>10</xdr:col>
      <xdr:colOff>247650</xdr:colOff>
      <xdr:row>0</xdr:row>
      <xdr:rowOff>565785</xdr:rowOff>
    </xdr:to>
    <xdr:sp macro="[0]!OpenWebPage">
      <xdr:nvSpPr>
        <xdr:cNvPr id="10" name="圆角矩形 13"/>
        <xdr:cNvSpPr/>
      </xdr:nvSpPr>
      <xdr:spPr>
        <a:xfrm>
          <a:off x="869886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4"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G11" sqref="G11"/>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D7Oto67K++U9NEenkd0erK938Pl0IJdEf4ZP2pSau78rHRGI4Gmk2B7qhms/GxK/UFZTA2zDe278HxfeQE4ZUw==" saltValue="koUw1yWqppLXzaiAQIvIaQ=="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5">
        <v>58441</v>
      </c>
      <c r="C1" s="75">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33</v>
      </c>
      <c r="H2" s="38"/>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34</v>
      </c>
      <c r="J4" s="48"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3"/>
  <sheetViews>
    <sheetView showGridLines="0" workbookViewId="0">
      <pane ySplit="4" topLeftCell="A5" activePane="bottomLeft" state="frozen"/>
      <selection/>
      <selection pane="bottomLeft" activeCell="H7" sqref="H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35</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37</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13</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-3</v>
      </c>
    </row>
    <row r="12" customHeight="1" spans="1:11">
      <c r="C12" s="65">
        <v>8</v>
      </c>
      <c r="D12" s="65" t="s">
        <v>59</v>
      </c>
      <c r="E12" s="65" t="s">
        <v>50</v>
      </c>
      <c r="F12" s="65" t="s">
        <v>42</v>
      </c>
      <c r="G12" s="65" t="s">
        <v>60</v>
      </c>
      <c r="J12" s="65">
        <v>0</v>
      </c>
    </row>
    <row r="13" customHeight="1" spans="1:11">
      <c r="C13" s="65">
        <v>9</v>
      </c>
      <c r="D13" s="65" t="s">
        <v>61</v>
      </c>
      <c r="E13" s="65" t="s">
        <v>37</v>
      </c>
      <c r="F13" s="65" t="s">
        <v>57</v>
      </c>
      <c r="G13" s="65" t="s">
        <v>58</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62</v>
      </c>
      <c r="H2" s="67"/>
      <c r="I2" s="38"/>
    </row>
    <row r="3" s="2" customFormat="1" customHeight="1" spans="1:10">
      <c r="B3" s="9"/>
      <c r="C3" s="68"/>
      <c r="D3" s="68"/>
      <c r="E3" s="68"/>
      <c r="F3" s="68"/>
      <c r="G3" s="68"/>
      <c r="H3" s="68"/>
      <c r="I3" s="68"/>
      <c r="J3" s="9"/>
    </row>
    <row r="4" s="2" customFormat="1" ht="30" customHeight="1" spans="1:10">
      <c r="B4" s="9"/>
      <c r="C4" s="48" t="s">
        <v>25</v>
      </c>
      <c r="D4" s="48" t="s">
        <v>26</v>
      </c>
      <c r="E4" s="48" t="s">
        <v>27</v>
      </c>
      <c r="F4" s="48" t="s">
        <v>28</v>
      </c>
      <c r="G4" s="48" t="s">
        <v>29</v>
      </c>
      <c r="H4" s="48" t="s">
        <v>32</v>
      </c>
      <c r="I4" s="48" t="s">
        <v>63</v>
      </c>
      <c r="J4" s="9"/>
    </row>
    <row r="5" customHeight="1" spans="1:10">
      <c r="C5" s="65">
        <v>1</v>
      </c>
      <c r="D5" s="65" t="s">
        <v>36</v>
      </c>
      <c r="E5" s="65" t="s">
        <v>37</v>
      </c>
      <c r="F5" s="65" t="s">
        <v>38</v>
      </c>
      <c r="G5" s="65" t="s">
        <v>39</v>
      </c>
      <c r="H5" s="65">
        <v>33</v>
      </c>
    </row>
    <row r="6" customHeight="1" spans="1:10">
      <c r="C6" s="65">
        <v>2</v>
      </c>
      <c r="D6" s="65" t="s">
        <v>40</v>
      </c>
      <c r="E6" s="65" t="s">
        <v>41</v>
      </c>
      <c r="F6" s="65" t="s">
        <v>42</v>
      </c>
      <c r="G6" s="65" t="s">
        <v>43</v>
      </c>
      <c r="H6" s="65">
        <v>15</v>
      </c>
    </row>
    <row r="7" customHeight="1" spans="1:10">
      <c r="C7" s="65">
        <v>3</v>
      </c>
      <c r="D7" s="65" t="s">
        <v>44</v>
      </c>
      <c r="E7" s="65" t="s">
        <v>45</v>
      </c>
      <c r="F7" s="65" t="s">
        <v>46</v>
      </c>
      <c r="G7" s="65" t="s">
        <v>47</v>
      </c>
      <c r="H7" s="65">
        <v>12</v>
      </c>
    </row>
    <row r="8" customHeight="1" spans="1:10">
      <c r="C8" s="65">
        <v>4</v>
      </c>
      <c r="D8" s="65" t="s">
        <v>48</v>
      </c>
      <c r="E8" s="65">
        <v>778899</v>
      </c>
      <c r="F8" s="65" t="s">
        <v>46</v>
      </c>
      <c r="G8" s="65" t="s">
        <v>47</v>
      </c>
      <c r="H8" s="65">
        <v>0</v>
      </c>
    </row>
    <row r="9" customHeight="1" spans="1:10">
      <c r="C9" s="65">
        <v>5</v>
      </c>
      <c r="D9" s="65" t="s">
        <v>49</v>
      </c>
      <c r="E9" s="65" t="s">
        <v>50</v>
      </c>
      <c r="F9" s="65" t="s">
        <v>51</v>
      </c>
      <c r="G9" s="65" t="s">
        <v>43</v>
      </c>
      <c r="H9" s="65">
        <v>0</v>
      </c>
    </row>
    <row r="10" customHeight="1" spans="1:10">
      <c r="C10" s="65">
        <v>6</v>
      </c>
      <c r="D10" s="65" t="s">
        <v>52</v>
      </c>
      <c r="E10" s="65" t="s">
        <v>53</v>
      </c>
      <c r="F10" s="65" t="s">
        <v>54</v>
      </c>
      <c r="G10" s="65" t="s">
        <v>43</v>
      </c>
      <c r="H10" s="65">
        <v>-1</v>
      </c>
    </row>
    <row r="11" customHeight="1" spans="1:10">
      <c r="C11" s="65">
        <v>7</v>
      </c>
      <c r="D11" s="65" t="s">
        <v>55</v>
      </c>
      <c r="E11" s="65" t="s">
        <v>56</v>
      </c>
      <c r="F11" s="65" t="s">
        <v>57</v>
      </c>
      <c r="G11" s="65" t="s">
        <v>58</v>
      </c>
      <c r="H11" s="65">
        <v>0</v>
      </c>
    </row>
    <row r="12" customHeight="1" spans="1:10">
      <c r="C12" s="65">
        <v>8</v>
      </c>
      <c r="D12" s="65" t="s">
        <v>59</v>
      </c>
      <c r="E12" s="65" t="s">
        <v>50</v>
      </c>
      <c r="F12" s="65" t="s">
        <v>42</v>
      </c>
      <c r="G12" s="65" t="s">
        <v>60</v>
      </c>
      <c r="H12" s="65">
        <v>25</v>
      </c>
    </row>
    <row r="13" customHeight="1" spans="1:10">
      <c r="C13" s="65">
        <v>9</v>
      </c>
      <c r="D13" s="65" t="s">
        <v>61</v>
      </c>
      <c r="E13" s="65" t="s">
        <v>37</v>
      </c>
      <c r="F13" s="65" t="s">
        <v>57</v>
      </c>
      <c r="G13" s="65" t="s">
        <v>58</v>
      </c>
      <c r="H13" s="65">
        <v>0</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62</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45</v>
      </c>
      <c r="K5" s="32"/>
    </row>
    <row r="6" customHeight="1" spans="1:11">
      <c r="C6" s="65">
        <v>2</v>
      </c>
      <c r="D6" s="65" t="s">
        <v>40</v>
      </c>
      <c r="E6" s="65" t="s">
        <v>41</v>
      </c>
      <c r="F6" s="65" t="s">
        <v>42</v>
      </c>
      <c r="G6" s="65" t="s">
        <v>43</v>
      </c>
      <c r="J6" s="65">
        <v>15</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25</v>
      </c>
    </row>
    <row r="13" customHeight="1" spans="1:11">
      <c r="C13" s="65">
        <v>9</v>
      </c>
      <c r="D13" s="65" t="s">
        <v>61</v>
      </c>
      <c r="E13" s="65" t="s">
        <v>37</v>
      </c>
      <c r="F13" s="65" t="s">
        <v>57</v>
      </c>
      <c r="G13" s="65" t="s">
        <v>58</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62</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45</v>
      </c>
      <c r="K5" s="32"/>
    </row>
    <row r="6" customHeight="1" spans="1:11">
      <c r="C6" s="65">
        <v>2</v>
      </c>
      <c r="D6" s="65" t="s">
        <v>40</v>
      </c>
      <c r="E6" s="65" t="s">
        <v>41</v>
      </c>
      <c r="F6" s="65" t="s">
        <v>42</v>
      </c>
      <c r="G6" s="65" t="s">
        <v>43</v>
      </c>
      <c r="J6" s="65">
        <v>14</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25</v>
      </c>
    </row>
    <row r="13" customHeight="1" spans="1:11">
      <c r="C13" s="65">
        <v>9</v>
      </c>
      <c r="D13" s="65" t="s">
        <v>61</v>
      </c>
      <c r="E13" s="65" t="s">
        <v>37</v>
      </c>
      <c r="F13" s="65" t="s">
        <v>57</v>
      </c>
      <c r="G13" s="65" t="s">
        <v>58</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8"/>
  <sheetViews>
    <sheetView showGridLines="0" topLeftCell="C1" workbookViewId="0">
      <pane ySplit="4" topLeftCell="A5" activePane="bottomLeft" state="frozen"/>
      <selection/>
      <selection pane="bottomLeft" activeCell="I7" sqref="I7"/>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64</v>
      </c>
      <c r="K3" s="70" t="s">
        <v>65</v>
      </c>
      <c r="L3" s="70" t="s">
        <v>66</v>
      </c>
      <c r="M3" s="70" t="s">
        <v>67</v>
      </c>
      <c r="N3" s="71" t="s">
        <v>35</v>
      </c>
      <c r="O3" s="71" t="s">
        <v>62</v>
      </c>
      <c r="P3" s="71" t="s">
        <v>68</v>
      </c>
      <c r="Q3" s="71">
        <v>12</v>
      </c>
      <c r="R3" s="71"/>
      <c r="S3" s="71"/>
      <c r="T3" s="71"/>
      <c r="U3" s="71"/>
    </row>
    <row r="4" s="2" customFormat="1" ht="30" customHeight="1" spans="1:21">
      <c r="A4" s="9"/>
      <c r="B4" s="48" t="s">
        <v>25</v>
      </c>
      <c r="C4" s="48" t="s">
        <v>69</v>
      </c>
      <c r="D4" s="48" t="s">
        <v>70</v>
      </c>
      <c r="E4" s="48" t="s">
        <v>71</v>
      </c>
      <c r="F4" s="48" t="s">
        <v>30</v>
      </c>
      <c r="G4" s="48" t="s">
        <v>72</v>
      </c>
      <c r="H4" s="9"/>
      <c r="J4" s="73">
        <v>14</v>
      </c>
      <c r="K4" s="73">
        <v>348</v>
      </c>
      <c r="L4" s="74">
        <v>14</v>
      </c>
      <c r="M4" s="73">
        <v>1</v>
      </c>
      <c r="N4" s="71">
        <v>5</v>
      </c>
      <c r="O4" s="71">
        <v>41</v>
      </c>
      <c r="P4" s="71">
        <v>12</v>
      </c>
      <c r="Q4" s="71">
        <v>22</v>
      </c>
      <c r="R4" s="71"/>
      <c r="S4" s="71"/>
      <c r="T4" s="71"/>
      <c r="U4" s="71"/>
    </row>
    <row r="5" customHeight="1" spans="1:21">
      <c r="B5" s="65">
        <v>1</v>
      </c>
      <c r="C5" s="65" t="s">
        <v>38</v>
      </c>
      <c r="D5" s="65" t="s">
        <v>36</v>
      </c>
      <c r="E5" s="65">
        <v>12</v>
      </c>
      <c r="F5" s="65">
        <v>2</v>
      </c>
      <c r="G5" s="65" t="s">
        <v>35</v>
      </c>
    </row>
    <row r="6" customHeight="1" spans="1:21">
      <c r="B6" s="65">
        <v>2</v>
      </c>
      <c r="C6" s="65" t="s">
        <v>73</v>
      </c>
      <c r="D6" s="65" t="s">
        <v>36</v>
      </c>
      <c r="E6" s="65">
        <v>1</v>
      </c>
      <c r="F6" s="65">
        <v>1</v>
      </c>
      <c r="G6" s="65" t="s">
        <v>62</v>
      </c>
    </row>
    <row r="7" customHeight="1" spans="1:21">
      <c r="B7" s="65">
        <v>3</v>
      </c>
      <c r="C7" s="65" t="s">
        <v>38</v>
      </c>
      <c r="D7" s="65" t="s">
        <v>36</v>
      </c>
      <c r="E7" s="65">
        <v>1</v>
      </c>
      <c r="F7" s="65">
        <v>12</v>
      </c>
      <c r="G7" s="65" t="s">
        <v>62</v>
      </c>
    </row>
    <row r="8" customHeight="1" spans="1:21">
      <c r="B8" s="65">
        <v>4</v>
      </c>
      <c r="C8" s="65" t="s">
        <v>38</v>
      </c>
      <c r="D8" s="65" t="s">
        <v>36</v>
      </c>
      <c r="E8" s="65">
        <v>3</v>
      </c>
      <c r="F8" s="65">
        <v>12</v>
      </c>
      <c r="G8" s="65" t="s">
        <v>68</v>
      </c>
    </row>
    <row r="9" customHeight="1" spans="1:21">
      <c r="B9" s="65">
        <v>5</v>
      </c>
      <c r="C9" s="65" t="s">
        <v>38</v>
      </c>
      <c r="D9" s="65" t="s">
        <v>36</v>
      </c>
      <c r="E9" s="65">
        <v>11</v>
      </c>
      <c r="F9" s="65">
        <v>22</v>
      </c>
      <c r="G9" s="65">
        <v>12</v>
      </c>
    </row>
    <row r="10" customHeight="1" spans="1:21">
      <c r="B10" s="65">
        <v>6</v>
      </c>
      <c r="C10" s="65" t="s">
        <v>38</v>
      </c>
      <c r="D10" s="65" t="s">
        <v>36</v>
      </c>
      <c r="E10" s="65">
        <v>1</v>
      </c>
      <c r="F10" s="65">
        <v>1</v>
      </c>
      <c r="G10" s="65" t="s">
        <v>62</v>
      </c>
    </row>
    <row r="11" customHeight="1" spans="1:21">
      <c r="B11" s="65">
        <v>7</v>
      </c>
      <c r="C11" s="65" t="s">
        <v>38</v>
      </c>
      <c r="D11" s="65" t="s">
        <v>36</v>
      </c>
      <c r="E11" s="65">
        <v>2</v>
      </c>
      <c r="F11" s="65">
        <v>1</v>
      </c>
      <c r="G11" s="65" t="s">
        <v>62</v>
      </c>
    </row>
    <row r="12" customHeight="1" spans="1:21">
      <c r="B12" s="65">
        <v>8</v>
      </c>
      <c r="C12" s="65" t="s">
        <v>38</v>
      </c>
      <c r="D12" s="65" t="s">
        <v>36</v>
      </c>
      <c r="E12" s="65">
        <v>1</v>
      </c>
      <c r="F12" s="65">
        <v>1</v>
      </c>
      <c r="G12" s="65" t="s">
        <v>35</v>
      </c>
    </row>
    <row r="13" customHeight="1" spans="1:21">
      <c r="B13" s="65">
        <v>9</v>
      </c>
      <c r="C13" s="65" t="s">
        <v>38</v>
      </c>
      <c r="D13" s="65" t="s">
        <v>36</v>
      </c>
      <c r="E13" s="65">
        <v>1</v>
      </c>
      <c r="F13" s="65">
        <v>1</v>
      </c>
      <c r="G13" s="65" t="s">
        <v>62</v>
      </c>
    </row>
    <row r="14" customHeight="1" spans="1:21">
      <c r="B14" s="65">
        <v>10</v>
      </c>
      <c r="C14" s="65" t="s">
        <v>38</v>
      </c>
      <c r="D14" s="65" t="s">
        <v>36</v>
      </c>
      <c r="E14" s="65">
        <v>1</v>
      </c>
      <c r="F14" s="65">
        <v>1</v>
      </c>
      <c r="G14" s="65" t="s">
        <v>35</v>
      </c>
    </row>
    <row r="15" customHeight="1" spans="1:21">
      <c r="B15" s="65">
        <v>11</v>
      </c>
      <c r="C15" s="65" t="s">
        <v>38</v>
      </c>
      <c r="D15" s="65" t="s">
        <v>36</v>
      </c>
      <c r="E15" s="65">
        <v>1</v>
      </c>
      <c r="F15" s="65">
        <v>1</v>
      </c>
      <c r="G15" s="65" t="s">
        <v>35</v>
      </c>
    </row>
    <row r="16" customHeight="1" spans="1:21">
      <c r="B16" s="65">
        <v>12</v>
      </c>
      <c r="C16" s="65" t="s">
        <v>38</v>
      </c>
      <c r="D16" s="65" t="s">
        <v>36</v>
      </c>
      <c r="E16" s="65">
        <v>1</v>
      </c>
      <c r="F16" s="65">
        <v>12</v>
      </c>
      <c r="G16" s="65" t="s">
        <v>62</v>
      </c>
    </row>
    <row r="17" customHeight="1" spans="2:7">
      <c r="B17" s="65">
        <v>13</v>
      </c>
      <c r="C17" s="65" t="s">
        <v>38</v>
      </c>
      <c r="D17" s="65" t="s">
        <v>36</v>
      </c>
      <c r="E17" s="65">
        <v>2</v>
      </c>
      <c r="F17" s="65">
        <v>1</v>
      </c>
      <c r="G17" s="65" t="s">
        <v>62</v>
      </c>
    </row>
    <row r="18" customHeight="1" spans="2:7">
      <c r="B18" s="65">
        <v>14</v>
      </c>
      <c r="C18" s="65" t="s">
        <v>38</v>
      </c>
      <c r="D18" s="65" t="s">
        <v>36</v>
      </c>
      <c r="E18" s="65">
        <v>1</v>
      </c>
      <c r="F18" s="65">
        <v>12</v>
      </c>
      <c r="G18" s="65" t="s">
        <v>62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AC3" sqref="AC3"/>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64</v>
      </c>
      <c r="K3" s="70" t="s">
        <v>65</v>
      </c>
      <c r="L3" s="70" t="s">
        <v>66</v>
      </c>
      <c r="M3" s="70" t="s">
        <v>67</v>
      </c>
      <c r="N3" s="71" t="s">
        <v>68</v>
      </c>
      <c r="O3" s="71"/>
      <c r="P3" s="71"/>
      <c r="Q3" s="71"/>
      <c r="R3" s="71"/>
      <c r="S3" s="71"/>
      <c r="T3" s="71"/>
      <c r="U3" s="71"/>
    </row>
    <row r="4" s="2" customFormat="1" ht="30" customHeight="1" spans="1:21">
      <c r="A4" s="9"/>
      <c r="B4" s="48" t="s">
        <v>25</v>
      </c>
      <c r="C4" s="48" t="s">
        <v>69</v>
      </c>
      <c r="D4" s="48" t="s">
        <v>70</v>
      </c>
      <c r="E4" s="48" t="s">
        <v>71</v>
      </c>
      <c r="F4" s="48" t="s">
        <v>30</v>
      </c>
      <c r="G4" s="48" t="s">
        <v>72</v>
      </c>
      <c r="H4" s="9"/>
      <c r="J4" s="73">
        <v>1</v>
      </c>
      <c r="K4" s="73">
        <v>48</v>
      </c>
      <c r="L4" s="74">
        <v>1</v>
      </c>
      <c r="M4" s="73">
        <v>1</v>
      </c>
      <c r="N4" s="71">
        <v>4</v>
      </c>
      <c r="O4" s="71"/>
      <c r="P4" s="71"/>
      <c r="Q4" s="71"/>
      <c r="R4" s="71"/>
      <c r="S4" s="71"/>
      <c r="T4" s="71"/>
      <c r="U4" s="71"/>
    </row>
    <row r="5" customHeight="1" spans="1:21">
      <c r="B5" s="65">
        <v>1</v>
      </c>
      <c r="C5" s="65" t="s">
        <v>46</v>
      </c>
      <c r="D5" s="65" t="s">
        <v>48</v>
      </c>
      <c r="E5" s="65">
        <v>12</v>
      </c>
      <c r="F5" s="65">
        <v>4</v>
      </c>
      <c r="G5" s="65" t="s">
        <v>68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1"/>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64</v>
      </c>
      <c r="K3" s="70" t="s">
        <v>65</v>
      </c>
      <c r="L3" s="70" t="s">
        <v>66</v>
      </c>
      <c r="M3" s="70" t="s">
        <v>67</v>
      </c>
      <c r="N3" s="71" t="s">
        <v>35</v>
      </c>
      <c r="O3" s="71" t="s">
        <v>62</v>
      </c>
      <c r="P3" s="71"/>
      <c r="Q3" s="71"/>
      <c r="R3" s="71"/>
      <c r="S3" s="71"/>
      <c r="T3" s="71"/>
      <c r="U3" s="71"/>
      <c r="V3" s="72"/>
      <c r="W3" s="72"/>
      <c r="X3" s="72"/>
      <c r="Y3" s="72"/>
      <c r="Z3" s="72"/>
      <c r="AA3" s="72"/>
      <c r="AB3" s="72"/>
      <c r="AC3" s="72"/>
      <c r="AD3" s="72"/>
      <c r="AE3" s="72"/>
      <c r="AF3" s="72"/>
      <c r="AG3" s="72"/>
      <c r="AH3" s="72"/>
    </row>
    <row r="4" s="2" customFormat="1" ht="30" customHeight="1" spans="1:34">
      <c r="A4" s="9"/>
      <c r="B4" s="48" t="s">
        <v>25</v>
      </c>
      <c r="C4" s="48" t="s">
        <v>69</v>
      </c>
      <c r="D4" s="48" t="s">
        <v>70</v>
      </c>
      <c r="E4" s="48" t="s">
        <v>71</v>
      </c>
      <c r="F4" s="48" t="s">
        <v>30</v>
      </c>
      <c r="G4" s="48" t="s">
        <v>72</v>
      </c>
      <c r="H4" s="9"/>
      <c r="J4" s="73">
        <v>7</v>
      </c>
      <c r="K4" s="73">
        <v>15532</v>
      </c>
      <c r="L4" s="74">
        <v>7</v>
      </c>
      <c r="M4" s="73">
        <v>1</v>
      </c>
      <c r="N4" s="71">
        <v>125</v>
      </c>
      <c r="O4" s="71">
        <v>1</v>
      </c>
      <c r="P4" s="71"/>
      <c r="Q4" s="71"/>
      <c r="R4" s="71"/>
      <c r="S4" s="71"/>
      <c r="T4" s="71"/>
      <c r="U4" s="71"/>
      <c r="V4" s="72"/>
      <c r="W4" s="72"/>
      <c r="X4" s="72"/>
      <c r="Y4" s="72"/>
      <c r="Z4" s="72"/>
      <c r="AA4" s="72"/>
      <c r="AB4" s="72"/>
      <c r="AC4" s="72"/>
      <c r="AD4" s="72"/>
      <c r="AE4" s="72"/>
      <c r="AF4" s="72"/>
      <c r="AG4" s="72"/>
      <c r="AH4" s="72"/>
    </row>
    <row r="5" customHeight="1" spans="1:34">
      <c r="B5" s="65">
        <v>1</v>
      </c>
      <c r="C5" s="65" t="s">
        <v>46</v>
      </c>
      <c r="D5" s="65" t="s">
        <v>44</v>
      </c>
    </row>
    <row r="6" customHeight="1" spans="1:34">
      <c r="B6" s="65">
        <v>2</v>
      </c>
      <c r="C6" s="65" t="s">
        <v>46</v>
      </c>
      <c r="D6" s="65" t="s">
        <v>44</v>
      </c>
      <c r="E6" s="65">
        <v>20</v>
      </c>
      <c r="F6" s="65">
        <v>20</v>
      </c>
    </row>
    <row r="7" customHeight="1" spans="1:34">
      <c r="B7" s="65">
        <v>3</v>
      </c>
      <c r="C7" s="65" t="s">
        <v>46</v>
      </c>
      <c r="D7" s="65" t="s">
        <v>44</v>
      </c>
      <c r="E7" s="65">
        <v>50</v>
      </c>
      <c r="F7" s="65">
        <v>0</v>
      </c>
    </row>
    <row r="8" customHeight="1" spans="1:34">
      <c r="B8" s="65">
        <v>4</v>
      </c>
      <c r="C8" s="65" t="s">
        <v>46</v>
      </c>
      <c r="D8" s="65" t="s">
        <v>44</v>
      </c>
      <c r="E8" s="65">
        <v>1</v>
      </c>
      <c r="F8" s="65">
        <v>1</v>
      </c>
      <c r="G8" s="65" t="s">
        <v>35</v>
      </c>
    </row>
    <row r="9" customHeight="1" spans="1:34">
      <c r="B9" s="65">
        <v>5</v>
      </c>
      <c r="C9" s="65" t="s">
        <v>46</v>
      </c>
      <c r="D9" s="65" t="s">
        <v>44</v>
      </c>
      <c r="E9" s="65">
        <v>1</v>
      </c>
      <c r="F9" s="65">
        <v>1</v>
      </c>
      <c r="G9" s="65" t="s">
        <v>35</v>
      </c>
    </row>
    <row r="10" customHeight="1" spans="1:34">
      <c r="B10" s="65">
        <v>6</v>
      </c>
      <c r="C10" s="65" t="s">
        <v>46</v>
      </c>
      <c r="D10" s="65" t="s">
        <v>44</v>
      </c>
      <c r="E10" s="65">
        <v>1</v>
      </c>
      <c r="F10" s="65">
        <v>1</v>
      </c>
      <c r="G10" s="65" t="s">
        <v>62</v>
      </c>
    </row>
    <row r="11" customHeight="1" spans="1:34">
      <c r="B11" s="65">
        <v>7</v>
      </c>
      <c r="C11" s="65" t="s">
        <v>46</v>
      </c>
      <c r="D11" s="65" t="s">
        <v>44</v>
      </c>
      <c r="E11" s="65">
        <v>123</v>
      </c>
      <c r="F11" s="65">
        <v>123</v>
      </c>
      <c r="G11" s="65" t="s">
        <v>35</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3"/>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62</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45</v>
      </c>
      <c r="K5" s="32"/>
    </row>
    <row r="6" customHeight="1" spans="1:11">
      <c r="C6" s="65">
        <v>2</v>
      </c>
      <c r="D6" s="65" t="s">
        <v>40</v>
      </c>
      <c r="E6" s="65" t="s">
        <v>41</v>
      </c>
      <c r="F6" s="65" t="s">
        <v>42</v>
      </c>
      <c r="G6" s="65" t="s">
        <v>43</v>
      </c>
      <c r="J6" s="65">
        <v>14</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25</v>
      </c>
    </row>
    <row r="13" customHeight="1" spans="1:11">
      <c r="C13" s="65">
        <v>9</v>
      </c>
      <c r="D13" s="65" t="s">
        <v>61</v>
      </c>
      <c r="E13" s="65" t="s">
        <v>37</v>
      </c>
      <c r="F13" s="65" t="s">
        <v>57</v>
      </c>
      <c r="G13" s="65" t="s">
        <v>58</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G10" sqref="G1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74</v>
      </c>
      <c r="C4" s="9" t="s">
        <v>75</v>
      </c>
      <c r="D4" s="48" t="s">
        <v>25</v>
      </c>
      <c r="E4" s="48" t="s">
        <v>76</v>
      </c>
      <c r="F4" s="48" t="s">
        <v>27</v>
      </c>
      <c r="G4" s="48" t="s">
        <v>26</v>
      </c>
      <c r="H4" s="48" t="s">
        <v>28</v>
      </c>
      <c r="I4" s="48" t="s">
        <v>77</v>
      </c>
      <c r="J4" s="48" t="s">
        <v>30</v>
      </c>
      <c r="K4" s="48" t="s">
        <v>78</v>
      </c>
      <c r="L4" s="49" t="s">
        <v>79</v>
      </c>
      <c r="M4" s="48" t="s">
        <v>80</v>
      </c>
      <c r="N4" s="48" t="s">
        <v>81</v>
      </c>
      <c r="O4" s="9"/>
    </row>
    <row r="5" s="3" customFormat="1" customHeight="1" spans="1:15">
      <c r="B5" s="18"/>
      <c r="C5" s="4">
        <v>101</v>
      </c>
      <c r="D5" s="13">
        <v>1</v>
      </c>
      <c r="E5" s="13">
        <v>123</v>
      </c>
      <c r="F5" s="13" t="s">
        <v>45</v>
      </c>
      <c r="G5" s="13" t="s">
        <v>44</v>
      </c>
      <c r="H5" s="13" t="s">
        <v>46</v>
      </c>
      <c r="I5" s="13">
        <v>2</v>
      </c>
      <c r="J5" s="13">
        <v>1</v>
      </c>
      <c r="K5" s="13" t="s">
        <v>82</v>
      </c>
      <c r="L5" s="44">
        <v>46095.3768865741</v>
      </c>
      <c r="M5" s="13" t="s">
        <v>23</v>
      </c>
      <c r="N5" s="13" t="s">
        <v>83</v>
      </c>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F8" sqref="F8"/>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84</v>
      </c>
      <c r="D4" s="55"/>
      <c r="E4" s="55"/>
      <c r="F4" s="55"/>
      <c r="G4" s="55"/>
      <c r="H4" s="55"/>
      <c r="I4" s="9"/>
    </row>
    <row r="5" s="2" customFormat="1" ht="30" customHeight="1" spans="1:9">
      <c r="B5" s="9"/>
      <c r="C5" s="56" t="s">
        <v>85</v>
      </c>
      <c r="D5" s="57"/>
      <c r="E5" s="56"/>
      <c r="F5" s="57"/>
      <c r="G5" s="56" t="s">
        <v>86</v>
      </c>
      <c r="H5" s="58"/>
      <c r="I5" s="9"/>
    </row>
    <row r="6" s="2" customFormat="1" ht="30" customHeight="1" spans="1:9">
      <c r="B6" s="9"/>
      <c r="C6" s="56" t="s">
        <v>87</v>
      </c>
      <c r="D6" s="57"/>
      <c r="E6" s="63"/>
      <c r="F6" s="63"/>
      <c r="G6" s="56" t="s">
        <v>88</v>
      </c>
      <c r="H6" s="57"/>
      <c r="I6" s="9"/>
    </row>
    <row r="7" s="2" customFormat="1" ht="30" customHeight="1" spans="1:9">
      <c r="B7" s="9"/>
      <c r="C7" s="59" t="s">
        <v>26</v>
      </c>
      <c r="D7" s="59" t="s">
        <v>27</v>
      </c>
      <c r="E7" s="59" t="s">
        <v>28</v>
      </c>
      <c r="F7" s="59" t="s">
        <v>30</v>
      </c>
      <c r="G7" s="59" t="s">
        <v>34</v>
      </c>
      <c r="H7" s="59" t="s">
        <v>31</v>
      </c>
      <c r="I7" s="9"/>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89</v>
      </c>
      <c r="D20" s="62">
        <f>G20</f>
        <v>0</v>
      </c>
      <c r="E20" s="62"/>
      <c r="F20" s="61" t="s">
        <v>90</v>
      </c>
      <c r="G20" s="61">
        <f>SUM(H8:H19)</f>
        <v>0</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D10" sqref="D10"/>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91</v>
      </c>
      <c r="D4" s="55"/>
      <c r="E4" s="55"/>
      <c r="F4" s="55"/>
      <c r="G4" s="55"/>
      <c r="H4" s="55"/>
      <c r="I4" s="9"/>
    </row>
    <row r="5" s="2" customFormat="1" ht="30" customHeight="1" spans="1:9">
      <c r="B5" s="9"/>
      <c r="C5" s="56" t="s">
        <v>92</v>
      </c>
      <c r="D5" s="57">
        <v>11</v>
      </c>
      <c r="E5" s="56" t="s">
        <v>93</v>
      </c>
      <c r="F5" s="57" t="s">
        <v>94</v>
      </c>
      <c r="G5" s="56" t="s">
        <v>95</v>
      </c>
      <c r="H5" s="58">
        <v>46084.3780902778</v>
      </c>
      <c r="I5" s="9"/>
    </row>
    <row r="6" s="2" customFormat="1" ht="30" customHeight="1" spans="1:9">
      <c r="B6" s="9"/>
      <c r="C6" s="59" t="s">
        <v>26</v>
      </c>
      <c r="D6" s="59" t="s">
        <v>27</v>
      </c>
      <c r="E6" s="59" t="s">
        <v>28</v>
      </c>
      <c r="F6" s="59" t="s">
        <v>30</v>
      </c>
      <c r="G6" s="59" t="s">
        <v>34</v>
      </c>
      <c r="H6" s="59" t="s">
        <v>31</v>
      </c>
      <c r="I6" s="9"/>
    </row>
    <row r="7" customHeight="1" spans="1:9">
      <c r="C7" s="60" t="s">
        <v>36</v>
      </c>
      <c r="D7" s="60" t="s">
        <v>37</v>
      </c>
      <c r="E7" s="60" t="s">
        <v>38</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89</v>
      </c>
      <c r="D19" s="62">
        <f>G19</f>
        <v>12</v>
      </c>
      <c r="E19" s="62"/>
      <c r="F19" s="61" t="s">
        <v>90</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96</v>
      </c>
      <c r="D4" s="55"/>
      <c r="E4" s="55"/>
      <c r="F4" s="55"/>
      <c r="G4" s="55"/>
      <c r="H4" s="55"/>
      <c r="I4" s="9"/>
    </row>
    <row r="5" s="2" customFormat="1" ht="30" customHeight="1" spans="1:9">
      <c r="B5" s="9"/>
      <c r="C5" s="56" t="s">
        <v>92</v>
      </c>
      <c r="D5" s="57" t="s">
        <v>97</v>
      </c>
      <c r="E5" s="56" t="s">
        <v>98</v>
      </c>
      <c r="F5" s="57" t="s">
        <v>99</v>
      </c>
      <c r="G5" s="56" t="s">
        <v>100</v>
      </c>
      <c r="H5" s="58">
        <v>45194</v>
      </c>
      <c r="I5" s="9"/>
    </row>
    <row r="6" s="2" customFormat="1" ht="30" customHeight="1" spans="1:9">
      <c r="B6" s="9"/>
      <c r="C6" s="59" t="s">
        <v>26</v>
      </c>
      <c r="D6" s="59" t="s">
        <v>27</v>
      </c>
      <c r="E6" s="59" t="s">
        <v>28</v>
      </c>
      <c r="F6" s="59" t="s">
        <v>30</v>
      </c>
      <c r="G6" s="59" t="s">
        <v>34</v>
      </c>
      <c r="H6" s="59" t="s">
        <v>31</v>
      </c>
      <c r="I6" s="9"/>
    </row>
    <row r="7" s="3" customFormat="1" customHeight="1" spans="1:9">
      <c r="B7" s="4"/>
      <c r="C7" s="60" t="s">
        <v>36</v>
      </c>
      <c r="D7" s="60" t="s">
        <v>101</v>
      </c>
      <c r="E7" s="60" t="s">
        <v>38</v>
      </c>
      <c r="F7" s="60">
        <v>20</v>
      </c>
      <c r="G7" s="60">
        <v>20</v>
      </c>
      <c r="H7" s="60">
        <v>400</v>
      </c>
      <c r="I7" s="4"/>
    </row>
    <row r="8" s="3" customFormat="1" customHeight="1" spans="1:9">
      <c r="B8" s="4"/>
      <c r="C8" s="60" t="s">
        <v>40</v>
      </c>
      <c r="D8" s="60" t="s">
        <v>41</v>
      </c>
      <c r="E8" s="60" t="s">
        <v>42</v>
      </c>
      <c r="F8" s="60">
        <v>20</v>
      </c>
      <c r="G8" s="60">
        <v>20</v>
      </c>
      <c r="H8" s="60">
        <v>400</v>
      </c>
      <c r="I8" s="4"/>
    </row>
    <row r="9" s="3" customFormat="1" customHeight="1" spans="1:9">
      <c r="B9" s="4"/>
      <c r="C9" s="60" t="s">
        <v>44</v>
      </c>
      <c r="D9" s="60" t="s">
        <v>45</v>
      </c>
      <c r="E9" s="60" t="s">
        <v>46</v>
      </c>
      <c r="F9" s="60">
        <v>20</v>
      </c>
      <c r="G9" s="60">
        <v>20</v>
      </c>
      <c r="H9" s="60">
        <v>400</v>
      </c>
      <c r="I9" s="4"/>
    </row>
    <row r="10" s="3" customFormat="1" customHeight="1" spans="1:9">
      <c r="B10" s="4"/>
      <c r="C10" s="60" t="s">
        <v>48</v>
      </c>
      <c r="D10" s="60">
        <v>778899</v>
      </c>
      <c r="E10" s="60" t="s">
        <v>46</v>
      </c>
      <c r="F10" s="60">
        <v>20</v>
      </c>
      <c r="G10" s="60">
        <v>20</v>
      </c>
      <c r="H10" s="60">
        <v>400</v>
      </c>
      <c r="I10" s="4"/>
    </row>
    <row r="11" s="3" customFormat="1" customHeight="1" spans="1:9">
      <c r="B11" s="4"/>
      <c r="C11" s="60" t="s">
        <v>102</v>
      </c>
      <c r="D11" s="60" t="s">
        <v>103</v>
      </c>
      <c r="E11" s="60" t="s">
        <v>46</v>
      </c>
      <c r="F11" s="60">
        <v>20</v>
      </c>
      <c r="G11" s="60">
        <v>20</v>
      </c>
      <c r="H11" s="60">
        <v>400</v>
      </c>
      <c r="I11" s="4"/>
    </row>
    <row r="12" s="3" customFormat="1" customHeight="1" spans="1:9">
      <c r="B12" s="4"/>
      <c r="C12" s="60" t="s">
        <v>104</v>
      </c>
      <c r="D12" s="60">
        <v>222</v>
      </c>
      <c r="E12" s="60" t="s">
        <v>104</v>
      </c>
      <c r="F12" s="60">
        <v>20</v>
      </c>
      <c r="G12" s="60">
        <v>20</v>
      </c>
      <c r="H12" s="60">
        <v>400</v>
      </c>
      <c r="I12" s="4"/>
    </row>
    <row r="13" s="3" customFormat="1" customHeight="1" spans="1:9">
      <c r="B13" s="4"/>
      <c r="C13" s="60" t="s">
        <v>104</v>
      </c>
      <c r="D13" s="60" t="s">
        <v>104</v>
      </c>
      <c r="E13" s="60" t="s">
        <v>104</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89</v>
      </c>
      <c r="D19" s="62">
        <f>G19</f>
        <v>2800</v>
      </c>
      <c r="E19" s="62"/>
      <c r="F19" s="61" t="s">
        <v>90</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9" sqref="H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105</v>
      </c>
    </row>
    <row r="3" s="2" customFormat="1" customHeight="1" spans="1:11">
      <c r="B3" s="9"/>
      <c r="C3" s="9"/>
      <c r="D3" s="9"/>
      <c r="E3" s="9"/>
      <c r="F3" s="9"/>
      <c r="G3" s="9"/>
      <c r="H3" s="9"/>
      <c r="I3" s="9"/>
      <c r="J3" s="9"/>
      <c r="K3" s="9"/>
    </row>
    <row r="4" s="2" customFormat="1" ht="30" customHeight="1" spans="1:11">
      <c r="B4" s="9"/>
      <c r="C4" s="9" t="s">
        <v>75</v>
      </c>
      <c r="D4" s="48" t="s">
        <v>25</v>
      </c>
      <c r="E4" s="48" t="s">
        <v>26</v>
      </c>
      <c r="F4" s="48" t="s">
        <v>27</v>
      </c>
      <c r="G4" s="48" t="s">
        <v>28</v>
      </c>
      <c r="H4" s="48" t="s">
        <v>106</v>
      </c>
      <c r="I4" s="48" t="s">
        <v>107</v>
      </c>
      <c r="J4" s="48"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108</v>
      </c>
      <c r="I2" s="50"/>
      <c r="J2" s="50" t="s">
        <v>109</v>
      </c>
    </row>
    <row r="3" s="2" customFormat="1" customHeight="1" spans="1:11">
      <c r="B3" s="9"/>
      <c r="C3" s="9"/>
      <c r="D3" s="9"/>
      <c r="E3" s="9"/>
      <c r="F3" s="9"/>
      <c r="G3" s="9"/>
      <c r="H3" s="9"/>
      <c r="I3" s="9"/>
      <c r="J3" s="9"/>
      <c r="K3" s="9"/>
    </row>
    <row r="4" s="2" customFormat="1" ht="30" customHeight="1" spans="1:11">
      <c r="B4" s="9"/>
      <c r="C4" s="48" t="s">
        <v>25</v>
      </c>
      <c r="D4" s="48" t="s">
        <v>26</v>
      </c>
      <c r="E4" s="48" t="s">
        <v>27</v>
      </c>
      <c r="F4" s="48" t="s">
        <v>28</v>
      </c>
      <c r="G4" s="48" t="s">
        <v>110</v>
      </c>
      <c r="H4" s="48" t="s">
        <v>111</v>
      </c>
      <c r="I4" s="48" t="s">
        <v>112</v>
      </c>
      <c r="J4" s="48" t="s">
        <v>113</v>
      </c>
      <c r="K4" s="9"/>
    </row>
    <row r="5" customHeight="1" spans="1:11">
      <c r="C5" s="13">
        <v>1</v>
      </c>
      <c r="D5" s="13" t="s">
        <v>36</v>
      </c>
      <c r="E5" s="13" t="s">
        <v>37</v>
      </c>
      <c r="F5" s="13" t="s">
        <v>38</v>
      </c>
      <c r="G5" s="13">
        <v>86</v>
      </c>
      <c r="H5" s="13">
        <v>51738</v>
      </c>
      <c r="I5" s="13">
        <v>211</v>
      </c>
      <c r="J5" s="13">
        <v>51234</v>
      </c>
    </row>
    <row r="6" customHeight="1" spans="1:11">
      <c r="C6" s="13">
        <v>2</v>
      </c>
      <c r="D6" s="13" t="s">
        <v>40</v>
      </c>
      <c r="E6" s="13" t="s">
        <v>41</v>
      </c>
      <c r="F6" s="13" t="s">
        <v>42</v>
      </c>
      <c r="G6" s="13">
        <v>130</v>
      </c>
      <c r="H6" s="13">
        <v>-22119</v>
      </c>
      <c r="I6" s="13">
        <v>218</v>
      </c>
      <c r="J6" s="13">
        <v>-20866</v>
      </c>
    </row>
    <row r="7" customHeight="1" spans="1:11">
      <c r="C7" s="13">
        <v>3</v>
      </c>
      <c r="D7" s="13" t="s">
        <v>44</v>
      </c>
      <c r="E7" s="13" t="s">
        <v>45</v>
      </c>
      <c r="F7" s="13" t="s">
        <v>46</v>
      </c>
      <c r="G7" s="13">
        <v>21320</v>
      </c>
      <c r="H7" s="13">
        <v>44840</v>
      </c>
      <c r="I7" s="13">
        <v>21372</v>
      </c>
      <c r="J7" s="13">
        <v>45225</v>
      </c>
    </row>
    <row r="8" customHeight="1" spans="1:11">
      <c r="C8" s="13">
        <v>4</v>
      </c>
      <c r="D8" s="13" t="s">
        <v>48</v>
      </c>
      <c r="E8" s="13">
        <v>778899</v>
      </c>
      <c r="F8" s="13" t="s">
        <v>46</v>
      </c>
      <c r="G8" s="13">
        <v>234</v>
      </c>
      <c r="H8" s="13">
        <v>21999</v>
      </c>
      <c r="I8" s="13">
        <v>238</v>
      </c>
      <c r="J8" s="13">
        <v>22047</v>
      </c>
    </row>
    <row r="9" customHeight="1" spans="1:11">
      <c r="C9" s="13">
        <v>5</v>
      </c>
      <c r="D9" s="13" t="s">
        <v>49</v>
      </c>
      <c r="E9" s="13" t="s">
        <v>50</v>
      </c>
      <c r="F9" s="13" t="s">
        <v>51</v>
      </c>
      <c r="G9" s="13">
        <v>0</v>
      </c>
      <c r="H9" s="13">
        <v>0</v>
      </c>
      <c r="I9" s="13">
        <v>13</v>
      </c>
      <c r="J9" s="13">
        <v>14</v>
      </c>
    </row>
    <row r="10" customHeight="1" spans="1:11">
      <c r="C10" s="13">
        <v>6</v>
      </c>
      <c r="D10" s="13" t="s">
        <v>52</v>
      </c>
      <c r="E10" s="13" t="s">
        <v>53</v>
      </c>
      <c r="F10" s="13" t="s">
        <v>54</v>
      </c>
      <c r="G10" s="13">
        <v>0</v>
      </c>
      <c r="H10" s="13">
        <v>0</v>
      </c>
      <c r="I10" s="13">
        <v>0</v>
      </c>
      <c r="J10" s="13">
        <v>19</v>
      </c>
    </row>
    <row r="11" customHeight="1" spans="1:11">
      <c r="C11" s="13">
        <v>7</v>
      </c>
      <c r="D11" s="13" t="s">
        <v>55</v>
      </c>
      <c r="E11" s="13" t="s">
        <v>56</v>
      </c>
      <c r="F11" s="13" t="s">
        <v>57</v>
      </c>
      <c r="G11" s="13">
        <v>0</v>
      </c>
      <c r="H11" s="13">
        <v>0</v>
      </c>
      <c r="I11" s="13">
        <v>-3</v>
      </c>
      <c r="J11" s="13">
        <v>35</v>
      </c>
    </row>
    <row r="12" customHeight="1" spans="1:11">
      <c r="C12" s="13">
        <v>8</v>
      </c>
      <c r="D12" s="13" t="s">
        <v>59</v>
      </c>
      <c r="E12" s="13" t="s">
        <v>50</v>
      </c>
      <c r="F12" s="13" t="s">
        <v>42</v>
      </c>
      <c r="G12" s="13">
        <v>20</v>
      </c>
      <c r="H12" s="13">
        <v>30</v>
      </c>
      <c r="I12" s="13">
        <v>167</v>
      </c>
      <c r="J12" s="13">
        <v>2303</v>
      </c>
    </row>
    <row r="13" customHeight="1" spans="1:11">
      <c r="C13" s="13">
        <v>9</v>
      </c>
      <c r="D13" s="13" t="s">
        <v>61</v>
      </c>
      <c r="E13" s="13" t="s">
        <v>37</v>
      </c>
      <c r="F13" s="13" t="s">
        <v>57</v>
      </c>
      <c r="G13" s="13">
        <v>0</v>
      </c>
      <c r="H13" s="13">
        <v>0</v>
      </c>
      <c r="I13" s="13">
        <v>0</v>
      </c>
      <c r="J13" s="13">
        <v>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G8" sqref="G8"/>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25</v>
      </c>
      <c r="D4" s="48" t="s">
        <v>26</v>
      </c>
      <c r="E4" s="48" t="s">
        <v>27</v>
      </c>
      <c r="F4" s="48" t="s">
        <v>28</v>
      </c>
      <c r="G4" s="48" t="s">
        <v>32</v>
      </c>
      <c r="H4" s="48" t="s">
        <v>114</v>
      </c>
      <c r="I4" s="9"/>
    </row>
    <row r="5" customHeight="1" spans="1:9">
      <c r="C5" s="13">
        <v>1</v>
      </c>
      <c r="D5" s="13" t="s">
        <v>36</v>
      </c>
      <c r="E5" s="13" t="s">
        <v>37</v>
      </c>
      <c r="F5" s="13" t="s">
        <v>38</v>
      </c>
      <c r="G5" s="13">
        <v>211</v>
      </c>
      <c r="H5" s="13">
        <v>51102</v>
      </c>
    </row>
    <row r="6" customHeight="1" spans="1:9">
      <c r="C6" s="13">
        <v>2</v>
      </c>
      <c r="D6" s="13" t="s">
        <v>40</v>
      </c>
      <c r="E6" s="13" t="s">
        <v>41</v>
      </c>
      <c r="F6" s="13" t="s">
        <v>42</v>
      </c>
      <c r="G6" s="13">
        <v>218</v>
      </c>
      <c r="H6" s="13">
        <v>-20866</v>
      </c>
    </row>
    <row r="7" customHeight="1" spans="1:9">
      <c r="C7" s="13">
        <v>3</v>
      </c>
      <c r="D7" s="13" t="s">
        <v>44</v>
      </c>
      <c r="E7" s="13" t="s">
        <v>45</v>
      </c>
      <c r="F7" s="13" t="s">
        <v>46</v>
      </c>
      <c r="G7" s="13">
        <v>21372</v>
      </c>
      <c r="H7" s="13">
        <v>45225</v>
      </c>
    </row>
    <row r="8" customHeight="1" spans="1:9">
      <c r="C8" s="13">
        <v>4</v>
      </c>
      <c r="D8" s="13" t="s">
        <v>48</v>
      </c>
      <c r="E8" s="13">
        <v>778899</v>
      </c>
      <c r="F8" s="13" t="s">
        <v>46</v>
      </c>
      <c r="G8" s="13">
        <v>238</v>
      </c>
      <c r="H8" s="13">
        <v>22047</v>
      </c>
    </row>
    <row r="9" customHeight="1" spans="1:9">
      <c r="C9" s="13">
        <v>5</v>
      </c>
      <c r="D9" s="13" t="s">
        <v>59</v>
      </c>
      <c r="E9" s="13" t="s">
        <v>50</v>
      </c>
      <c r="F9" s="13" t="s">
        <v>42</v>
      </c>
      <c r="G9" s="13">
        <v>167</v>
      </c>
      <c r="H9" s="13">
        <v>2303</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215" activePane="bottomLeft" state="frozen"/>
      <selection/>
      <selection pane="bottomLeft" activeCell="G220" sqref="G22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74</v>
      </c>
      <c r="C4" s="9" t="s">
        <v>75</v>
      </c>
      <c r="D4" s="48" t="s">
        <v>25</v>
      </c>
      <c r="E4" s="48" t="s">
        <v>76</v>
      </c>
      <c r="F4" s="48" t="s">
        <v>27</v>
      </c>
      <c r="G4" s="48" t="s">
        <v>26</v>
      </c>
      <c r="H4" s="48" t="s">
        <v>28</v>
      </c>
      <c r="I4" s="48" t="s">
        <v>77</v>
      </c>
      <c r="J4" s="48" t="s">
        <v>30</v>
      </c>
      <c r="K4" s="48" t="s">
        <v>115</v>
      </c>
      <c r="L4" s="49" t="s">
        <v>79</v>
      </c>
      <c r="M4" s="48" t="s">
        <v>80</v>
      </c>
      <c r="N4" s="48" t="s">
        <v>116</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11" sqref="H11"/>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33</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75</v>
      </c>
      <c r="D4" s="16" t="s">
        <v>25</v>
      </c>
      <c r="E4" s="41" t="s">
        <v>27</v>
      </c>
      <c r="F4" s="41" t="s">
        <v>26</v>
      </c>
      <c r="G4" s="41" t="s">
        <v>28</v>
      </c>
      <c r="H4" s="16" t="s">
        <v>117</v>
      </c>
      <c r="I4" s="16"/>
      <c r="J4" s="16" t="s">
        <v>118</v>
      </c>
      <c r="K4" s="16"/>
      <c r="L4" s="16" t="s">
        <v>119</v>
      </c>
      <c r="M4" s="16"/>
      <c r="N4" s="16" t="s">
        <v>120</v>
      </c>
      <c r="O4" s="16"/>
      <c r="P4" s="16" t="s">
        <v>121</v>
      </c>
      <c r="Q4" s="39"/>
    </row>
    <row r="5" s="30" customFormat="1" ht="24.95" customHeight="1" spans="1:17">
      <c r="B5" s="39"/>
      <c r="C5" s="39"/>
      <c r="D5" s="42"/>
      <c r="E5" s="43"/>
      <c r="F5" s="43"/>
      <c r="G5" s="43"/>
      <c r="H5" s="42" t="s">
        <v>30</v>
      </c>
      <c r="I5" s="42" t="s">
        <v>31</v>
      </c>
      <c r="J5" s="42" t="s">
        <v>30</v>
      </c>
      <c r="K5" s="42" t="s">
        <v>31</v>
      </c>
      <c r="L5" s="42" t="s">
        <v>30</v>
      </c>
      <c r="M5" s="42" t="s">
        <v>31</v>
      </c>
      <c r="N5" s="42" t="s">
        <v>30</v>
      </c>
      <c r="O5" s="42" t="s">
        <v>31</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75</v>
      </c>
      <c r="D4" s="16" t="s">
        <v>27</v>
      </c>
      <c r="E4" s="16" t="s">
        <v>26</v>
      </c>
      <c r="F4" s="16" t="s">
        <v>69</v>
      </c>
      <c r="G4" s="27" t="s">
        <v>118</v>
      </c>
      <c r="H4" s="28"/>
      <c r="I4" s="27" t="s">
        <v>119</v>
      </c>
      <c r="J4" s="28"/>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5" t="s">
        <v>45</v>
      </c>
      <c r="E6" s="13" t="s">
        <v>44</v>
      </c>
      <c r="F6" s="13" t="s">
        <v>46</v>
      </c>
      <c r="G6" s="13">
        <v>21453</v>
      </c>
      <c r="H6" s="13">
        <v>56467</v>
      </c>
      <c r="I6" s="13">
        <v>146</v>
      </c>
      <c r="J6" s="13">
        <v>15532</v>
      </c>
      <c r="K6" s="4"/>
    </row>
    <row r="7" s="3" customFormat="1" customHeight="1" spans="1:11">
      <c r="B7" s="4"/>
      <c r="C7" s="4"/>
      <c r="D7" s="25" t="s">
        <v>122</v>
      </c>
      <c r="E7" s="13" t="s">
        <v>44</v>
      </c>
      <c r="F7" s="13" t="s">
        <v>46</v>
      </c>
      <c r="G7" s="13">
        <v>80</v>
      </c>
      <c r="H7" s="13">
        <v>5280</v>
      </c>
      <c r="I7" s="13">
        <v>50</v>
      </c>
      <c r="J7" s="13">
        <v>4400</v>
      </c>
      <c r="K7" s="4"/>
    </row>
    <row r="8" s="3" customFormat="1" customHeight="1" spans="1:11">
      <c r="B8" s="4"/>
      <c r="C8" s="4"/>
      <c r="D8" s="25"/>
      <c r="E8" s="13"/>
      <c r="F8" s="13"/>
      <c r="G8" s="13"/>
      <c r="H8" s="13"/>
      <c r="I8" s="13"/>
      <c r="J8" s="13"/>
      <c r="K8" s="4"/>
    </row>
    <row r="9" s="3" customFormat="1" customHeight="1" spans="1:11">
      <c r="B9" s="4"/>
      <c r="C9" s="4"/>
      <c r="D9" s="25"/>
      <c r="E9" s="13"/>
      <c r="F9" s="13"/>
      <c r="G9" s="13"/>
      <c r="H9" s="13"/>
      <c r="I9" s="13"/>
      <c r="J9" s="13"/>
      <c r="K9" s="4"/>
    </row>
    <row r="10" s="3" customFormat="1" customHeight="1" spans="1:11">
      <c r="B10" s="4"/>
      <c r="C10" s="4"/>
      <c r="D10" s="25"/>
      <c r="E10" s="13"/>
      <c r="F10" s="13"/>
      <c r="G10" s="13"/>
      <c r="H10" s="13"/>
      <c r="I10" s="13"/>
      <c r="J10" s="13"/>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6" sqref="G6"/>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123</v>
      </c>
      <c r="E4" s="16" t="s">
        <v>27</v>
      </c>
      <c r="F4" s="26" t="s">
        <v>28</v>
      </c>
      <c r="G4" s="26" t="s">
        <v>26</v>
      </c>
      <c r="H4" s="26" t="s">
        <v>124</v>
      </c>
      <c r="I4" s="26" t="s">
        <v>125</v>
      </c>
      <c r="J4" s="9"/>
    </row>
    <row r="5" s="3" customFormat="1" customHeight="1" spans="1:10">
      <c r="B5" s="4"/>
      <c r="C5" s="4"/>
      <c r="D5" s="25" t="s">
        <v>122</v>
      </c>
      <c r="E5" s="13" t="s">
        <v>36</v>
      </c>
      <c r="F5" s="13" t="s">
        <v>73</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8" activePane="bottomLeft" state="frozen"/>
      <selection/>
      <selection pane="bottomLeft" activeCell="G13" sqref="G13"/>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74</v>
      </c>
      <c r="C4" s="9" t="s">
        <v>75</v>
      </c>
      <c r="D4" s="22" t="s">
        <v>25</v>
      </c>
      <c r="E4" s="16" t="s">
        <v>26</v>
      </c>
      <c r="F4" s="16" t="s">
        <v>27</v>
      </c>
      <c r="G4" s="16" t="s">
        <v>28</v>
      </c>
      <c r="H4" s="16" t="s">
        <v>29</v>
      </c>
      <c r="I4" s="16" t="s">
        <v>126</v>
      </c>
      <c r="J4" s="16" t="s">
        <v>123</v>
      </c>
      <c r="K4" s="16" t="s">
        <v>127</v>
      </c>
      <c r="L4" s="16" t="s">
        <v>121</v>
      </c>
      <c r="M4" s="9"/>
    </row>
    <row r="5" customHeight="1" spans="1:13">
      <c r="D5" s="19"/>
      <c r="E5" s="13"/>
      <c r="F5" s="13"/>
      <c r="G5" s="13"/>
      <c r="H5" s="13"/>
      <c r="I5" s="23"/>
    </row>
    <row r="6" customHeight="1" spans="1:13">
      <c r="D6" s="19"/>
      <c r="E6" s="13"/>
      <c r="F6" s="13"/>
      <c r="G6" s="13"/>
      <c r="H6" s="13"/>
      <c r="I6" s="24"/>
    </row>
    <row r="7" customHeight="1" spans="1:13">
      <c r="I7"/>
    </row>
    <row r="9" customHeight="1" spans="1:13">
      <c r="I9"/>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8" sqref="E1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75</v>
      </c>
      <c r="D4" s="16" t="s">
        <v>25</v>
      </c>
      <c r="E4" s="16" t="s">
        <v>128</v>
      </c>
      <c r="F4" s="16" t="s">
        <v>129</v>
      </c>
      <c r="G4" s="16" t="s">
        <v>130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F5" sqref="F5"/>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75</v>
      </c>
      <c r="D4" s="16" t="s">
        <v>25</v>
      </c>
      <c r="E4" s="16" t="s">
        <v>131</v>
      </c>
      <c r="F4" s="16" t="s">
        <v>129</v>
      </c>
      <c r="G4" s="16" t="s">
        <v>130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75</v>
      </c>
      <c r="D4" s="16" t="s">
        <v>25</v>
      </c>
      <c r="E4" s="16" t="s">
        <v>27</v>
      </c>
      <c r="F4" s="16" t="s">
        <v>26</v>
      </c>
      <c r="G4" s="16" t="s">
        <v>28</v>
      </c>
      <c r="H4" s="16" t="s">
        <v>29</v>
      </c>
      <c r="I4" s="16" t="s">
        <v>132</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L8" sqref="L8"/>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75</v>
      </c>
      <c r="D4" s="16" t="s">
        <v>72</v>
      </c>
      <c r="E4" s="9"/>
    </row>
    <row r="5" s="3" customFormat="1" customHeight="1" spans="1:5">
      <c r="B5" s="4"/>
      <c r="C5" s="4">
        <v>4</v>
      </c>
      <c r="D5" s="13" t="s">
        <v>35</v>
      </c>
      <c r="E5" s="4"/>
    </row>
    <row r="6" s="3" customFormat="1" customHeight="1" spans="1:5">
      <c r="B6" s="4"/>
      <c r="C6" s="4">
        <v>17</v>
      </c>
      <c r="D6" s="13" t="s">
        <v>62</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75</v>
      </c>
      <c r="D4" s="16" t="s">
        <v>133</v>
      </c>
      <c r="E4" s="16" t="s">
        <v>134</v>
      </c>
      <c r="F4" s="16" t="s">
        <v>135</v>
      </c>
      <c r="G4" s="16" t="s">
        <v>136</v>
      </c>
      <c r="H4" s="16" t="s">
        <v>137</v>
      </c>
      <c r="I4" s="16" t="s">
        <v>138</v>
      </c>
      <c r="J4" s="16" t="s">
        <v>139</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I4" sqref="I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140</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2026-03-14T05:15:09Z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