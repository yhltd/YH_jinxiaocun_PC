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<sst xmlns="http://schemas.openxmlformats.org/spreadsheetml/2006/main" count="821" uniqueCount="350">
  <si>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</si>
  <si>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</si>
  <si>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</si>
  <si>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</si>
  <si>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</si>
  <si>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</si>
  <si>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</si>
  <si>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</si>
  <si>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</si>
  <si>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</si>
  <si>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</si>
  <si>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</si>
  <si>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</si>
  <si>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</si>
  <si>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</si>
  <si>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</si>
  <si>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</si>
  <si>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</si>
  <si>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</si>
  <si>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</si>
  <si>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</si>
  <si>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</si>
  <si>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</si>
  <si>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</si>
  <si>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</si>
  <si>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</si>
  <si>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</si>
  <si>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</si>
  <si>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</si>
  <si>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</si>
  <si>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</si>
  <si>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</si>
  <si>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$APP安卓|PC端|EXCEL|小程序$这是备注位置</t>
  </si>
  <si>
    <t>上海恒晨人力资源有限公司_hr</t>
  </si>
  <si>
    <t>上海恒晨人力资源有限公司</t>
  </si>
  <si>
    <t>▌  考勤</t>
  </si>
  <si>
    <t>年</t>
  </si>
  <si>
    <t>月</t>
  </si>
  <si>
    <t>姓名</t>
  </si>
  <si>
    <t>全勤天数</t>
  </si>
  <si>
    <t>实际天数</t>
  </si>
  <si>
    <t>请假/小时</t>
  </si>
  <si>
    <t>加班/小时</t>
  </si>
  <si>
    <t>迟到天数</t>
  </si>
  <si>
    <t>秦岚</t>
  </si>
  <si>
    <t>出勤</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</si>
  <si>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</si>
  <si>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</si>
  <si>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</si>
  <si>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</si>
  <si>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</si>
  <si>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</si>
  <si>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</si>
  <si>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</si>
  <si>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</si>
  <si>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</si>
  <si>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</si>
  <si>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</si>
  <si>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</si>
  <si>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</si>
  <si>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</si>
  <si>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</si>
  <si>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</si>
  <si>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</si>
  <si>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</si>
  <si>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</si>
  <si>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</si>
  <si>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</si>
  <si>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</si>
  <si>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</si>
  <si>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</si>
  <si>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</si>
  <si>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</si>
  <si>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</si>
  <si>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管理员</t>
  </si>
  <si>
    <t>管理部</t>
  </si>
  <si>
    <t>部员</t>
  </si>
  <si>
    <t>0316183333</t>
  </si>
  <si>
    <t>33123456</t>
  </si>
  <si>
    <t>21028220000101231X</t>
  </si>
  <si>
    <t>汉</t>
  </si>
  <si>
    <t>辽宁</t>
  </si>
  <si>
    <t>14855829402</t>
  </si>
  <si>
    <t>本科</t>
  </si>
  <si>
    <t>未婚</t>
  </si>
  <si>
    <t>在职</t>
  </si>
  <si>
    <t>1849537258492836</t>
  </si>
  <si>
    <t>2022/11/1;2023-04-12;2023/4/12;2023/4/12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</si>
  <si>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</si>
  <si>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</si>
  <si>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</si>
  <si>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</si>
  <si>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</si>
  <si>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</si>
  <si>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</si>
  <si>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</si>
  <si>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</si>
  <si>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</si>
  <si>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</si>
  <si>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</si>
  <si>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</si>
  <si>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</si>
  <si>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</si>
  <si>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</si>
  <si>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</si>
  <si>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</si>
  <si>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</si>
  <si>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</si>
  <si>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</si>
  <si>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</si>
  <si>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</si>
  <si>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</si>
  <si>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</si>
  <si>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</si>
  <si>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</si>
  <si>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</si>
  <si>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</si>
  <si>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</si>
  <si>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</si>
  <si>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</si>
  <si>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</si>
  <si>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</si>
  <si>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</si>
  <si>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</si>
  <si>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</si>
  <si>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</si>
  <si>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</si>
  <si>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</si>
  <si>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</si>
  <si>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</si>
  <si>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</si>
  <si>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</si>
  <si>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</si>
  <si>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</si>
  <si>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</si>
  <si>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</si>
  <si>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</si>
  <si>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</si>
  <si>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</si>
  <si>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</si>
  <si>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</si>
  <si>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</si>
  <si>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</si>
  <si>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</si>
  <si>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</si>
  <si>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</si>
  <si>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</si>
  <si>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刘信</t>
  </si>
  <si>
    <t>yhltd</t>
  </si>
  <si>
    <t>赵海生</t>
  </si>
  <si>
    <t>人事部</t>
  </si>
  <si>
    <t>刘鑫</t>
  </si>
  <si>
    <t>测试部</t>
  </si>
  <si>
    <t>驳回</t>
  </si>
  <si>
    <t>去掉周日</t>
  </si>
  <si>
    <t>人员信息管理</t>
  </si>
  <si>
    <t>经理</t>
  </si>
  <si>
    <t>211233199809092121</t>
  </si>
  <si>
    <t>185927385482038</t>
  </si>
  <si>
    <t>古玉琴</t>
  </si>
  <si>
    <t>员工</t>
  </si>
  <si>
    <t>通过</t>
  </si>
  <si>
    <t>双休</t>
  </si>
  <si>
    <t>报盘</t>
  </si>
  <si>
    <t>李玉生</t>
  </si>
  <si>
    <t>副部长</t>
  </si>
  <si>
    <t>210282199506092311</t>
  </si>
  <si>
    <t>1895283749587393</t>
  </si>
  <si>
    <t>王丹翠</t>
  </si>
  <si>
    <t>配置表</t>
  </si>
  <si>
    <t>210282200408052311</t>
  </si>
  <si>
    <t>1952750192743925</t>
  </si>
  <si>
    <t>谷玉琴</t>
  </si>
  <si>
    <t>工资明细</t>
  </si>
  <si>
    <t>刘聪</t>
  </si>
  <si>
    <t>21028219900505231X</t>
  </si>
  <si>
    <t>报税</t>
  </si>
  <si>
    <t>210222200101242311</t>
  </si>
  <si>
    <t>1847295747623482</t>
  </si>
  <si>
    <t>考勤记录</t>
  </si>
  <si>
    <t>210282200101032311</t>
  </si>
  <si>
    <t>184729575384927</t>
  </si>
  <si>
    <t>部门汇总</t>
  </si>
  <si>
    <t>林昆宇</t>
  </si>
  <si>
    <t>210282199309232311</t>
  </si>
  <si>
    <t>1867584967584738</t>
  </si>
  <si>
    <t>社保</t>
  </si>
  <si>
    <t>林至阳</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</si>
  <si>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</si>
  <si>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</si>
  <si>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</si>
  <si>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</si>
  <si>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</si>
  <si>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</si>
  <si>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</si>
  <si>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</si>
  <si>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</si>
  <si>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</si>
  <si>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</si>
  <si>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</si>
  <si>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</si>
  <si>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</si>
  <si>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</si>
  <si>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</si>
  <si>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</si>
  <si>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</si>
  <si>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</si>
  <si>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</si>
  <si>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</si>
  <si>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</si>
  <si>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</si>
  <si>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</si>
  <si>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0</t>
  </si>
  <si>
    <t>▌  考勤记录</t>
  </si>
  <si>
    <t>应到</t>
  </si>
  <si>
    <t>实到</t>
  </si>
  <si>
    <t>请假</t>
  </si>
  <si>
    <t>加班</t>
  </si>
  <si>
    <t>迟到</t>
  </si>
  <si>
    <t>▌  配置表</t>
  </si>
  <si>
    <t>部门配置</t>
  </si>
  <si>
    <t>职务配置</t>
  </si>
  <si>
    <t>个人年金</t>
  </si>
  <si>
    <t>工资</t>
  </si>
  <si>
    <t>保安部</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</si>
  <si>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</si>
  <si>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</si>
  <si>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</si>
  <si>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</si>
  <si>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</si>
  <si>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</si>
  <si>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</si>
  <si>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</si>
  <si>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</si>
  <si>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</si>
  <si>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</si>
  <si>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</si>
  <si>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</si>
  <si>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</si>
  <si>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</si>
  <si>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</si>
  <si>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</si>
  <si>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</si>
  <si>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</si>
  <si>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</si>
  <si>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</si>
  <si>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</si>
  <si>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</si>
  <si>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</si>
  <si>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</si>
  <si>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</si>
  <si>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</si>
  <si>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</si>
  <si>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</si>
  <si>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</si>
  <si>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</si>
  <si>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</si>
  <si>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</si>
  <si>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</si>
  <si>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</si>
  <si>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</si>
  <si>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  简历管理</t>
  </si>
  <si>
    <t>目标岗位</t>
  </si>
  <si>
    <t>提交时间</t>
  </si>
  <si>
    <t>文件</t>
  </si>
  <si>
    <t>状态</t>
  </si>
  <si>
    <t>上传文件</t>
  </si>
  <si>
    <t>http://yhocn.cn:9088/人事系统/简历文件/插单.jpg</t>
  </si>
  <si>
    <t>刘秦</t>
  </si>
  <si>
    <t>高中</t>
  </si>
  <si>
    <t>测试11</t>
  </si>
  <si>
    <t>2026-01-15</t>
  </si>
  <si>
    <t>双击查看</t>
  </si>
  <si>
    <t>双击上传</t>
  </si>
  <si>
    <t>张流还好</t>
  </si>
  <si>
    <t>大学试试</t>
  </si>
  <si>
    <t>测试刚刚</t>
  </si>
  <si>
    <t>待上传</t>
  </si>
  <si>
    <t>测试1</t>
  </si>
  <si>
    <t>测试</t>
  </si>
  <si>
    <t>2026-02-04</t>
  </si>
  <si>
    <t>http://yhocn.cn:9088/renshi/上海恒晨人力资源有限公司/wenjian.jpg</t>
  </si>
  <si>
    <t>运营1</t>
  </si>
  <si>
    <t>2026-02-13</t>
  </si>
  <si>
    <t>▌  简历审批</t>
  </si>
  <si>
    <t>▌  面试管理</t>
  </si>
  <si>
    <t>面试评价</t>
  </si>
  <si>
    <t>▌  离职申请</t>
  </si>
  <si>
    <t>请假结果</t>
  </si>
  <si>
    <t>提交审批</t>
  </si>
  <si>
    <t>提交日期</t>
  </si>
  <si>
    <t>审批结果</t>
  </si>
  <si>
    <t>审批原因</t>
  </si>
  <si>
    <t>申请原因</t>
  </si>
  <si>
    <t>▌  离职审批</t>
  </si>
  <si>
    <t>请假原因</t>
  </si>
  <si>
    <t>审批状态</t>
  </si>
  <si>
    <t>张三</t>
  </si>
  <si>
    <t>2026-03-17</t>
  </si>
  <si>
    <t>12</t>
  </si>
  <si>
    <t>▌  请假审批</t>
  </si>
  <si>
    <t>起始请假时间</t>
  </si>
  <si>
    <t>截止请假时间</t>
  </si>
  <si>
    <t>2026-03-16 19:20:18</t>
  </si>
  <si>
    <t>2026-03-16</t>
  </si>
  <si>
    <t>1212</t>
  </si>
  <si>
    <t>▌  动态工资明细</t>
  </si>
  <si>
    <t>基础薪资</t>
  </si>
  <si>
    <t>绩效</t>
  </si>
  <si>
    <t>刘改</t>
  </si>
  <si>
    <t>秦海</t>
  </si>
  <si>
    <t>3000</t>
  </si>
  <si>
    <t>700</t>
  </si>
  <si>
    <t>▌  统计图</t>
  </si>
  <si>
    <t>目标字段</t>
  </si>
  <si>
    <t>统计字段</t>
  </si>
  <si>
    <t>▌  动态公式</t>
  </si>
  <si>
    <t>公式</t>
  </si>
  <si>
    <t>基础薪资+绩效</t>
  </si>
  <si>
    <t>▌  签到</t>
  </si>
  <si>
    <t>签到信息</t>
  </si>
  <si>
    <t>起始时间</t>
  </si>
  <si>
    <t>2026-02-18</t>
  </si>
  <si>
    <t>2026-02-25</t>
  </si>
  <si>
    <t>刘海</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</si>
  <si>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</si>
  <si>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</si>
  <si>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</si>
  <si>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</si>
  <si>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</si>
  <si>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</si>
  <si>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</si>
  <si>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</si>
  <si>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</si>
  <si>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</si>
  <si>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</si>
  <si>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</si>
  <si>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</si>
  <si>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-03-16","2026-03-17","2026-03-18","2026-03-19","2026-03-20","2026-03-21","2026-03-22","2026-03-23","2026-03-24","2026-03-25","2026-03-26","2026-03-27","2026-03-28","2026-03-29","2026-03-30","2026-03-31","2026-04-01","2026-04-02","2026-04-03","2026-04-04","2026-04-05","2026-04-06","2026-04-07","2026-04-08","2026-04-09","2026-04-10","2026-04-11","2026-04-12","2026-04-13","2026-04-14","2026-04-15","2026-04-16"]</t>
  </si>
  <si>
    <t>工作开始日期</t>
  </si>
  <si>
    <t>2026-02-12</t>
  </si>
  <si>
    <t>工作结束日期</t>
  </si>
  <si>
    <t>2026-02-28</t>
  </si>
  <si>
    <t>09:00</t>
  </si>
  <si>
    <t>工作配置</t>
  </si>
  <si>
    <t>▌  文件详情</t>
  </si>
  <si>
    <t>链接</t>
  </si>
  <si>
    <t>操作</t>
  </si>
  <si>
    <t>http://yhocn.cn:9088/renshi/上海恒晨人力资源有限公司/问价.jpg</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</si>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</sst>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800080"/>
      <name val="宋体"/>
      <charset val="0"/>
      <scheme val="minor"/>
    </font>
    <font>
      <b/>
      <sz val="12"/>
      <color theme="0"/>
      <name val="宋体"/>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6" fillId="0" borderId="0" applyNumberFormat="0" applyFill="0" applyBorder="0" applyAlignment="0" applyProtection="0">
      <alignment vertical="center"/>
    </xf>
    <xf numFmtId="0" fontId="4"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8">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5" fillId="5" borderId="8" xfId="0" applyFont="1" applyFill="1" applyBorder="1" applyAlignment="1">
      <alignment horizontal="center" vertical="center"/>
    </xf>
    <xf numFmtId="0" fontId="0" fillId="0" borderId="8" xfId="0" applyFont="1" applyBorder="1" applyAlignment="1">
      <alignment horizontal="center" vertical="center"/>
    </xf>
    <xf numFmtId="14" fontId="0" fillId="0" borderId="2" xfId="0" applyNumberFormat="1" applyBorder="1" applyAlignment="1">
      <alignment horizontal="center" vertical="center"/>
    </xf>
    <xf numFmtId="49" fontId="0" fillId="0" borderId="8" xfId="0" applyNumberFormat="1" applyFon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5" fillId="6" borderId="0" xfId="0" applyFont="1" applyFill="1" applyAlignment="1">
      <alignment horizontal="center" vertical="center"/>
    </xf>
    <xf numFmtId="0" fontId="5" fillId="5" borderId="12" xfId="0" applyFont="1" applyFill="1" applyBorder="1" applyAlignment="1">
      <alignment horizontal="center" vertical="center"/>
    </xf>
    <xf numFmtId="0" fontId="0" fillId="0" borderId="8" xfId="0" applyBorder="1" applyAlignment="1">
      <alignment horizontal="left" vertical="top"/>
    </xf>
    <xf numFmtId="0" fontId="5" fillId="7" borderId="13" xfId="0" applyFont="1" applyFill="1" applyBorder="1" applyAlignment="1">
      <alignment horizontal="center" vertical="center"/>
    </xf>
    <xf numFmtId="0" fontId="5" fillId="8" borderId="13" xfId="0" applyFont="1" applyFill="1" applyBorder="1" applyAlignment="1">
      <alignment horizontal="center" vertical="center"/>
    </xf>
    <xf numFmtId="0" fontId="5" fillId="7" borderId="14" xfId="0" applyFont="1" applyFill="1" applyBorder="1" applyAlignment="1">
      <alignment horizontal="center" vertical="center"/>
    </xf>
    <xf numFmtId="0" fontId="5" fillId="8" borderId="14" xfId="0" applyFont="1" applyFill="1" applyBorder="1" applyAlignment="1">
      <alignment horizontal="center" vertical="center"/>
    </xf>
    <xf numFmtId="0" fontId="5"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58" fontId="0" fillId="2" borderId="8" xfId="0" applyNumberFormat="1" applyFill="1" applyBorder="1" applyAlignment="1">
      <alignment horizontal="center"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178" fontId="0" fillId="2" borderId="8" xfId="0" applyNumberFormat="1" applyFill="1" applyBorder="1" applyAlignment="1">
      <alignment horizontal="center" vertical="center"/>
    </xf>
    <xf numFmtId="0" fontId="0" fillId="0" borderId="8" xfId="0" applyNumberFormat="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6" fillId="0" borderId="0" xfId="6">
      <alignment vertical="center"/>
    </xf>
    <xf numFmtId="0" fontId="4"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刘改</c:v>
                </c:pt>
                <c:pt idx="1">
                  <c:v>秦海</c:v>
                </c:pt>
              </c:strCache>
            </c:strRef>
          </c:cat>
          <c:val>
            <c:numRef>
              <c:f>统计图!$C$8:$C$19</c:f>
              <c:numCache>
                <c:formatCode>General</c:formatCode>
                <c:ptCount val="12"/>
                <c:pt idx="0">
                  <c:v>1500</c:v>
                </c:pt>
                <c:pt idx="1">
                  <c:v>3700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刘改</c:v>
                </c:pt>
                <c:pt idx="1">
                  <c:v>秦海</c:v>
                </c:pt>
              </c:strCache>
            </c:strRef>
          </c:cat>
          <c:val>
            <c:numRef>
              <c:f>统计图!$C$8:$C$20</c:f>
              <c:numCache>
                <c:formatCode>General</c:formatCode>
                <c:ptCount val="13"/>
                <c:pt idx="0">
                  <c:v>1500</c:v>
                </c:pt>
                <c:pt idx="1">
                  <c:v>3700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191770</xdr:colOff>
      <xdr:row>0</xdr:row>
      <xdr:rowOff>167640</xdr:rowOff>
    </xdr:from>
    <xdr:to>
      <xdr:col>11</xdr:col>
      <xdr:colOff>627380</xdr:colOff>
      <xdr:row>0</xdr:row>
      <xdr:rowOff>574040</xdr:rowOff>
    </xdr:to>
    <xdr:sp macro="[0]!OpenWebPage">
      <xdr:nvSpPr>
        <xdr:cNvPr id="11" name="圆角矩形 13"/>
        <xdr:cNvSpPr/>
      </xdr:nvSpPr>
      <xdr:spPr>
        <a:xfrm>
          <a:off x="976439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获取使用视频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hyperlink" Target="http://yhocn.cn:9088/renshi/&#19978;&#28023;&#24658;&#26216;&#20154;&#21147;&#36164;&#28304;&#26377;&#38480;&#20844;&#21496;/&#38382;&#20215;.jpg" TargetMode="Externa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E12" sqref="E12"/>
    </sheetView>
  </sheetViews>
  <sheetFormatPr defaultColWidth="3.625" defaultRowHeight="17.1" customHeight="1"/>
  <cols>
    <col min="1" max="1" width="3.625" style="101" customWidth="1"/>
    <col min="2" max="16384" width="3.625" style="101"/>
  </cols>
  <sheetData>
    <row r="4" customHeight="1" spans="1:42">
      <c r="A4" s="102"/>
      <c r="B4" s="102"/>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row>
    <row r="5" customHeight="1" spans="1:42">
      <c r="A5" s="102"/>
      <c r="B5" s="102"/>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row>
    <row r="6" customHeight="1" spans="1:42">
      <c r="A6" s="103"/>
      <c r="B6" s="103"/>
      <c r="C6" s="103"/>
      <c r="D6" s="103"/>
      <c r="E6" s="103"/>
      <c r="F6" s="103"/>
      <c r="G6" s="103"/>
      <c r="H6" s="104"/>
      <c r="I6" s="104"/>
      <c r="J6" s="104"/>
      <c r="K6" s="104"/>
      <c r="L6" s="104"/>
      <c r="M6" s="104"/>
      <c r="N6" s="104"/>
      <c r="O6" s="104"/>
      <c r="P6" s="104"/>
      <c r="Q6" s="104"/>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row>
    <row r="7" customHeight="1" spans="1:42">
      <c r="E7" s="105"/>
      <c r="F7" s="105"/>
      <c r="G7" s="105"/>
      <c r="H7" s="106"/>
      <c r="I7" s="106"/>
      <c r="J7" s="106"/>
      <c r="K7" s="106"/>
      <c r="L7" s="106"/>
      <c r="M7" s="106"/>
      <c r="N7" s="107"/>
      <c r="O7" s="107"/>
      <c r="P7" s="107"/>
      <c r="Q7" s="107"/>
      <c r="T7" s="107"/>
      <c r="U7" s="107"/>
      <c r="V7" s="107"/>
      <c r="W7" s="107"/>
    </row>
    <row r="8" customHeight="1" spans="1:42">
      <c r="H8" s="107"/>
      <c r="I8" s="107"/>
      <c r="J8" s="107"/>
      <c r="K8" s="107"/>
      <c r="L8" s="107"/>
      <c r="M8" s="107"/>
      <c r="N8" s="107"/>
      <c r="O8" s="107"/>
      <c r="P8" s="107"/>
      <c r="Q8" s="107"/>
      <c r="T8" s="107"/>
      <c r="U8" s="107"/>
      <c r="V8" s="107"/>
      <c r="W8" s="107"/>
    </row>
    <row r="9" customHeight="1" spans="1:42">
      <c r="H9" s="107"/>
      <c r="I9" s="107"/>
      <c r="J9" s="107"/>
      <c r="K9" s="107"/>
      <c r="L9" s="107"/>
      <c r="M9" s="107"/>
      <c r="N9" s="107"/>
      <c r="O9" s="107"/>
      <c r="P9" s="107"/>
      <c r="Q9" s="107"/>
      <c r="R9" s="107"/>
      <c r="S9" s="107"/>
      <c r="T9" s="107"/>
      <c r="U9" s="107"/>
      <c r="V9" s="107"/>
      <c r="W9" s="107"/>
    </row>
    <row r="10" customHeight="1" spans="1:42">
      <c r="Q10" s="107"/>
      <c r="R10" s="107"/>
      <c r="S10" s="107"/>
      <c r="T10" s="107"/>
      <c r="U10" s="107"/>
      <c r="V10" s="107"/>
      <c r="W10" s="107"/>
    </row>
    <row r="11" customHeight="1" spans="1:42">
      <c r="Q11" s="107"/>
      <c r="R11" s="107"/>
      <c r="S11" s="107"/>
      <c r="T11" s="107"/>
      <c r="U11" s="107"/>
      <c r="V11" s="107"/>
      <c r="W11" s="107"/>
    </row>
    <row r="12" customHeight="1" spans="1:42">
      <c r="Q12" s="107"/>
      <c r="R12" s="107"/>
      <c r="S12" s="107"/>
      <c r="T12" s="107"/>
      <c r="U12" s="107"/>
      <c r="V12" s="107"/>
      <c r="W12" s="107"/>
    </row>
    <row r="13" customHeight="1" spans="1:42">
      <c r="Q13" s="107"/>
      <c r="R13" s="107"/>
      <c r="S13" s="107"/>
      <c r="T13" s="107"/>
      <c r="U13" s="107"/>
      <c r="V13" s="107"/>
      <c r="W13" s="107"/>
    </row>
  </sheetData>
  <sheetProtection algorithmName="SHA-512" hashValue="Pd9ZDC/Q57xnRFc3+JcfSWQftDe8DuTR9qwQxVe0d5h0quKCnDNDllc8829XFaltIO7zAHUrop/mpAKCHBReFg==" saltValue="ILuqvFd2FeQymIu43rlRhA==" spinCount="100000"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G12" sqref="F12:G13"/>
    </sheetView>
  </sheetViews>
  <sheetFormatPr defaultColWidth="9" defaultRowHeight="21.95" customHeight="1"/>
  <cols>
    <col min="1" max="1" width="1.625" style="83" customWidth="1"/>
    <col min="2" max="2" width="2.625" style="84" customWidth="1"/>
    <col min="3" max="3" width="15.25" style="85" customWidth="1"/>
    <col min="4" max="4" width="19.125" style="86" customWidth="1"/>
    <col min="5" max="5" width="10.5" style="86" customWidth="1"/>
    <col min="6" max="8" width="24.625" style="86" customWidth="1"/>
    <col min="9" max="9" width="2.625" style="84" customWidth="1"/>
    <col min="10" max="10" width="4.25" style="83" customWidth="1"/>
    <col min="11" max="16384" width="9" style="83"/>
  </cols>
  <sheetData>
    <row r="1" s="81" customFormat="1" ht="54.95" customHeight="1" spans="1:10">
      <c r="A1" s="87"/>
      <c r="C1" s="88"/>
      <c r="J1" s="89"/>
    </row>
    <row r="2" ht="15.95" customHeight="1" spans="1:10">
      <c r="B2" s="83"/>
      <c r="C2" s="90"/>
      <c r="D2" s="83"/>
      <c r="E2" s="83"/>
      <c r="F2" s="83"/>
      <c r="G2" s="83"/>
      <c r="H2" s="83"/>
      <c r="I2" s="83"/>
    </row>
    <row r="3" ht="15.95" customHeight="1" spans="1:10">
      <c r="C3" s="91"/>
      <c r="D3" s="84"/>
      <c r="E3" s="84"/>
      <c r="F3" s="84"/>
      <c r="G3" s="84"/>
      <c r="H3" s="84"/>
    </row>
    <row r="4" ht="75.95" customHeight="1" spans="1:10">
      <c r="C4" s="92" t="s">
        <v>0</v>
      </c>
      <c r="D4" s="93"/>
      <c r="E4" s="93"/>
      <c r="F4" s="94">
        <f>D7</f>
        <v>1</v>
      </c>
      <c r="G4" s="95" t="s">
        <v>1</v>
      </c>
      <c r="H4" s="95"/>
    </row>
    <row r="5" ht="6" customHeight="1" spans="1:10">
      <c r="C5" s="96"/>
      <c r="D5" s="93"/>
      <c r="E5" s="93"/>
      <c r="F5" s="97"/>
      <c r="G5" s="97"/>
      <c r="H5" s="97"/>
    </row>
    <row r="6" s="82" customFormat="1" ht="9" customHeight="1" spans="1:10">
      <c r="B6" s="84"/>
      <c r="C6" s="98"/>
      <c r="D6" s="99"/>
      <c r="E6" s="99"/>
      <c r="F6" s="100"/>
      <c r="G6" s="100"/>
      <c r="H6" s="100"/>
      <c r="I6" s="84"/>
    </row>
    <row r="7" hidden="1" customHeight="1" spans="1:10">
      <c r="B7" s="84" t="s">
        <v>2</v>
      </c>
      <c r="D7" s="86">
        <v>1</v>
      </c>
    </row>
    <row r="8" customHeight="1" spans="1:10">
      <c r="C8" s="85" t="s">
        <v>3</v>
      </c>
      <c r="D8" s="86" t="s">
        <v>4</v>
      </c>
    </row>
    <row r="9" customHeight="1" spans="1:10">
      <c r="C9" s="85" t="s">
        <v>5</v>
      </c>
      <c r="D9" s="86" t="s">
        <v>6</v>
      </c>
    </row>
    <row r="10" customHeight="1" spans="1:10">
      <c r="C10" s="85" t="s">
        <v>7</v>
      </c>
      <c r="D10" s="86" t="s">
        <v>8</v>
      </c>
    </row>
    <row r="11" customHeight="1" spans="1:10">
      <c r="C11" s="85" t="s">
        <v>9</v>
      </c>
      <c r="D11" s="86" t="s">
        <v>10</v>
      </c>
    </row>
    <row r="18" hidden="1" customHeight="1" spans="3:4">
      <c r="C18" s="85" t="s">
        <v>3</v>
      </c>
      <c r="D18" s="86" t="s">
        <v>11</v>
      </c>
    </row>
    <row r="19" hidden="1" customHeight="1" spans="3:4">
      <c r="C19" s="85" t="s">
        <v>5</v>
      </c>
      <c r="D19" s="86" t="s">
        <v>6</v>
      </c>
    </row>
    <row r="20" hidden="1" customHeight="1" spans="3:4">
      <c r="C20" s="85" t="s">
        <v>7</v>
      </c>
      <c r="D20" s="86" t="s">
        <v>8</v>
      </c>
    </row>
    <row r="21" hidden="1" customHeight="1" spans="3:4">
      <c r="C21" s="85" t="s">
        <v>9</v>
      </c>
      <c r="D21" s="86" t="s">
        <v>12</v>
      </c>
    </row>
    <row r="22" hidden="1" customHeight="1" spans="3:4">
      <c r="C22" s="85" t="s">
        <v>13</v>
      </c>
      <c r="D22" s="86" t="s">
        <v>10</v>
      </c>
    </row>
    <row r="23" hidden="1" customHeight="1"/>
    <row r="24" hidden="1" customHeight="1"/>
    <row r="25" hidden="1" customHeight="1"/>
    <row r="26" hidden="1" customHeight="1"/>
    <row r="27" hidden="1" customHeight="1"/>
    <row r="28" hidden="1" customHeight="1" spans="3:4">
      <c r="C28" s="85" t="s">
        <v>3</v>
      </c>
      <c r="D28" s="86" t="s">
        <v>14</v>
      </c>
    </row>
    <row r="29" hidden="1" customHeight="1" spans="3:4">
      <c r="C29" s="85" t="s">
        <v>5</v>
      </c>
      <c r="D29" s="86" t="s">
        <v>15</v>
      </c>
    </row>
    <row r="30" hidden="1" customHeight="1" spans="3:4">
      <c r="D30" s="86" t="s">
        <v>16</v>
      </c>
    </row>
    <row r="31" hidden="1" customHeight="1" spans="3:4">
      <c r="C31" s="85" t="s">
        <v>7</v>
      </c>
      <c r="D31" s="86" t="s">
        <v>17</v>
      </c>
    </row>
    <row r="32" hidden="1" customHeight="1" spans="3:4">
      <c r="C32" s="85" t="s">
        <v>9</v>
      </c>
      <c r="D32" s="86" t="s">
        <v>8</v>
      </c>
    </row>
    <row r="33" hidden="1" customHeight="1" spans="3:4">
      <c r="C33" s="85" t="s">
        <v>13</v>
      </c>
      <c r="D33" s="86" t="s">
        <v>10</v>
      </c>
    </row>
    <row r="34" hidden="1" customHeight="1"/>
    <row r="35" hidden="1" customHeight="1"/>
    <row r="36" hidden="1" customHeight="1"/>
    <row r="37" hidden="1" customHeight="1"/>
    <row r="38" hidden="1" customHeight="1" spans="3:4">
      <c r="C38" s="85" t="s">
        <v>3</v>
      </c>
      <c r="D38" s="86" t="s">
        <v>18</v>
      </c>
    </row>
    <row r="39" hidden="1" customHeight="1" spans="3:4">
      <c r="C39" s="85" t="s">
        <v>5</v>
      </c>
      <c r="D39" s="86"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5" t="s">
        <v>3</v>
      </c>
      <c r="D48" s="86" t="s">
        <v>19</v>
      </c>
    </row>
    <row r="49" hidden="1" customHeight="1" spans="3:4">
      <c r="C49" s="85" t="s">
        <v>5</v>
      </c>
      <c r="D49" s="86" t="s">
        <v>6</v>
      </c>
    </row>
    <row r="50" hidden="1" customHeight="1" spans="3:4">
      <c r="C50" s="85" t="s">
        <v>7</v>
      </c>
      <c r="D50" s="86" t="s">
        <v>8</v>
      </c>
    </row>
    <row r="51" hidden="1" customHeight="1"/>
    <row r="52" hidden="1" customHeight="1"/>
    <row r="53" hidden="1" customHeight="1"/>
    <row r="54" hidden="1" customHeight="1"/>
    <row r="55" hidden="1" customHeight="1"/>
    <row r="56" hidden="1" customHeight="1"/>
    <row r="57" hidden="1" customHeight="1"/>
    <row r="58" hidden="1" customHeight="1" spans="3:4">
      <c r="C58" s="85" t="s">
        <v>3</v>
      </c>
      <c r="D58" s="86" t="s">
        <v>20</v>
      </c>
    </row>
    <row r="59" hidden="1" customHeight="1" spans="3:4">
      <c r="C59" s="85" t="s">
        <v>5</v>
      </c>
      <c r="D59" s="86" t="s">
        <v>10</v>
      </c>
    </row>
    <row r="60" hidden="1" customHeight="1" spans="3:4">
      <c r="C60" s="85" t="s">
        <v>7</v>
      </c>
      <c r="D60" s="86" t="s">
        <v>21</v>
      </c>
    </row>
    <row r="61" hidden="1" customHeight="1" spans="3:4">
      <c r="D61" s="86" t="s">
        <v>22</v>
      </c>
    </row>
    <row r="62" hidden="1" customHeight="1"/>
    <row r="63" hidden="1" customHeight="1"/>
    <row r="64" hidden="1" customHeight="1"/>
    <row r="65" hidden="1" customHeight="1"/>
    <row r="66" hidden="1" customHeight="1"/>
    <row r="67" hidden="1" customHeight="1"/>
    <row r="68" hidden="1" customHeight="1" spans="3:4">
      <c r="C68" s="85" t="s">
        <v>3</v>
      </c>
      <c r="D68" s="86" t="s">
        <v>23</v>
      </c>
    </row>
    <row r="69" hidden="1" customHeight="1" spans="3:4">
      <c r="C69" s="85" t="s">
        <v>5</v>
      </c>
      <c r="D69" s="86" t="s">
        <v>24</v>
      </c>
    </row>
    <row r="70" hidden="1" customHeight="1" spans="3:4">
      <c r="C70" s="85" t="s">
        <v>7</v>
      </c>
      <c r="D70" s="86" t="s">
        <v>8</v>
      </c>
    </row>
    <row r="71" hidden="1" customHeight="1" spans="3:4">
      <c r="C71" s="85" t="s">
        <v>9</v>
      </c>
      <c r="D71" s="86" t="s">
        <v>10</v>
      </c>
    </row>
    <row r="72" hidden="1" customHeight="1"/>
    <row r="73" hidden="1" customHeight="1"/>
    <row r="74" hidden="1" customHeight="1"/>
    <row r="75" hidden="1" customHeight="1"/>
    <row r="76" hidden="1" customHeight="1"/>
    <row r="77" hidden="1" customHeight="1"/>
    <row r="78" hidden="1" customHeight="1" spans="3:4">
      <c r="C78" s="85" t="s">
        <v>3</v>
      </c>
      <c r="D78" s="86" t="s">
        <v>25</v>
      </c>
    </row>
    <row r="79" hidden="1" customHeight="1" spans="3:4">
      <c r="C79" s="85" t="s">
        <v>5</v>
      </c>
      <c r="D79" s="86" t="s">
        <v>6</v>
      </c>
    </row>
    <row r="80" hidden="1" customHeight="1" spans="3:4">
      <c r="C80" s="85" t="s">
        <v>7</v>
      </c>
      <c r="D80" s="86" t="s">
        <v>8</v>
      </c>
    </row>
    <row r="81" hidden="1" customHeight="1" spans="3:4">
      <c r="C81" s="85" t="s">
        <v>9</v>
      </c>
      <c r="D81" s="86" t="s">
        <v>10</v>
      </c>
    </row>
    <row r="82" hidden="1" customHeight="1"/>
    <row r="83" hidden="1" customHeight="1"/>
    <row r="84" hidden="1" customHeight="1"/>
    <row r="85" hidden="1" customHeight="1"/>
    <row r="86" hidden="1" customHeight="1"/>
    <row r="87" hidden="1" customHeight="1"/>
    <row r="88" hidden="1" customHeight="1" spans="3:4">
      <c r="C88" s="85" t="s">
        <v>3</v>
      </c>
      <c r="D88" s="86" t="s">
        <v>26</v>
      </c>
    </row>
    <row r="89" hidden="1" customHeight="1" spans="3:4">
      <c r="C89" s="85" t="s">
        <v>5</v>
      </c>
      <c r="D89" s="86" t="s">
        <v>10</v>
      </c>
    </row>
    <row r="90" hidden="1" customHeight="1" spans="3:4">
      <c r="C90" s="85" t="s">
        <v>7</v>
      </c>
      <c r="D90" s="86" t="s">
        <v>27</v>
      </c>
    </row>
    <row r="91" hidden="1" customHeight="1"/>
    <row r="92" hidden="1" customHeight="1"/>
    <row r="93" hidden="1" customHeight="1"/>
    <row r="94" hidden="1" customHeight="1"/>
    <row r="95" hidden="1" customHeight="1"/>
    <row r="96" hidden="1" customHeight="1"/>
    <row r="97" hidden="1" customHeight="1"/>
    <row r="98" hidden="1" customHeight="1" spans="3:4">
      <c r="C98" s="85" t="s">
        <v>3</v>
      </c>
      <c r="D98" s="86" t="s">
        <v>28</v>
      </c>
    </row>
    <row r="99" hidden="1" customHeight="1" spans="3:4">
      <c r="C99" s="85" t="s">
        <v>5</v>
      </c>
      <c r="D99" s="86" t="s">
        <v>10</v>
      </c>
    </row>
    <row r="100" hidden="1" customHeight="1" spans="3:4">
      <c r="C100" s="85" t="s">
        <v>7</v>
      </c>
      <c r="D100" s="86"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5" t="s">
        <v>3</v>
      </c>
      <c r="D108" s="86" t="s">
        <v>29</v>
      </c>
    </row>
    <row r="109" hidden="1" customHeight="1" spans="3:4">
      <c r="C109" s="85" t="s">
        <v>5</v>
      </c>
      <c r="D109" s="86"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5" t="s">
        <v>3</v>
      </c>
      <c r="D118" s="86"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5" t="s">
        <v>3</v>
      </c>
      <c r="D128" s="86" t="s">
        <v>31</v>
      </c>
    </row>
    <row r="129" hidden="1" customHeight="1" spans="3:4">
      <c r="C129" s="85" t="s">
        <v>5</v>
      </c>
      <c r="D129" s="86"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okvEhGYhuH6dX8aWOf+qN7j1MgZzSCxWAtUhBFeHL2jgW4JGkYeZ7kep7zsXzqIoWBdrl3v8Fa5O64LgEm2AUA==" saltValue="L+40QBPa68JDPkZ5MUGvB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4"/>
  <sheetViews>
    <sheetView workbookViewId="0">
      <selection activeCell="I10" sqref="I10"/>
    </sheetView>
  </sheetViews>
  <sheetFormatPr defaultColWidth="9" defaultRowHeight="14.25" outlineLevelRow="3" outlineLevelCol="7"/>
  <cols>
    <col min="1" max="1" width="9.375"/>
    <col min="3" max="3" width="11.5"/>
  </cols>
  <sheetData>
    <row r="1" spans="1:8">
      <c r="A1" s="71">
        <v>58441</v>
      </c>
      <c r="C1" s="71">
        <v>47848</v>
      </c>
      <c r="D1">
        <v>100</v>
      </c>
      <c r="E1">
        <v>10</v>
      </c>
      <c r="F1" t="s">
        <v>32</v>
      </c>
      <c r="G1">
        <v>40</v>
      </c>
      <c r="H1">
        <v>3403.6064453125</v>
      </c>
    </row>
    <row r="3" spans="1:8">
      <c r="A3" t="s">
        <v>33</v>
      </c>
    </row>
    <row r="4" spans="1:8">
      <c r="A4" t="s">
        <v>34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5"/>
  <sheetViews>
    <sheetView showGridLines="0" workbookViewId="0">
      <pane ySplit="4" topLeftCell="A5" activePane="bottomLeft" state="frozen"/>
      <selection/>
      <selection pane="bottomLeft" activeCell="H9" sqref="H9"/>
    </sheetView>
  </sheetViews>
  <sheetFormatPr defaultColWidth="9" defaultRowHeight="20" customHeight="1" outlineLevelRow="4"/>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6"/>
      <c r="D1" s="27"/>
      <c r="E1" s="26"/>
      <c r="F1" s="26"/>
      <c r="G1" s="80">
        <f ca="1">TODAY()</f>
        <v>46107</v>
      </c>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row>
    <row r="2" ht="40" customHeight="1" spans="2:41">
      <c r="C2" s="4" t="s">
        <v>35</v>
      </c>
      <c r="D2" s="27"/>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row>
    <row r="3" ht="30" customHeight="1" spans="2:41">
      <c r="C3" s="26"/>
      <c r="D3" s="27"/>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row>
    <row r="4" ht="30" customHeight="1" spans="2:41">
      <c r="C4" s="7" t="s">
        <v>36</v>
      </c>
      <c r="D4" s="8" t="s">
        <v>37</v>
      </c>
      <c r="E4" s="7" t="s">
        <v>38</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39</v>
      </c>
      <c r="AL4" s="7" t="s">
        <v>40</v>
      </c>
      <c r="AM4" s="7" t="s">
        <v>41</v>
      </c>
      <c r="AN4" s="7" t="s">
        <v>42</v>
      </c>
      <c r="AO4" s="7" t="s">
        <v>43</v>
      </c>
    </row>
    <row r="5" customHeight="1" spans="2:41">
      <c r="B5">
        <v>917</v>
      </c>
      <c r="C5" s="1">
        <v>2026</v>
      </c>
      <c r="D5" s="1">
        <v>3</v>
      </c>
      <c r="E5" s="1" t="s">
        <v>44</v>
      </c>
      <c r="F5" s="1" t="s">
        <v>45</v>
      </c>
      <c r="G5" s="1" t="s">
        <v>45</v>
      </c>
      <c r="H5" s="1" t="s">
        <v>45</v>
      </c>
      <c r="S5" s="67"/>
      <c r="U5" s="1" t="s">
        <v>45</v>
      </c>
      <c r="AK5" s="1">
        <v>1</v>
      </c>
      <c r="AL5" s="1">
        <v>4</v>
      </c>
      <c r="AO5" s="1">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E9" sqref="E9"/>
    </sheetView>
  </sheetViews>
  <sheetFormatPr defaultColWidth="9" defaultRowHeight="20" customHeight="1"/>
  <cols>
    <col min="1" max="1" width="4.625" customWidth="1"/>
    <col min="2" max="2" width="4.625" hidden="1" customWidth="1"/>
    <col min="3" max="5" width="12.625" style="77" customWidth="1"/>
    <col min="6" max="7" width="12.625" style="63" customWidth="1"/>
    <col min="8" max="8" width="20" style="63" customWidth="1"/>
    <col min="9" max="10" width="12.625" style="77" customWidth="1"/>
    <col min="11" max="11" width="12.625" style="63" customWidth="1"/>
    <col min="12" max="17" width="12.625" style="77" customWidth="1"/>
    <col min="18" max="18" width="22.75" style="63" customWidth="1"/>
    <col min="19" max="26" width="12.625" style="77" customWidth="1"/>
    <col min="27" max="27" width="21.625" style="77" customWidth="1"/>
    <col min="28" max="28" width="22" style="77" customWidth="1"/>
    <col min="29" max="29" width="12.625" style="77" customWidth="1"/>
    <col min="30" max="30" width="22.25" style="77" customWidth="1"/>
  </cols>
  <sheetData>
    <row r="1" ht="54.75" customHeight="1" spans="2:30">
      <c r="C1"/>
      <c r="D1"/>
      <c r="E1"/>
      <c r="F1" s="47"/>
      <c r="G1" s="47"/>
      <c r="H1" s="47"/>
      <c r="I1"/>
      <c r="J1"/>
      <c r="K1" s="47"/>
      <c r="L1"/>
      <c r="M1"/>
      <c r="N1"/>
      <c r="O1"/>
      <c r="P1"/>
      <c r="Q1"/>
      <c r="R1" s="47"/>
      <c r="S1"/>
      <c r="T1"/>
      <c r="U1"/>
      <c r="V1"/>
      <c r="W1"/>
      <c r="X1"/>
      <c r="Y1"/>
      <c r="Z1"/>
      <c r="AA1"/>
      <c r="AB1"/>
      <c r="AC1"/>
      <c r="AD1"/>
    </row>
    <row r="2" ht="40" customHeight="1" spans="2:30">
      <c r="C2" s="4" t="s">
        <v>46</v>
      </c>
      <c r="D2"/>
      <c r="E2"/>
      <c r="F2" s="47"/>
      <c r="G2" s="47"/>
      <c r="H2" s="47"/>
      <c r="I2"/>
      <c r="J2"/>
      <c r="K2" s="47"/>
      <c r="L2"/>
      <c r="M2"/>
      <c r="N2"/>
      <c r="O2"/>
      <c r="P2"/>
      <c r="Q2"/>
      <c r="R2" s="47"/>
      <c r="S2"/>
      <c r="T2"/>
      <c r="U2"/>
      <c r="V2"/>
      <c r="W2"/>
      <c r="X2"/>
      <c r="Y2"/>
      <c r="Z2" s="71"/>
      <c r="AA2"/>
      <c r="AB2"/>
      <c r="AC2"/>
      <c r="AD2"/>
    </row>
    <row r="3" ht="30" customHeight="1" spans="2:30">
      <c r="C3"/>
      <c r="D3"/>
      <c r="E3"/>
      <c r="F3" s="47"/>
      <c r="G3" s="47"/>
      <c r="H3" s="47"/>
      <c r="I3"/>
      <c r="J3"/>
      <c r="K3" s="47"/>
      <c r="L3"/>
      <c r="M3"/>
      <c r="N3"/>
      <c r="O3"/>
      <c r="P3"/>
      <c r="Q3"/>
      <c r="R3" s="47"/>
      <c r="S3"/>
      <c r="T3"/>
      <c r="U3"/>
      <c r="V3"/>
      <c r="W3"/>
      <c r="X3"/>
      <c r="Y3"/>
      <c r="Z3" s="71"/>
      <c r="AA3"/>
      <c r="AB3"/>
      <c r="AC3"/>
      <c r="AD3"/>
    </row>
    <row r="4" ht="30" customHeight="1" spans="2:30">
      <c r="C4" s="78" t="s">
        <v>38</v>
      </c>
      <c r="D4" s="78" t="s">
        <v>47</v>
      </c>
      <c r="E4" s="78" t="s">
        <v>48</v>
      </c>
      <c r="F4" s="64" t="s">
        <v>49</v>
      </c>
      <c r="G4" s="64" t="s">
        <v>50</v>
      </c>
      <c r="H4" s="64" t="s">
        <v>51</v>
      </c>
      <c r="I4" s="78" t="s">
        <v>52</v>
      </c>
      <c r="J4" s="78" t="s">
        <v>53</v>
      </c>
      <c r="K4" s="64" t="s">
        <v>54</v>
      </c>
      <c r="L4" s="78" t="s">
        <v>55</v>
      </c>
      <c r="M4" s="79" t="s">
        <v>56</v>
      </c>
      <c r="N4" s="78" t="s">
        <v>57</v>
      </c>
      <c r="O4" s="78" t="s">
        <v>58</v>
      </c>
      <c r="P4" s="78" t="s">
        <v>59</v>
      </c>
      <c r="Q4" s="78" t="s">
        <v>60</v>
      </c>
      <c r="R4" s="64" t="s">
        <v>61</v>
      </c>
      <c r="S4" s="79" t="s">
        <v>62</v>
      </c>
      <c r="T4" s="78" t="s">
        <v>63</v>
      </c>
      <c r="U4" s="78" t="s">
        <v>64</v>
      </c>
      <c r="V4" s="78" t="s">
        <v>65</v>
      </c>
      <c r="W4" s="78" t="s">
        <v>66</v>
      </c>
      <c r="X4" s="78" t="s">
        <v>67</v>
      </c>
      <c r="Y4" s="78" t="s">
        <v>68</v>
      </c>
      <c r="Z4" s="79" t="s">
        <v>69</v>
      </c>
      <c r="AA4" s="78" t="s">
        <v>70</v>
      </c>
      <c r="AB4" s="78" t="s">
        <v>71</v>
      </c>
      <c r="AC4" s="78" t="s">
        <v>72</v>
      </c>
      <c r="AD4" s="78" t="s">
        <v>73</v>
      </c>
    </row>
    <row r="5" customHeight="1" spans="2:30">
      <c r="B5">
        <v>210</v>
      </c>
      <c r="C5" s="77" t="s">
        <v>74</v>
      </c>
      <c r="D5" s="77" t="s">
        <v>75</v>
      </c>
      <c r="E5" s="77" t="s">
        <v>76</v>
      </c>
      <c r="F5" s="63" t="s">
        <v>77</v>
      </c>
      <c r="G5" s="63" t="s">
        <v>78</v>
      </c>
      <c r="H5" s="63" t="s">
        <v>79</v>
      </c>
      <c r="I5" s="77" t="s">
        <v>80</v>
      </c>
      <c r="J5" s="77" t="s">
        <v>81</v>
      </c>
      <c r="K5" s="63" t="s">
        <v>82</v>
      </c>
      <c r="L5" s="77" t="s">
        <v>83</v>
      </c>
      <c r="M5" s="67">
        <v>45583</v>
      </c>
      <c r="N5" s="77" t="s">
        <v>84</v>
      </c>
      <c r="O5" s="77" t="s">
        <v>85</v>
      </c>
      <c r="P5" s="77">
        <v>9000</v>
      </c>
      <c r="Q5" s="77">
        <v>2000</v>
      </c>
      <c r="R5" s="63" t="s">
        <v>86</v>
      </c>
      <c r="S5" s="67">
        <v>43922</v>
      </c>
      <c r="T5" s="77">
        <v>3</v>
      </c>
      <c r="Z5" s="67"/>
      <c r="AD5" s="77" t="s">
        <v>87</v>
      </c>
    </row>
    <row r="6" customHeight="1" spans="2:30">
      <c r="M6" s="67"/>
      <c r="S6" s="67"/>
      <c r="Z6" s="67"/>
    </row>
    <row r="7" customHeight="1" spans="2:30">
      <c r="M7" s="67"/>
      <c r="S7" s="67"/>
      <c r="Z7" s="67"/>
    </row>
    <row r="8" customHeight="1" spans="2:30">
      <c r="M8" s="67"/>
      <c r="S8" s="67"/>
      <c r="Z8" s="67"/>
      <c r="AD8" s="67"/>
    </row>
    <row r="9" customHeight="1" spans="2:30">
      <c r="M9" s="67"/>
      <c r="S9" s="67"/>
      <c r="Z9" s="67"/>
      <c r="AD9" s="67"/>
    </row>
    <row r="10" customHeight="1" spans="2:30">
      <c r="M10" s="67"/>
      <c r="S10" s="67"/>
      <c r="Z10" s="67"/>
      <c r="AD10" s="67"/>
    </row>
    <row r="11" customHeight="1" spans="2:30">
      <c r="M11" s="67"/>
      <c r="S11" s="67"/>
      <c r="Z11" s="67"/>
    </row>
    <row r="12" customHeight="1" spans="2:30">
      <c r="M12" s="67"/>
      <c r="S12" s="67"/>
      <c r="AD12" s="67"/>
    </row>
    <row r="13" customHeight="1" spans="2:30">
      <c r="M13" s="67"/>
      <c r="S13" s="67"/>
    </row>
    <row r="14" customHeight="1" spans="2:30">
      <c r="M14" s="67"/>
      <c r="S14" s="67"/>
      <c r="AD14" s="67"/>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E12" sqref="E12"/>
    </sheetView>
  </sheetViews>
  <sheetFormatPr defaultColWidth="9" defaultRowHeight="14.25"/>
  <cols>
    <col min="25" max="25" width="12.625" style="47"/>
    <col min="26" max="26" width="11.5" style="74"/>
    <col min="29" max="29" width="12.625" style="47"/>
    <col min="81" max="81" width="11.5" style="26"/>
    <col min="82" max="82" width="9" style="26"/>
    <col min="83" max="83" width="12.375" style="74" customWidth="1"/>
    <col min="84" max="84" width="9" style="74"/>
  </cols>
  <sheetData>
    <row r="1" spans="1:151">
      <c r="A1" t="s">
        <v>88</v>
      </c>
      <c r="B1" t="s">
        <v>38</v>
      </c>
      <c r="C1" t="s">
        <v>49</v>
      </c>
      <c r="D1" t="s">
        <v>50</v>
      </c>
      <c r="E1" t="s">
        <v>89</v>
      </c>
      <c r="J1" t="s">
        <v>90</v>
      </c>
      <c r="K1" t="s">
        <v>91</v>
      </c>
      <c r="L1" t="s">
        <v>92</v>
      </c>
      <c r="M1" t="s">
        <v>93</v>
      </c>
      <c r="N1" t="s">
        <v>94</v>
      </c>
      <c r="O1" t="s">
        <v>95</v>
      </c>
      <c r="P1" t="s">
        <v>96</v>
      </c>
      <c r="V1" s="26" t="s">
        <v>38</v>
      </c>
      <c r="W1" s="26" t="s">
        <v>47</v>
      </c>
      <c r="X1" s="26" t="s">
        <v>97</v>
      </c>
      <c r="Y1" s="47" t="s">
        <v>51</v>
      </c>
      <c r="Z1" s="74" t="s">
        <v>62</v>
      </c>
      <c r="AA1" s="26" t="s">
        <v>59</v>
      </c>
      <c r="AB1" s="26" t="s">
        <v>60</v>
      </c>
      <c r="AC1" s="47" t="s">
        <v>98</v>
      </c>
      <c r="AI1" t="s">
        <v>47</v>
      </c>
      <c r="AJ1" t="s">
        <v>38</v>
      </c>
      <c r="AK1" t="s">
        <v>97</v>
      </c>
      <c r="AL1" t="s">
        <v>59</v>
      </c>
      <c r="AM1" t="s">
        <v>99</v>
      </c>
      <c r="AN1" t="s">
        <v>100</v>
      </c>
      <c r="AO1" t="s">
        <v>101</v>
      </c>
      <c r="AP1" t="s">
        <v>102</v>
      </c>
      <c r="AQ1" t="s">
        <v>103</v>
      </c>
      <c r="AR1" t="s">
        <v>104</v>
      </c>
      <c r="AS1" t="s">
        <v>105</v>
      </c>
      <c r="AT1" t="s">
        <v>106</v>
      </c>
      <c r="AU1" t="s">
        <v>107</v>
      </c>
      <c r="AV1" t="s">
        <v>108</v>
      </c>
      <c r="AW1" t="s">
        <v>109</v>
      </c>
      <c r="AX1" t="s">
        <v>43</v>
      </c>
      <c r="AY1" t="s">
        <v>110</v>
      </c>
      <c r="AZ1" t="s">
        <v>111</v>
      </c>
      <c r="BA1" t="s">
        <v>112</v>
      </c>
      <c r="BB1" t="s">
        <v>113</v>
      </c>
      <c r="BC1" t="s">
        <v>114</v>
      </c>
      <c r="BD1" t="s">
        <v>115</v>
      </c>
      <c r="BE1" t="s">
        <v>116</v>
      </c>
      <c r="BF1" t="s">
        <v>117</v>
      </c>
      <c r="BG1" t="s">
        <v>118</v>
      </c>
      <c r="BH1" t="s">
        <v>119</v>
      </c>
      <c r="BI1" t="s">
        <v>120</v>
      </c>
      <c r="BJ1" t="s">
        <v>121</v>
      </c>
      <c r="BK1" t="s">
        <v>122</v>
      </c>
      <c r="BL1" t="s">
        <v>123</v>
      </c>
      <c r="BM1" t="s">
        <v>124</v>
      </c>
      <c r="BN1" t="s">
        <v>125</v>
      </c>
      <c r="BO1" t="s">
        <v>126</v>
      </c>
      <c r="BP1" t="s">
        <v>127</v>
      </c>
      <c r="BQ1" t="s">
        <v>128</v>
      </c>
      <c r="BR1" t="s">
        <v>129</v>
      </c>
      <c r="BS1" t="s">
        <v>130</v>
      </c>
      <c r="BT1" t="s">
        <v>122</v>
      </c>
      <c r="BU1" t="s">
        <v>123</v>
      </c>
      <c r="BV1" t="s">
        <v>124</v>
      </c>
      <c r="BW1" t="s">
        <v>131</v>
      </c>
      <c r="BX1" t="s">
        <v>132</v>
      </c>
      <c r="BY1" t="s">
        <v>133</v>
      </c>
      <c r="BZ1" t="s">
        <v>134</v>
      </c>
      <c r="CA1" t="s">
        <v>135</v>
      </c>
      <c r="CB1" t="s">
        <v>136</v>
      </c>
      <c r="CC1" s="26" t="s">
        <v>137</v>
      </c>
      <c r="CD1" s="26" t="s">
        <v>138</v>
      </c>
      <c r="CE1" s="74" t="s">
        <v>139</v>
      </c>
      <c r="CF1"/>
      <c r="CK1" t="s">
        <v>38</v>
      </c>
      <c r="CL1" t="s">
        <v>47</v>
      </c>
      <c r="CM1" t="s">
        <v>97</v>
      </c>
      <c r="CN1" t="s">
        <v>116</v>
      </c>
      <c r="CO1" t="s">
        <v>126</v>
      </c>
      <c r="CP1" t="s">
        <v>140</v>
      </c>
      <c r="CQ1" t="s">
        <v>117</v>
      </c>
      <c r="CR1" t="s">
        <v>127</v>
      </c>
      <c r="CS1" t="s">
        <v>141</v>
      </c>
      <c r="CT1" t="s">
        <v>119</v>
      </c>
      <c r="CU1" t="s">
        <v>120</v>
      </c>
      <c r="CV1" t="s">
        <v>142</v>
      </c>
      <c r="CW1" t="s">
        <v>143</v>
      </c>
      <c r="CX1" t="s">
        <v>139</v>
      </c>
      <c r="ES1" t="s">
        <v>144</v>
      </c>
      <c r="ET1" t="s">
        <v>145</v>
      </c>
      <c r="EU1" t="s">
        <v>146</v>
      </c>
    </row>
    <row r="2" spans="1:151">
      <c r="A2">
        <v>94</v>
      </c>
      <c r="B2" t="s">
        <v>147</v>
      </c>
      <c r="C2" t="s">
        <v>148</v>
      </c>
      <c r="D2" t="s">
        <v>148</v>
      </c>
      <c r="E2" t="s">
        <v>33</v>
      </c>
      <c r="J2">
        <v>94</v>
      </c>
      <c r="K2">
        <v>1</v>
      </c>
      <c r="L2">
        <v>1</v>
      </c>
      <c r="M2">
        <v>1</v>
      </c>
      <c r="N2">
        <v>1</v>
      </c>
      <c r="O2">
        <v>1</v>
      </c>
      <c r="P2" t="s">
        <v>1</v>
      </c>
      <c r="V2" t="s">
        <v>149</v>
      </c>
      <c r="W2" t="s">
        <v>150</v>
      </c>
      <c r="X2" t="s">
        <v>76</v>
      </c>
      <c r="Y2" s="47" t="s">
        <v>79</v>
      </c>
      <c r="Z2" s="74">
        <v>43922</v>
      </c>
      <c r="AA2">
        <v>9000</v>
      </c>
      <c r="AB2">
        <v>2000</v>
      </c>
      <c r="AC2" s="47" t="s">
        <v>86</v>
      </c>
      <c r="CK2" t="s">
        <v>151</v>
      </c>
      <c r="CL2" t="s">
        <v>152</v>
      </c>
      <c r="CM2" t="s">
        <v>76</v>
      </c>
      <c r="CN2">
        <v>60</v>
      </c>
      <c r="CO2">
        <v>60</v>
      </c>
      <c r="CP2">
        <v>120</v>
      </c>
      <c r="CQ2">
        <v>60</v>
      </c>
      <c r="CR2">
        <v>0</v>
      </c>
      <c r="CS2">
        <v>60</v>
      </c>
      <c r="CT2">
        <v>60</v>
      </c>
      <c r="CU2">
        <v>60</v>
      </c>
      <c r="CV2">
        <v>240</v>
      </c>
      <c r="CW2">
        <v>60</v>
      </c>
      <c r="CX2" s="71">
        <v>45005</v>
      </c>
      <c r="ES2" t="s">
        <v>153</v>
      </c>
      <c r="ET2" t="s">
        <v>153</v>
      </c>
      <c r="EU2" t="s">
        <v>154</v>
      </c>
    </row>
    <row r="3" spans="1:151">
      <c r="J3">
        <v>94</v>
      </c>
      <c r="K3">
        <v>1</v>
      </c>
      <c r="L3">
        <v>1</v>
      </c>
      <c r="M3">
        <v>1</v>
      </c>
      <c r="N3">
        <v>1</v>
      </c>
      <c r="O3">
        <v>1</v>
      </c>
      <c r="P3" t="s">
        <v>155</v>
      </c>
      <c r="V3" t="s">
        <v>147</v>
      </c>
      <c r="W3" t="s">
        <v>150</v>
      </c>
      <c r="X3" t="s">
        <v>156</v>
      </c>
      <c r="Y3" s="47" t="s">
        <v>157</v>
      </c>
      <c r="Z3" s="74">
        <v>43908</v>
      </c>
      <c r="AA3">
        <v>6000</v>
      </c>
      <c r="AB3">
        <v>2000</v>
      </c>
      <c r="AC3" s="47" t="s">
        <v>158</v>
      </c>
      <c r="CK3" t="s">
        <v>159</v>
      </c>
      <c r="CL3" t="s">
        <v>152</v>
      </c>
      <c r="CM3" t="s">
        <v>160</v>
      </c>
      <c r="CN3">
        <v>100</v>
      </c>
      <c r="CO3">
        <v>100</v>
      </c>
      <c r="CP3">
        <v>200</v>
      </c>
      <c r="CQ3">
        <v>100</v>
      </c>
      <c r="CR3">
        <v>0</v>
      </c>
      <c r="CS3">
        <v>100</v>
      </c>
      <c r="CT3">
        <v>100</v>
      </c>
      <c r="CU3">
        <v>100</v>
      </c>
      <c r="CV3">
        <v>400</v>
      </c>
      <c r="CW3">
        <v>100</v>
      </c>
      <c r="CX3" s="71">
        <v>45046</v>
      </c>
      <c r="ES3" t="s">
        <v>161</v>
      </c>
      <c r="ET3" t="s">
        <v>161</v>
      </c>
      <c r="EU3" t="s">
        <v>162</v>
      </c>
    </row>
    <row r="4" spans="1:151">
      <c r="J4">
        <v>94</v>
      </c>
      <c r="K4">
        <v>1</v>
      </c>
      <c r="L4">
        <v>1</v>
      </c>
      <c r="M4">
        <v>1</v>
      </c>
      <c r="N4">
        <v>1</v>
      </c>
      <c r="O4">
        <v>1</v>
      </c>
      <c r="P4" t="s">
        <v>163</v>
      </c>
      <c r="V4" t="s">
        <v>164</v>
      </c>
      <c r="W4" t="s">
        <v>150</v>
      </c>
      <c r="X4" t="s">
        <v>165</v>
      </c>
      <c r="Y4" s="47" t="s">
        <v>166</v>
      </c>
      <c r="Z4" s="74">
        <v>44378</v>
      </c>
      <c r="AA4">
        <v>5000</v>
      </c>
      <c r="AB4">
        <v>2000</v>
      </c>
      <c r="AC4" s="47" t="s">
        <v>167</v>
      </c>
      <c r="CK4" t="s">
        <v>168</v>
      </c>
      <c r="CL4" t="s">
        <v>152</v>
      </c>
      <c r="CM4" t="s">
        <v>76</v>
      </c>
      <c r="CN4">
        <v>60</v>
      </c>
      <c r="CO4">
        <v>60</v>
      </c>
      <c r="CP4">
        <v>120</v>
      </c>
      <c r="CQ4">
        <v>60</v>
      </c>
      <c r="CR4">
        <v>1000</v>
      </c>
      <c r="CS4">
        <v>1060</v>
      </c>
      <c r="CT4">
        <v>60</v>
      </c>
      <c r="CU4">
        <v>60</v>
      </c>
      <c r="CV4">
        <v>240</v>
      </c>
      <c r="CW4">
        <v>1060</v>
      </c>
      <c r="CX4" s="71">
        <v>45032</v>
      </c>
    </row>
    <row r="5" spans="1:151">
      <c r="J5">
        <v>94</v>
      </c>
      <c r="K5">
        <v>1</v>
      </c>
      <c r="L5">
        <v>1</v>
      </c>
      <c r="M5">
        <v>1</v>
      </c>
      <c r="N5">
        <v>1</v>
      </c>
      <c r="O5">
        <v>1</v>
      </c>
      <c r="P5" t="s">
        <v>169</v>
      </c>
      <c r="V5" t="s">
        <v>151</v>
      </c>
      <c r="W5" t="s">
        <v>152</v>
      </c>
      <c r="X5" t="s">
        <v>76</v>
      </c>
      <c r="Y5" s="47" t="s">
        <v>170</v>
      </c>
      <c r="Z5" s="74">
        <v>45017</v>
      </c>
      <c r="AA5">
        <v>3000</v>
      </c>
      <c r="AB5">
        <v>200</v>
      </c>
      <c r="AC5" s="47" t="s">
        <v>171</v>
      </c>
      <c r="CK5" t="s">
        <v>172</v>
      </c>
      <c r="CL5" t="s">
        <v>152</v>
      </c>
      <c r="CM5" t="s">
        <v>156</v>
      </c>
      <c r="CN5">
        <v>60</v>
      </c>
      <c r="CO5">
        <v>60</v>
      </c>
      <c r="CP5">
        <v>120</v>
      </c>
      <c r="CQ5">
        <v>60</v>
      </c>
      <c r="CR5">
        <v>60</v>
      </c>
      <c r="CS5">
        <v>120</v>
      </c>
      <c r="CT5">
        <v>60</v>
      </c>
      <c r="CU5">
        <v>60</v>
      </c>
      <c r="CV5">
        <v>240</v>
      </c>
      <c r="CW5">
        <v>120</v>
      </c>
      <c r="CX5" s="71">
        <v>46057</v>
      </c>
    </row>
    <row r="6" spans="1:151">
      <c r="J6">
        <v>94</v>
      </c>
      <c r="K6">
        <v>1</v>
      </c>
      <c r="L6">
        <v>1</v>
      </c>
      <c r="M6">
        <v>1</v>
      </c>
      <c r="N6">
        <v>1</v>
      </c>
      <c r="O6">
        <v>1</v>
      </c>
      <c r="P6" t="s">
        <v>173</v>
      </c>
      <c r="V6" t="s">
        <v>174</v>
      </c>
      <c r="W6" t="s">
        <v>150</v>
      </c>
      <c r="X6" t="s">
        <v>76</v>
      </c>
      <c r="Y6" s="47" t="s">
        <v>175</v>
      </c>
      <c r="Z6" s="74">
        <v>43020</v>
      </c>
      <c r="AA6">
        <v>5000</v>
      </c>
      <c r="AB6">
        <v>450</v>
      </c>
      <c r="AC6" s="47" t="s">
        <v>171</v>
      </c>
      <c r="CK6" t="s">
        <v>172</v>
      </c>
      <c r="CL6" t="s">
        <v>152</v>
      </c>
      <c r="CM6" t="s">
        <v>156</v>
      </c>
      <c r="CN6">
        <v>60</v>
      </c>
      <c r="CO6">
        <v>60</v>
      </c>
      <c r="CP6">
        <v>120</v>
      </c>
      <c r="CQ6">
        <v>60</v>
      </c>
      <c r="CR6">
        <v>60</v>
      </c>
      <c r="CS6">
        <v>120</v>
      </c>
      <c r="CT6">
        <v>60</v>
      </c>
      <c r="CU6">
        <v>60</v>
      </c>
      <c r="CV6">
        <v>240</v>
      </c>
      <c r="CW6">
        <v>120</v>
      </c>
      <c r="CX6" s="71">
        <v>46057</v>
      </c>
    </row>
    <row r="7" spans="1:151">
      <c r="J7">
        <v>94</v>
      </c>
      <c r="K7">
        <v>1</v>
      </c>
      <c r="L7">
        <v>1</v>
      </c>
      <c r="M7">
        <v>1</v>
      </c>
      <c r="N7">
        <v>1</v>
      </c>
      <c r="O7">
        <v>1</v>
      </c>
      <c r="P7" t="s">
        <v>176</v>
      </c>
      <c r="V7" t="s">
        <v>172</v>
      </c>
      <c r="W7" t="s">
        <v>152</v>
      </c>
      <c r="X7" t="s">
        <v>156</v>
      </c>
      <c r="Y7" s="47" t="s">
        <v>177</v>
      </c>
      <c r="Z7" s="74">
        <v>43922</v>
      </c>
      <c r="AA7">
        <v>3000</v>
      </c>
      <c r="AB7">
        <v>200</v>
      </c>
      <c r="AC7" s="47" t="s">
        <v>178</v>
      </c>
      <c r="CX7" s="71"/>
    </row>
    <row r="8" spans="1:151">
      <c r="J8">
        <v>94</v>
      </c>
      <c r="K8">
        <v>1</v>
      </c>
      <c r="L8">
        <v>1</v>
      </c>
      <c r="M8">
        <v>1</v>
      </c>
      <c r="N8">
        <v>1</v>
      </c>
      <c r="O8">
        <v>1</v>
      </c>
      <c r="P8" t="s">
        <v>179</v>
      </c>
      <c r="V8" t="s">
        <v>168</v>
      </c>
      <c r="W8" t="s">
        <v>152</v>
      </c>
      <c r="X8" t="s">
        <v>76</v>
      </c>
      <c r="Y8" s="47" t="s">
        <v>180</v>
      </c>
      <c r="Z8" s="74">
        <v>43922</v>
      </c>
      <c r="AA8">
        <v>3000</v>
      </c>
      <c r="AB8">
        <v>200</v>
      </c>
      <c r="AC8" s="47" t="s">
        <v>181</v>
      </c>
      <c r="CX8" s="71"/>
    </row>
    <row r="9" spans="1:151">
      <c r="J9">
        <v>94</v>
      </c>
      <c r="K9">
        <v>1</v>
      </c>
      <c r="L9">
        <v>1</v>
      </c>
      <c r="M9">
        <v>1</v>
      </c>
      <c r="N9">
        <v>1</v>
      </c>
      <c r="O9">
        <v>1</v>
      </c>
      <c r="P9" t="s">
        <v>182</v>
      </c>
      <c r="V9" t="s">
        <v>183</v>
      </c>
      <c r="W9" t="s">
        <v>75</v>
      </c>
      <c r="X9" t="s">
        <v>76</v>
      </c>
      <c r="Y9" s="47" t="s">
        <v>184</v>
      </c>
      <c r="Z9" s="74">
        <v>45006</v>
      </c>
      <c r="AA9">
        <v>5000</v>
      </c>
      <c r="AB9">
        <v>200</v>
      </c>
      <c r="AC9" s="47" t="s">
        <v>185</v>
      </c>
    </row>
    <row r="10" spans="1:151">
      <c r="J10">
        <v>94</v>
      </c>
      <c r="K10">
        <v>1</v>
      </c>
      <c r="L10">
        <v>1</v>
      </c>
      <c r="M10">
        <v>1</v>
      </c>
      <c r="N10">
        <v>1</v>
      </c>
      <c r="O10">
        <v>1</v>
      </c>
      <c r="P10" t="s">
        <v>186</v>
      </c>
      <c r="V10" t="s">
        <v>187</v>
      </c>
      <c r="W10" t="s">
        <v>188</v>
      </c>
      <c r="X10" t="s">
        <v>76</v>
      </c>
      <c r="Y10" s="47" t="s">
        <v>189</v>
      </c>
      <c r="Z10" s="74">
        <v>45017</v>
      </c>
      <c r="AA10">
        <v>3000</v>
      </c>
      <c r="AB10">
        <v>300</v>
      </c>
      <c r="AC10" s="47" t="s">
        <v>190</v>
      </c>
    </row>
    <row r="11" spans="1:151">
      <c r="J11">
        <v>94</v>
      </c>
      <c r="K11">
        <v>1</v>
      </c>
      <c r="L11">
        <v>1</v>
      </c>
      <c r="M11">
        <v>1</v>
      </c>
      <c r="N11">
        <v>1</v>
      </c>
      <c r="O11">
        <v>1</v>
      </c>
      <c r="P11" t="s">
        <v>191</v>
      </c>
    </row>
    <row r="12" spans="1:151">
      <c r="J12">
        <v>94</v>
      </c>
      <c r="K12">
        <v>1</v>
      </c>
      <c r="L12">
        <v>1</v>
      </c>
      <c r="M12">
        <v>1</v>
      </c>
      <c r="N12">
        <v>1</v>
      </c>
      <c r="O12">
        <v>1</v>
      </c>
      <c r="P12" t="s">
        <v>192</v>
      </c>
    </row>
    <row r="13" spans="1:151">
      <c r="J13">
        <v>94</v>
      </c>
      <c r="K13">
        <v>1</v>
      </c>
      <c r="L13">
        <v>1</v>
      </c>
      <c r="M13">
        <v>1</v>
      </c>
      <c r="N13">
        <v>1</v>
      </c>
      <c r="O13">
        <v>1</v>
      </c>
      <c r="P13" t="s">
        <v>193</v>
      </c>
    </row>
    <row r="14" spans="1:151">
      <c r="J14">
        <v>94</v>
      </c>
      <c r="K14">
        <v>1</v>
      </c>
      <c r="L14">
        <v>1</v>
      </c>
      <c r="M14">
        <v>1</v>
      </c>
      <c r="N14">
        <v>1</v>
      </c>
      <c r="O14">
        <v>1</v>
      </c>
      <c r="P14" t="s">
        <v>194</v>
      </c>
    </row>
    <row r="15" spans="1:151">
      <c r="J15">
        <v>94</v>
      </c>
      <c r="K15">
        <v>1</v>
      </c>
      <c r="L15">
        <v>1</v>
      </c>
      <c r="M15">
        <v>1</v>
      </c>
      <c r="N15">
        <v>1</v>
      </c>
      <c r="O15">
        <v>1</v>
      </c>
      <c r="P15" t="s">
        <v>195</v>
      </c>
    </row>
    <row r="16" spans="1:151">
      <c r="J16">
        <v>94</v>
      </c>
      <c r="K16">
        <v>1</v>
      </c>
      <c r="L16">
        <v>1</v>
      </c>
      <c r="M16">
        <v>1</v>
      </c>
      <c r="N16">
        <v>1</v>
      </c>
      <c r="O16">
        <v>1</v>
      </c>
      <c r="P16" t="s">
        <v>196</v>
      </c>
    </row>
    <row r="17" spans="10:16">
      <c r="J17">
        <v>94</v>
      </c>
      <c r="K17">
        <v>1</v>
      </c>
      <c r="L17">
        <v>1</v>
      </c>
      <c r="M17">
        <v>1</v>
      </c>
      <c r="N17">
        <v>1</v>
      </c>
      <c r="O17">
        <v>1</v>
      </c>
      <c r="P17" t="s">
        <v>197</v>
      </c>
    </row>
    <row r="18" spans="10:16">
      <c r="J18">
        <v>94</v>
      </c>
      <c r="K18">
        <v>1</v>
      </c>
      <c r="L18">
        <v>1</v>
      </c>
      <c r="M18">
        <v>1</v>
      </c>
      <c r="N18">
        <v>1</v>
      </c>
      <c r="O18">
        <v>1</v>
      </c>
      <c r="P18" t="s">
        <v>198</v>
      </c>
    </row>
    <row r="19" spans="10:16">
      <c r="J19">
        <v>94</v>
      </c>
      <c r="K19">
        <v>1</v>
      </c>
      <c r="L19">
        <v>1</v>
      </c>
      <c r="M19">
        <v>1</v>
      </c>
      <c r="N19">
        <v>1</v>
      </c>
      <c r="O19">
        <v>1</v>
      </c>
      <c r="P19" t="s">
        <v>199</v>
      </c>
    </row>
    <row r="20" spans="10:16">
      <c r="J20">
        <v>94</v>
      </c>
      <c r="K20">
        <v>1</v>
      </c>
      <c r="L20">
        <v>1</v>
      </c>
      <c r="M20">
        <v>1</v>
      </c>
      <c r="N20">
        <v>1</v>
      </c>
      <c r="O20">
        <v>1</v>
      </c>
      <c r="P20" t="s">
        <v>200</v>
      </c>
    </row>
    <row r="21" spans="10:16">
      <c r="J21">
        <v>94</v>
      </c>
      <c r="K21">
        <v>1</v>
      </c>
      <c r="L21">
        <v>1</v>
      </c>
      <c r="M21">
        <v>1</v>
      </c>
      <c r="N21">
        <v>1</v>
      </c>
      <c r="O21">
        <v>1</v>
      </c>
      <c r="P21" t="s">
        <v>201</v>
      </c>
    </row>
    <row r="22" spans="10:16">
      <c r="J22">
        <v>94</v>
      </c>
      <c r="K22">
        <v>1</v>
      </c>
      <c r="L22">
        <v>1</v>
      </c>
      <c r="M22">
        <v>1</v>
      </c>
      <c r="N22">
        <v>1</v>
      </c>
      <c r="O22">
        <v>1</v>
      </c>
      <c r="P22" t="s">
        <v>202</v>
      </c>
    </row>
    <row r="23" spans="10:16">
      <c r="J23">
        <v>94</v>
      </c>
      <c r="K23">
        <v>1</v>
      </c>
      <c r="L23">
        <v>1</v>
      </c>
      <c r="M23">
        <v>1</v>
      </c>
      <c r="N23">
        <v>1</v>
      </c>
      <c r="O23">
        <v>1</v>
      </c>
      <c r="P23" t="s">
        <v>203</v>
      </c>
    </row>
    <row r="24" spans="10:16">
      <c r="J24">
        <v>94</v>
      </c>
      <c r="K24">
        <v>1</v>
      </c>
      <c r="L24">
        <v>1</v>
      </c>
      <c r="M24">
        <v>1</v>
      </c>
      <c r="N24">
        <v>1</v>
      </c>
      <c r="O24">
        <v>1</v>
      </c>
      <c r="P24" t="s">
        <v>204</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H5" sqref="H5"/>
    </sheetView>
  </sheetViews>
  <sheetFormatPr defaultColWidth="9" defaultRowHeight="20" customHeight="1"/>
  <cols>
    <col min="1" max="1" width="4.625" customWidth="1"/>
    <col min="2" max="2" width="4.625" hidden="1" customWidth="1"/>
    <col min="3" max="5" width="12.625" style="1" customWidth="1"/>
    <col min="6" max="6" width="21.75" style="63" customWidth="1"/>
    <col min="7" max="7" width="12.625" style="73" customWidth="1"/>
    <col min="8" max="52" width="12.625" style="1" customWidth="1"/>
    <col min="53" max="53" width="12.625" style="63" customWidth="1"/>
    <col min="54" max="54" width="23.375" style="63" customWidth="1"/>
    <col min="55" max="56" width="12.625" style="73" customWidth="1"/>
    <col min="57" max="57" width="12.625" style="63" customWidth="1"/>
  </cols>
  <sheetData>
    <row r="1" ht="54.75" customHeight="1" spans="2:57">
      <c r="C1" s="26"/>
      <c r="D1" s="26"/>
      <c r="E1" s="26"/>
      <c r="F1" s="47"/>
      <c r="G1" s="74"/>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47"/>
      <c r="BB1" s="47"/>
      <c r="BC1" s="74"/>
      <c r="BD1" s="74"/>
      <c r="BE1" s="47"/>
    </row>
    <row r="2" ht="40" customHeight="1" spans="2:57">
      <c r="C2" s="4" t="s">
        <v>205</v>
      </c>
      <c r="D2"/>
      <c r="E2"/>
      <c r="F2"/>
      <c r="G2"/>
      <c r="H2"/>
      <c r="I2"/>
      <c r="J2"/>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47"/>
      <c r="BB2" s="47"/>
      <c r="BC2" s="74"/>
      <c r="BD2" s="74"/>
      <c r="BE2" s="47"/>
    </row>
    <row r="3" ht="30" customHeight="1" spans="2:57">
      <c r="C3" s="26"/>
      <c r="D3" s="26"/>
      <c r="E3" s="26"/>
      <c r="F3" s="47"/>
      <c r="G3" s="74"/>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47"/>
      <c r="BB3" s="47"/>
      <c r="BC3" s="74"/>
      <c r="BD3" s="74"/>
      <c r="BE3" s="47"/>
    </row>
    <row r="4" ht="30" customHeight="1" spans="2:57">
      <c r="C4" s="7" t="s">
        <v>38</v>
      </c>
      <c r="D4" s="7" t="s">
        <v>47</v>
      </c>
      <c r="E4" s="7" t="s">
        <v>97</v>
      </c>
      <c r="F4" s="64" t="s">
        <v>51</v>
      </c>
      <c r="G4" s="75" t="s">
        <v>62</v>
      </c>
      <c r="H4" s="7" t="s">
        <v>59</v>
      </c>
      <c r="I4" s="7" t="s">
        <v>60</v>
      </c>
      <c r="J4" s="7" t="s">
        <v>100</v>
      </c>
      <c r="K4" s="7" t="s">
        <v>206</v>
      </c>
      <c r="L4" s="7" t="s">
        <v>102</v>
      </c>
      <c r="M4" s="7" t="s">
        <v>103</v>
      </c>
      <c r="N4" s="7" t="s">
        <v>104</v>
      </c>
      <c r="O4" s="7" t="s">
        <v>105</v>
      </c>
      <c r="P4" s="7" t="s">
        <v>106</v>
      </c>
      <c r="Q4" s="7" t="s">
        <v>107</v>
      </c>
      <c r="R4" s="7" t="s">
        <v>108</v>
      </c>
      <c r="S4" s="7" t="s">
        <v>109</v>
      </c>
      <c r="T4" s="7" t="s">
        <v>43</v>
      </c>
      <c r="U4" s="7" t="s">
        <v>110</v>
      </c>
      <c r="V4" s="7" t="s">
        <v>111</v>
      </c>
      <c r="W4" s="7" t="s">
        <v>112</v>
      </c>
      <c r="X4" s="7" t="s">
        <v>113</v>
      </c>
      <c r="Y4" s="7" t="s">
        <v>114</v>
      </c>
      <c r="Z4" s="7" t="s">
        <v>115</v>
      </c>
      <c r="AA4" s="7" t="s">
        <v>116</v>
      </c>
      <c r="AB4" s="7" t="s">
        <v>117</v>
      </c>
      <c r="AC4" s="7" t="s">
        <v>118</v>
      </c>
      <c r="AD4" s="7" t="s">
        <v>119</v>
      </c>
      <c r="AE4" s="7" t="s">
        <v>120</v>
      </c>
      <c r="AF4" s="7" t="s">
        <v>121</v>
      </c>
      <c r="AG4" s="7" t="s">
        <v>122</v>
      </c>
      <c r="AH4" s="7" t="s">
        <v>123</v>
      </c>
      <c r="AI4" s="7" t="s">
        <v>124</v>
      </c>
      <c r="AJ4" s="7" t="s">
        <v>125</v>
      </c>
      <c r="AK4" s="7" t="s">
        <v>126</v>
      </c>
      <c r="AL4" s="7" t="s">
        <v>127</v>
      </c>
      <c r="AM4" s="7" t="s">
        <v>128</v>
      </c>
      <c r="AN4" s="7" t="s">
        <v>207</v>
      </c>
      <c r="AO4" s="7" t="s">
        <v>130</v>
      </c>
      <c r="AP4" s="7" t="s">
        <v>208</v>
      </c>
      <c r="AQ4" s="7" t="s">
        <v>123</v>
      </c>
      <c r="AR4" s="7" t="s">
        <v>124</v>
      </c>
      <c r="AS4" s="7" t="s">
        <v>131</v>
      </c>
      <c r="AT4" s="7" t="s">
        <v>132</v>
      </c>
      <c r="AU4" s="7" t="s">
        <v>133</v>
      </c>
      <c r="AV4" s="7" t="s">
        <v>134</v>
      </c>
      <c r="AW4" s="7" t="s">
        <v>135</v>
      </c>
      <c r="AX4" s="7" t="s">
        <v>136</v>
      </c>
      <c r="AY4" s="7" t="s">
        <v>209</v>
      </c>
      <c r="AZ4" s="7" t="s">
        <v>138</v>
      </c>
      <c r="BA4" s="64" t="s">
        <v>210</v>
      </c>
      <c r="BB4" s="64" t="s">
        <v>98</v>
      </c>
      <c r="BC4" s="75" t="s">
        <v>73</v>
      </c>
      <c r="BD4" s="75" t="s">
        <v>139</v>
      </c>
      <c r="BE4" s="64" t="s">
        <v>211</v>
      </c>
    </row>
    <row r="5" customHeight="1" spans="2:57">
      <c r="B5">
        <v>302</v>
      </c>
      <c r="C5" s="1" t="s">
        <v>149</v>
      </c>
      <c r="H5" s="1">
        <v>10000</v>
      </c>
      <c r="I5" s="1">
        <v>2000</v>
      </c>
      <c r="J5" s="1">
        <v>1000</v>
      </c>
      <c r="K5" s="1">
        <v>13000</v>
      </c>
      <c r="N5" s="1">
        <v>0</v>
      </c>
      <c r="O5" s="1">
        <v>0</v>
      </c>
      <c r="P5" s="1">
        <v>0</v>
      </c>
      <c r="Q5" s="1">
        <v>0</v>
      </c>
      <c r="R5" s="1">
        <v>0</v>
      </c>
      <c r="S5" s="1">
        <v>0</v>
      </c>
      <c r="T5" s="1">
        <v>0</v>
      </c>
      <c r="U5" s="1">
        <v>0</v>
      </c>
      <c r="V5" s="1">
        <v>0</v>
      </c>
      <c r="W5" s="1">
        <v>0.2</v>
      </c>
      <c r="Y5" s="1">
        <v>0.02</v>
      </c>
      <c r="AA5" s="1">
        <v>0</v>
      </c>
      <c r="AB5" s="1">
        <v>0</v>
      </c>
      <c r="AC5" s="1">
        <v>0</v>
      </c>
      <c r="AD5" s="1">
        <v>0</v>
      </c>
      <c r="AE5" s="1">
        <v>0</v>
      </c>
      <c r="AF5" s="1">
        <v>0</v>
      </c>
      <c r="AG5" s="1">
        <v>0</v>
      </c>
      <c r="AJ5" s="1">
        <v>0</v>
      </c>
      <c r="AK5" s="1">
        <v>0</v>
      </c>
      <c r="AL5" s="1">
        <v>0</v>
      </c>
      <c r="AM5" s="1">
        <v>0</v>
      </c>
      <c r="AN5" s="1">
        <v>0</v>
      </c>
      <c r="AO5" s="1">
        <v>0</v>
      </c>
      <c r="AP5" s="1">
        <v>0</v>
      </c>
      <c r="AS5" s="1">
        <v>0</v>
      </c>
      <c r="AT5" s="1">
        <v>0</v>
      </c>
      <c r="AU5" s="1">
        <v>0</v>
      </c>
      <c r="AV5" s="1">
        <v>0</v>
      </c>
      <c r="AW5" s="1">
        <v>0</v>
      </c>
      <c r="AX5" s="1">
        <v>0</v>
      </c>
      <c r="AZ5" s="1">
        <v>0</v>
      </c>
      <c r="BC5" s="73">
        <v>0</v>
      </c>
      <c r="BD5" s="73">
        <v>46097</v>
      </c>
      <c r="BE5" s="63" t="s">
        <v>212</v>
      </c>
    </row>
    <row r="14" customHeight="1" spans="2:57">
      <c r="AJ14" s="76"/>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5"/>
  <sheetViews>
    <sheetView showGridLines="0" workbookViewId="0">
      <pane ySplit="4" topLeftCell="A5" activePane="bottomLeft" state="frozen"/>
      <selection/>
      <selection pane="bottomLeft" activeCell="F8" sqref="F8"/>
    </sheetView>
  </sheetViews>
  <sheetFormatPr defaultColWidth="9" defaultRowHeight="20" customHeight="1" outlineLevelRow="4"/>
  <cols>
    <col min="1" max="1" width="4.625" customWidth="1"/>
    <col min="2" max="2" width="4.625" hidden="1" customWidth="1"/>
    <col min="3" max="3" width="12.625" style="1" customWidth="1"/>
    <col min="4" max="5" width="12.625" style="62" customWidth="1"/>
    <col min="6" max="7" width="12.625" style="1" customWidth="1"/>
    <col min="8" max="8" width="20" style="1" customWidth="1"/>
    <col min="9" max="10" width="12.625" style="1" customWidth="1"/>
  </cols>
  <sheetData>
    <row r="1" ht="54.75" customHeight="1" spans="2:10">
      <c r="C1" s="26"/>
      <c r="D1" s="27"/>
      <c r="E1" s="27"/>
      <c r="F1" s="26"/>
      <c r="G1" s="26"/>
      <c r="H1" s="26"/>
      <c r="I1" s="26"/>
      <c r="J1" s="26"/>
    </row>
    <row r="2" ht="40" customHeight="1" spans="2:10">
      <c r="C2" s="4" t="s">
        <v>213</v>
      </c>
      <c r="D2" s="27"/>
      <c r="E2" s="27"/>
      <c r="F2" s="26"/>
      <c r="G2" s="26"/>
      <c r="H2" s="26"/>
      <c r="I2" s="26"/>
      <c r="J2" s="26"/>
    </row>
    <row r="3" ht="30" customHeight="1" spans="2:10">
      <c r="C3" s="26"/>
      <c r="D3" s="27"/>
      <c r="E3" s="27"/>
      <c r="F3" s="26"/>
      <c r="G3" s="26"/>
      <c r="H3" s="26"/>
      <c r="I3" s="26"/>
      <c r="J3" s="26"/>
    </row>
    <row r="4" ht="30" customHeight="1" spans="2:10">
      <c r="C4" s="7" t="s">
        <v>38</v>
      </c>
      <c r="D4" s="8" t="s">
        <v>36</v>
      </c>
      <c r="E4" s="8" t="s">
        <v>37</v>
      </c>
      <c r="F4" s="7" t="s">
        <v>214</v>
      </c>
      <c r="G4" s="7" t="s">
        <v>215</v>
      </c>
      <c r="H4" s="7" t="s">
        <v>216</v>
      </c>
      <c r="I4" s="7" t="s">
        <v>217</v>
      </c>
      <c r="J4" s="7" t="s">
        <v>218</v>
      </c>
    </row>
    <row r="5" customHeight="1" spans="2:10">
      <c r="B5">
        <v>917</v>
      </c>
      <c r="C5" s="1" t="s">
        <v>44</v>
      </c>
      <c r="D5" s="62">
        <v>2026</v>
      </c>
      <c r="E5" s="62">
        <v>3</v>
      </c>
      <c r="F5" s="1">
        <v>1</v>
      </c>
      <c r="J5" s="1">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7"/>
  <sheetViews>
    <sheetView showGridLines="0" workbookViewId="0">
      <pane ySplit="4" topLeftCell="A5" activePane="bottomLeft" state="frozen"/>
      <selection/>
      <selection pane="bottomLeft" activeCell="G10" sqref="G10"/>
    </sheetView>
  </sheetViews>
  <sheetFormatPr defaultColWidth="9" defaultRowHeight="20" customHeight="1" outlineLevelRow="6"/>
  <cols>
    <col min="1" max="1" width="4.625" style="26" customWidth="1"/>
    <col min="2" max="2" width="4.625" style="26"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6"/>
  </cols>
  <sheetData>
    <row r="1" ht="54.75" customHeight="1" spans="2:34">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row>
    <row r="2" ht="40" customHeight="1" spans="2:34">
      <c r="C2" s="4" t="s">
        <v>219</v>
      </c>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row>
    <row r="3" ht="30" customHeight="1" spans="2:34">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row>
    <row r="4" ht="30" customHeight="1" spans="2:34">
      <c r="C4" s="7" t="s">
        <v>112</v>
      </c>
      <c r="D4" s="7" t="s">
        <v>114</v>
      </c>
      <c r="E4" s="7" t="s">
        <v>220</v>
      </c>
      <c r="F4" s="7" t="s">
        <v>221</v>
      </c>
      <c r="G4" s="7" t="s">
        <v>110</v>
      </c>
      <c r="H4" s="7" t="s">
        <v>128</v>
      </c>
      <c r="I4" s="7" t="s">
        <v>118</v>
      </c>
      <c r="J4" s="7" t="s">
        <v>207</v>
      </c>
      <c r="K4" s="7" t="s">
        <v>120</v>
      </c>
      <c r="L4" s="7" t="s">
        <v>130</v>
      </c>
      <c r="M4" s="7" t="s">
        <v>121</v>
      </c>
      <c r="N4" s="7" t="s">
        <v>113</v>
      </c>
      <c r="O4" s="7" t="s">
        <v>222</v>
      </c>
      <c r="P4" s="7" t="s">
        <v>122</v>
      </c>
      <c r="Q4" s="7" t="s">
        <v>123</v>
      </c>
      <c r="R4" s="7" t="s">
        <v>115</v>
      </c>
      <c r="S4" s="7" t="s">
        <v>124</v>
      </c>
      <c r="T4" s="7" t="s">
        <v>126</v>
      </c>
      <c r="U4" s="7" t="s">
        <v>116</v>
      </c>
      <c r="V4" s="7" t="s">
        <v>97</v>
      </c>
      <c r="W4" s="7" t="s">
        <v>100</v>
      </c>
      <c r="X4" s="7" t="s">
        <v>127</v>
      </c>
      <c r="Y4" s="7" t="s">
        <v>117</v>
      </c>
      <c r="Z4" s="7" t="s">
        <v>223</v>
      </c>
      <c r="AA4" s="7" t="s">
        <v>134</v>
      </c>
      <c r="AB4" s="7" t="s">
        <v>102</v>
      </c>
      <c r="AC4" s="7" t="s">
        <v>119</v>
      </c>
      <c r="AD4" s="7" t="s">
        <v>103</v>
      </c>
      <c r="AE4" s="7" t="s">
        <v>209</v>
      </c>
      <c r="AF4" s="7" t="s">
        <v>106</v>
      </c>
      <c r="AG4" s="7" t="s">
        <v>210</v>
      </c>
      <c r="AH4" s="7" t="s">
        <v>109</v>
      </c>
    </row>
    <row r="5" customHeight="1" spans="2:34">
      <c r="B5" s="26">
        <v>372</v>
      </c>
      <c r="C5" s="1">
        <v>1</v>
      </c>
      <c r="D5" s="1">
        <v>1</v>
      </c>
      <c r="E5" s="1" t="s">
        <v>75</v>
      </c>
      <c r="F5" s="1" t="s">
        <v>156</v>
      </c>
      <c r="G5" s="1">
        <v>1</v>
      </c>
      <c r="H5" s="1">
        <v>1</v>
      </c>
      <c r="I5" s="1">
        <v>1</v>
      </c>
      <c r="J5" s="1">
        <v>1</v>
      </c>
    </row>
    <row r="6" customHeight="1" spans="2:34">
      <c r="B6" s="26">
        <v>373</v>
      </c>
      <c r="E6" s="1" t="s">
        <v>224</v>
      </c>
      <c r="F6" s="1" t="s">
        <v>160</v>
      </c>
    </row>
    <row r="7" customHeight="1" spans="2:34">
      <c r="B7" s="26">
        <v>374</v>
      </c>
      <c r="E7" s="1" t="s">
        <v>150</v>
      </c>
      <c r="F7" s="1" t="s">
        <v>160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
  <sheetViews>
    <sheetView showGridLines="0" workbookViewId="0">
      <pane ySplit="4" topLeftCell="A5" activePane="bottomLeft" state="frozen"/>
      <selection/>
      <selection pane="bottomLeft" activeCell="F10" sqref="F10"/>
    </sheetView>
  </sheetViews>
  <sheetFormatPr defaultColWidth="9" defaultRowHeight="20" customHeight="1" outlineLevelRow="4" outlineLevelCol="7"/>
  <cols>
    <col min="1" max="1" width="4.625" style="26" customWidth="1"/>
    <col min="2" max="2" width="4.625" style="26" hidden="1" customWidth="1"/>
    <col min="3" max="3" width="12.625" style="1" customWidth="1"/>
    <col min="4" max="4" width="12.625" style="73" customWidth="1"/>
    <col min="5" max="5" width="20.25" style="1" customWidth="1"/>
    <col min="6" max="7" width="12.625" style="1" customWidth="1"/>
    <col min="8" max="8" width="19.75" style="1" customWidth="1"/>
    <col min="9" max="16384" width="9" style="26"/>
  </cols>
  <sheetData>
    <row r="1" customFormat="1" ht="54.75" customHeight="1" spans="2:8">
      <c r="C1" s="26"/>
      <c r="D1" s="74"/>
      <c r="E1" s="47"/>
      <c r="F1" s="26"/>
      <c r="G1" s="26"/>
      <c r="H1" s="26"/>
    </row>
    <row r="2" customFormat="1" ht="40" customHeight="1" spans="2:8">
      <c r="C2" s="4" t="s">
        <v>225</v>
      </c>
      <c r="D2" s="74"/>
      <c r="E2" s="47"/>
      <c r="F2" s="26"/>
      <c r="G2" s="26"/>
      <c r="H2" s="26"/>
    </row>
    <row r="3" customFormat="1" ht="30" customHeight="1" spans="2:8">
      <c r="C3" s="26"/>
      <c r="D3" s="74"/>
      <c r="E3" s="47"/>
      <c r="F3" s="26"/>
      <c r="G3" s="26"/>
      <c r="H3" s="26"/>
    </row>
    <row r="4" customFormat="1" ht="30" customHeight="1" spans="2:8">
      <c r="C4" s="7" t="s">
        <v>226</v>
      </c>
      <c r="D4" s="75" t="s">
        <v>227</v>
      </c>
      <c r="E4" s="64" t="s">
        <v>138</v>
      </c>
      <c r="F4" s="7" t="s">
        <v>39</v>
      </c>
      <c r="G4" s="7" t="s">
        <v>228</v>
      </c>
      <c r="H4" s="7" t="s">
        <v>229</v>
      </c>
    </row>
    <row r="5" customHeight="1" spans="2:8">
      <c r="B5" s="26">
        <v>302</v>
      </c>
      <c r="C5" s="1" t="s">
        <v>149</v>
      </c>
      <c r="D5" s="73">
        <v>46097</v>
      </c>
      <c r="E5" s="1">
        <v>0</v>
      </c>
      <c r="F5" s="1">
        <v>0</v>
      </c>
      <c r="G5" s="1">
        <v>0</v>
      </c>
      <c r="H5" s="1">
        <v>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C1:I20"/>
  <sheetViews>
    <sheetView showGridLines="0" workbookViewId="0">
      <pane ySplit="4" topLeftCell="A5" activePane="bottomLeft" state="frozen"/>
      <selection/>
      <selection pane="bottomLeft" activeCell="D8" sqref="D8"/>
    </sheetView>
  </sheetViews>
  <sheetFormatPr defaultColWidth="9" defaultRowHeight="20" customHeight="1"/>
  <cols>
    <col min="1" max="1" width="4.5" style="26" customWidth="1"/>
    <col min="2" max="2" width="4.625" style="26" hidden="1" customWidth="1"/>
    <col min="3" max="8" width="12.625" style="1" customWidth="1"/>
    <col min="9" max="9" width="12.625" style="73" customWidth="1"/>
    <col min="10" max="16384" width="9" style="26"/>
  </cols>
  <sheetData>
    <row r="1" customFormat="1" ht="54.75" customHeight="1" spans="3:9">
      <c r="C1" s="26"/>
      <c r="D1" s="26"/>
      <c r="E1" s="26"/>
      <c r="F1" s="26"/>
      <c r="G1" s="26"/>
      <c r="H1" s="26"/>
      <c r="I1" s="74"/>
    </row>
    <row r="2" customFormat="1" ht="40" customHeight="1" spans="3:9">
      <c r="C2" s="4" t="s">
        <v>230</v>
      </c>
      <c r="D2" s="26"/>
      <c r="E2" s="26"/>
      <c r="F2" s="26"/>
      <c r="G2" s="26"/>
      <c r="H2" s="26"/>
      <c r="I2" s="74"/>
    </row>
    <row r="3" customFormat="1" ht="30" customHeight="1" spans="3:9">
      <c r="C3" s="26"/>
      <c r="D3" s="26"/>
      <c r="E3" s="26"/>
      <c r="F3" s="26"/>
      <c r="G3" s="26"/>
      <c r="H3" s="26"/>
      <c r="I3" s="74"/>
    </row>
    <row r="4" customFormat="1" ht="30" customHeight="1" spans="3:9">
      <c r="C4" s="7" t="s">
        <v>138</v>
      </c>
      <c r="D4" s="7" t="s">
        <v>228</v>
      </c>
      <c r="E4" s="7" t="s">
        <v>229</v>
      </c>
      <c r="F4" s="7" t="s">
        <v>231</v>
      </c>
      <c r="G4" s="7" t="s">
        <v>39</v>
      </c>
      <c r="H4" s="7" t="s">
        <v>232</v>
      </c>
      <c r="I4" s="75" t="s">
        <v>233</v>
      </c>
    </row>
    <row r="5" s="26" customFormat="1" customHeight="1" spans="3:9">
      <c r="C5" s="1"/>
      <c r="D5" s="1"/>
      <c r="E5" s="1"/>
      <c r="F5" s="1"/>
      <c r="G5" s="1"/>
      <c r="H5" s="1"/>
      <c r="I5" s="73"/>
    </row>
    <row r="20" customHeight="1" spans="5:5">
      <c r="E20" s="76"/>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5"/>
  <sheetViews>
    <sheetView showGridLines="0" workbookViewId="0">
      <pane ySplit="4" topLeftCell="A14" activePane="bottomLeft" state="frozen"/>
      <selection/>
      <selection pane="bottomLeft" activeCell="F17" sqref="F17"/>
    </sheetView>
  </sheetViews>
  <sheetFormatPr defaultColWidth="9" defaultRowHeight="20" customHeight="1" outlineLevelRow="4"/>
  <cols>
    <col min="1" max="1" width="4.625" customWidth="1"/>
    <col min="2" max="2" width="4.625" hidden="1" customWidth="1"/>
    <col min="3" max="3" width="12.625" style="1" customWidth="1"/>
    <col min="4" max="4" width="12.625" style="62" customWidth="1"/>
    <col min="5" max="5" width="22.875" style="63" customWidth="1"/>
    <col min="6" max="6" width="18" style="63" customWidth="1"/>
    <col min="7" max="8" width="12.625" style="1" customWidth="1"/>
    <col min="9" max="9" width="20" style="1" customWidth="1"/>
    <col min="10" max="11" width="12.625" style="1" customWidth="1"/>
  </cols>
  <sheetData>
    <row r="1" ht="54.75" customHeight="1" spans="2:11">
      <c r="C1" s="26"/>
      <c r="D1" s="27"/>
      <c r="E1" s="47"/>
      <c r="F1" s="47"/>
      <c r="G1" s="26"/>
      <c r="H1" s="26"/>
      <c r="I1" s="26"/>
      <c r="J1" s="26"/>
      <c r="K1" s="26"/>
    </row>
    <row r="2" ht="40" customHeight="1" spans="2:11">
      <c r="C2" s="4" t="s">
        <v>234</v>
      </c>
      <c r="D2" s="27"/>
      <c r="E2" s="47"/>
      <c r="F2" s="47"/>
      <c r="G2" s="26"/>
      <c r="H2" s="26"/>
      <c r="I2" s="26"/>
      <c r="J2" s="26"/>
      <c r="K2" s="26"/>
    </row>
    <row r="3" ht="30" customHeight="1" spans="2:11">
      <c r="C3" s="26"/>
      <c r="D3" s="27"/>
      <c r="E3" s="47"/>
      <c r="F3" s="47"/>
      <c r="G3" s="26"/>
      <c r="H3" s="26"/>
      <c r="I3" s="26"/>
      <c r="J3" s="26"/>
      <c r="K3" s="26"/>
    </row>
    <row r="4" ht="30" customHeight="1" spans="2:11">
      <c r="C4" s="7" t="s">
        <v>38</v>
      </c>
      <c r="D4" s="8" t="s">
        <v>235</v>
      </c>
      <c r="E4" s="64" t="s">
        <v>236</v>
      </c>
      <c r="F4" s="64" t="s">
        <v>211</v>
      </c>
      <c r="G4" s="7" t="s">
        <v>237</v>
      </c>
      <c r="H4" s="7" t="s">
        <v>238</v>
      </c>
      <c r="I4" s="7" t="s">
        <v>239</v>
      </c>
      <c r="J4" s="7" t="s">
        <v>240</v>
      </c>
      <c r="K4" s="7" t="s">
        <v>241</v>
      </c>
    </row>
    <row r="5" customHeight="1" spans="2:11">
      <c r="B5">
        <v>302</v>
      </c>
      <c r="C5" s="1" t="s">
        <v>149</v>
      </c>
      <c r="D5" s="62" t="s">
        <v>242</v>
      </c>
      <c r="F5" s="63" t="s">
        <v>212</v>
      </c>
      <c r="G5" s="1">
        <v>0</v>
      </c>
      <c r="H5" s="1">
        <v>0</v>
      </c>
      <c r="I5" s="1">
        <v>0</v>
      </c>
      <c r="J5" s="1">
        <v>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5"/>
  <sheetViews>
    <sheetView showGridLines="0" workbookViewId="0">
      <pane ySplit="4" topLeftCell="A5" activePane="bottomLeft" state="frozen"/>
      <selection/>
      <selection pane="bottomLeft" activeCell="G9" sqref="G9"/>
    </sheetView>
  </sheetViews>
  <sheetFormatPr defaultColWidth="9" defaultRowHeight="20" customHeight="1" outlineLevelRow="4"/>
  <cols>
    <col min="1" max="1" width="4.625" style="26" customWidth="1"/>
    <col min="2" max="2" width="4.625" style="26" hidden="1" customWidth="1"/>
    <col min="3" max="49" width="12.625" style="1" customWidth="1"/>
    <col min="50" max="16384" width="9" style="26"/>
  </cols>
  <sheetData>
    <row r="1" s="26" customFormat="1" ht="54.75" customHeight="1"/>
    <row r="2" s="26" customFormat="1" ht="40" customHeight="1" spans="3:49">
      <c r="C2" s="4" t="s">
        <v>243</v>
      </c>
    </row>
    <row r="3" s="26" customFormat="1" ht="30" customHeight="1"/>
    <row r="4" s="26" customFormat="1" ht="30" customHeight="1" spans="3:49">
      <c r="C4" s="7" t="s">
        <v>47</v>
      </c>
      <c r="D4" s="7" t="s">
        <v>244</v>
      </c>
      <c r="E4" s="7" t="s">
        <v>59</v>
      </c>
      <c r="F4" s="7" t="s">
        <v>60</v>
      </c>
      <c r="G4" s="7" t="s">
        <v>100</v>
      </c>
      <c r="H4" s="7" t="s">
        <v>101</v>
      </c>
      <c r="I4" s="7" t="s">
        <v>102</v>
      </c>
      <c r="J4" s="7" t="s">
        <v>103</v>
      </c>
      <c r="K4" s="7" t="s">
        <v>104</v>
      </c>
      <c r="L4" s="7" t="s">
        <v>105</v>
      </c>
      <c r="M4" s="7" t="s">
        <v>106</v>
      </c>
      <c r="N4" s="7" t="s">
        <v>107</v>
      </c>
      <c r="O4" s="7" t="s">
        <v>108</v>
      </c>
      <c r="P4" s="7" t="s">
        <v>109</v>
      </c>
      <c r="Q4" s="7" t="s">
        <v>43</v>
      </c>
      <c r="R4" s="7" t="s">
        <v>110</v>
      </c>
      <c r="S4" s="7" t="s">
        <v>111</v>
      </c>
      <c r="T4" s="7" t="s">
        <v>112</v>
      </c>
      <c r="U4" s="7" t="s">
        <v>113</v>
      </c>
      <c r="V4" s="7" t="s">
        <v>114</v>
      </c>
      <c r="W4" s="7" t="s">
        <v>115</v>
      </c>
      <c r="X4" s="7" t="s">
        <v>116</v>
      </c>
      <c r="Y4" s="7" t="s">
        <v>117</v>
      </c>
      <c r="Z4" s="7" t="s">
        <v>118</v>
      </c>
      <c r="AA4" s="7" t="s">
        <v>119</v>
      </c>
      <c r="AB4" s="7" t="s">
        <v>120</v>
      </c>
      <c r="AC4" s="7" t="s">
        <v>121</v>
      </c>
      <c r="AD4" s="7" t="s">
        <v>122</v>
      </c>
      <c r="AE4" s="7" t="s">
        <v>123</v>
      </c>
      <c r="AF4" s="7" t="s">
        <v>124</v>
      </c>
      <c r="AG4" s="7" t="s">
        <v>125</v>
      </c>
      <c r="AH4" s="7" t="s">
        <v>126</v>
      </c>
      <c r="AI4" s="7" t="s">
        <v>127</v>
      </c>
      <c r="AJ4" s="7" t="s">
        <v>128</v>
      </c>
      <c r="AK4" s="7" t="s">
        <v>129</v>
      </c>
      <c r="AL4" s="7" t="s">
        <v>130</v>
      </c>
      <c r="AM4" s="7" t="s">
        <v>208</v>
      </c>
      <c r="AN4" s="7" t="s">
        <v>123</v>
      </c>
      <c r="AO4" s="7" t="s">
        <v>124</v>
      </c>
      <c r="AP4" s="7" t="s">
        <v>131</v>
      </c>
      <c r="AQ4" s="7" t="s">
        <v>132</v>
      </c>
      <c r="AR4" s="7" t="s">
        <v>133</v>
      </c>
      <c r="AS4" s="7" t="s">
        <v>134</v>
      </c>
      <c r="AT4" s="7" t="s">
        <v>135</v>
      </c>
      <c r="AU4" s="7" t="s">
        <v>136</v>
      </c>
      <c r="AV4" s="7" t="s">
        <v>137</v>
      </c>
      <c r="AW4" s="7" t="s">
        <v>138</v>
      </c>
    </row>
    <row r="5" customHeight="1" spans="3:49">
      <c r="D5" s="1">
        <v>1</v>
      </c>
      <c r="E5" s="1">
        <v>0</v>
      </c>
      <c r="F5" s="1">
        <v>0</v>
      </c>
      <c r="G5" s="1">
        <v>0</v>
      </c>
      <c r="H5" s="1">
        <v>0</v>
      </c>
      <c r="I5" s="1">
        <v>0</v>
      </c>
      <c r="J5" s="1">
        <v>0</v>
      </c>
      <c r="K5" s="1">
        <v>0</v>
      </c>
      <c r="L5" s="1">
        <v>0</v>
      </c>
      <c r="M5" s="1">
        <v>0</v>
      </c>
      <c r="N5" s="1">
        <v>0</v>
      </c>
      <c r="O5" s="1">
        <v>0</v>
      </c>
      <c r="P5" s="1">
        <v>0</v>
      </c>
      <c r="Q5" s="1">
        <v>0</v>
      </c>
      <c r="R5" s="1">
        <v>0</v>
      </c>
      <c r="S5" s="1">
        <v>0</v>
      </c>
      <c r="T5" s="1">
        <v>0.2</v>
      </c>
      <c r="U5" s="1">
        <v>0</v>
      </c>
      <c r="V5" s="1">
        <v>0.02</v>
      </c>
      <c r="W5" s="1">
        <v>0</v>
      </c>
      <c r="X5" s="1">
        <v>0</v>
      </c>
      <c r="Y5" s="1">
        <v>0</v>
      </c>
      <c r="Z5" s="1">
        <v>0</v>
      </c>
      <c r="AA5" s="1">
        <v>0</v>
      </c>
      <c r="AB5" s="1">
        <v>0</v>
      </c>
      <c r="AC5" s="1">
        <v>0</v>
      </c>
      <c r="AD5" s="1">
        <v>0</v>
      </c>
      <c r="AE5" s="1">
        <v>0</v>
      </c>
      <c r="AF5" s="1">
        <v>0</v>
      </c>
      <c r="AG5" s="1">
        <v>0</v>
      </c>
      <c r="AH5" s="1">
        <v>0</v>
      </c>
      <c r="AI5" s="1">
        <v>0</v>
      </c>
      <c r="AJ5" s="1">
        <v>0</v>
      </c>
      <c r="AK5" s="1">
        <v>0</v>
      </c>
      <c r="AL5" s="1">
        <v>0</v>
      </c>
      <c r="AM5" s="1">
        <v>0</v>
      </c>
      <c r="AN5" s="1">
        <v>0</v>
      </c>
      <c r="AO5" s="1">
        <v>0</v>
      </c>
      <c r="AP5" s="1">
        <v>0</v>
      </c>
      <c r="AQ5" s="1">
        <v>0</v>
      </c>
      <c r="AR5" s="1">
        <v>0</v>
      </c>
      <c r="AS5" s="1">
        <v>0</v>
      </c>
      <c r="AT5" s="1">
        <v>0</v>
      </c>
      <c r="AU5" s="1">
        <v>0</v>
      </c>
      <c r="AV5" s="1">
        <v>0</v>
      </c>
      <c r="AW5" s="1">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I10" sqref="I10"/>
    </sheetView>
  </sheetViews>
  <sheetFormatPr defaultColWidth="9" defaultRowHeight="20" customHeight="1" outlineLevelRow="7"/>
  <cols>
    <col min="1" max="1" width="4.625" style="26" customWidth="1"/>
    <col min="2" max="2" width="4.625" style="26" hidden="1" customWidth="1"/>
    <col min="3" max="13" width="12.625" style="1" customWidth="1"/>
    <col min="14" max="16384" width="9" style="26"/>
  </cols>
  <sheetData>
    <row r="1" s="26" customFormat="1" ht="54.75" customHeight="1"/>
    <row r="2" s="26" customFormat="1" ht="40" customHeight="1" spans="3:13">
      <c r="C2" s="4" t="s">
        <v>245</v>
      </c>
    </row>
    <row r="3" s="26" customFormat="1" ht="30" customHeight="1"/>
    <row r="4" s="26" customFormat="1" ht="30" customHeight="1" spans="3:13">
      <c r="C4" s="7" t="s">
        <v>47</v>
      </c>
      <c r="D4" s="7" t="s">
        <v>116</v>
      </c>
      <c r="E4" s="7" t="s">
        <v>126</v>
      </c>
      <c r="F4" s="7" t="s">
        <v>140</v>
      </c>
      <c r="G4" s="7" t="s">
        <v>117</v>
      </c>
      <c r="H4" s="7" t="s">
        <v>127</v>
      </c>
      <c r="I4" s="7" t="s">
        <v>141</v>
      </c>
      <c r="J4" s="7" t="s">
        <v>119</v>
      </c>
      <c r="K4" s="7" t="s">
        <v>120</v>
      </c>
      <c r="L4" s="7" t="s">
        <v>142</v>
      </c>
      <c r="M4" s="7" t="s">
        <v>143</v>
      </c>
    </row>
    <row r="5" s="26" customFormat="1" customHeight="1" spans="3:13">
      <c r="C5" s="1"/>
      <c r="D5" s="1">
        <v>0</v>
      </c>
      <c r="E5" s="1">
        <v>0</v>
      </c>
      <c r="F5" s="1">
        <v>0</v>
      </c>
      <c r="G5" s="1">
        <v>0</v>
      </c>
      <c r="H5" s="1">
        <v>0</v>
      </c>
      <c r="I5" s="1">
        <v>0</v>
      </c>
      <c r="J5" s="1">
        <v>0</v>
      </c>
      <c r="K5" s="1">
        <v>0</v>
      </c>
      <c r="L5" s="1">
        <v>0</v>
      </c>
      <c r="M5" s="1">
        <v>0</v>
      </c>
    </row>
    <row r="6" s="26" customFormat="1" customHeight="1" spans="3:13">
      <c r="C6" s="1"/>
      <c r="D6" s="1"/>
      <c r="E6" s="1"/>
      <c r="F6" s="1"/>
      <c r="G6" s="1"/>
      <c r="H6" s="1"/>
      <c r="I6" s="1"/>
      <c r="J6" s="1"/>
      <c r="K6" s="1"/>
      <c r="L6" s="1"/>
      <c r="M6" s="1"/>
    </row>
    <row r="7" s="26" customFormat="1" customHeight="1" spans="3:13">
      <c r="C7" s="1"/>
      <c r="D7" s="1"/>
      <c r="E7" s="1"/>
      <c r="F7" s="1"/>
      <c r="G7" s="1"/>
      <c r="H7" s="1"/>
      <c r="I7" s="1"/>
      <c r="J7" s="1"/>
      <c r="K7" s="1"/>
      <c r="L7" s="1"/>
      <c r="M7" s="1"/>
    </row>
    <row r="8" s="26"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E7" sqref="E6:E7"/>
    </sheetView>
  </sheetViews>
  <sheetFormatPr defaultColWidth="9" defaultRowHeight="20" customHeight="1"/>
  <cols>
    <col min="1" max="1" width="4.625" style="26" customWidth="1"/>
    <col min="2" max="2" width="4.625" style="26" hidden="1" customWidth="1"/>
    <col min="3" max="5" width="12.625" style="1" customWidth="1"/>
    <col min="6" max="6" width="12.625" style="63" customWidth="1"/>
    <col min="7" max="7" width="12.625" style="1" customWidth="1"/>
    <col min="8" max="8" width="12.625" style="63" customWidth="1"/>
    <col min="9" max="12" width="12.625" style="1" customWidth="1"/>
    <col min="13" max="13" width="12.625" style="63" customWidth="1"/>
    <col min="14" max="28" width="12.625" style="1" customWidth="1"/>
    <col min="29" max="16384" width="9" style="26"/>
  </cols>
  <sheetData>
    <row r="1" s="26" customFormat="1" ht="54.75" customHeight="1" spans="3:28">
      <c r="F1" s="47"/>
      <c r="H1" s="47"/>
      <c r="M1" s="47"/>
    </row>
    <row r="2" s="26" customFormat="1" ht="40" customHeight="1" spans="3:28">
      <c r="C2" s="4" t="s">
        <v>246</v>
      </c>
      <c r="F2" s="47"/>
      <c r="H2" s="47"/>
      <c r="M2" s="47"/>
    </row>
    <row r="3" s="26" customFormat="1" ht="30" customHeight="1" spans="3:28">
      <c r="F3" s="47"/>
      <c r="H3" s="47"/>
      <c r="M3" s="47"/>
    </row>
    <row r="4" s="26" customFormat="1" ht="30" customHeight="1" spans="3:28">
      <c r="C4" s="7" t="s">
        <v>38</v>
      </c>
      <c r="D4" s="7" t="s">
        <v>47</v>
      </c>
      <c r="E4" s="7" t="s">
        <v>48</v>
      </c>
      <c r="F4" s="64" t="s">
        <v>51</v>
      </c>
      <c r="G4" s="7" t="s">
        <v>59</v>
      </c>
      <c r="H4" s="64" t="s">
        <v>61</v>
      </c>
      <c r="I4" s="7" t="s">
        <v>62</v>
      </c>
      <c r="J4" s="7" t="s">
        <v>63</v>
      </c>
      <c r="K4" s="7" t="s">
        <v>52</v>
      </c>
      <c r="L4" s="7" t="s">
        <v>53</v>
      </c>
      <c r="M4" s="64" t="s">
        <v>54</v>
      </c>
      <c r="N4" s="7" t="s">
        <v>55</v>
      </c>
      <c r="O4" s="7" t="s">
        <v>56</v>
      </c>
      <c r="P4" s="7" t="s">
        <v>57</v>
      </c>
      <c r="Q4" s="7" t="s">
        <v>58</v>
      </c>
      <c r="R4" s="7" t="s">
        <v>60</v>
      </c>
      <c r="S4" s="7" t="s">
        <v>73</v>
      </c>
      <c r="T4" s="7" t="s">
        <v>64</v>
      </c>
      <c r="U4" s="7" t="s">
        <v>65</v>
      </c>
      <c r="V4" s="7" t="s">
        <v>66</v>
      </c>
      <c r="W4" s="7" t="s">
        <v>67</v>
      </c>
      <c r="X4" s="7" t="s">
        <v>68</v>
      </c>
      <c r="Y4" s="7" t="s">
        <v>69</v>
      </c>
      <c r="Z4" s="7" t="s">
        <v>70</v>
      </c>
      <c r="AA4" s="7" t="s">
        <v>71</v>
      </c>
      <c r="AB4" s="7" t="s">
        <v>72</v>
      </c>
    </row>
    <row r="5" s="26" customFormat="1" customHeight="1" spans="3:28">
      <c r="C5" s="1" t="s">
        <v>74</v>
      </c>
      <c r="D5" s="1" t="s">
        <v>75</v>
      </c>
      <c r="E5" s="1" t="s">
        <v>76</v>
      </c>
      <c r="F5" s="63" t="s">
        <v>79</v>
      </c>
      <c r="G5" s="1">
        <v>9000</v>
      </c>
      <c r="H5" s="63" t="s">
        <v>86</v>
      </c>
      <c r="I5" s="67">
        <v>43922</v>
      </c>
      <c r="J5" s="1">
        <v>3</v>
      </c>
      <c r="K5" s="1" t="s">
        <v>80</v>
      </c>
      <c r="L5" s="1" t="s">
        <v>81</v>
      </c>
      <c r="M5" s="63" t="s">
        <v>82</v>
      </c>
      <c r="N5" s="67" t="s">
        <v>83</v>
      </c>
      <c r="O5" s="67">
        <v>45583</v>
      </c>
      <c r="P5" s="1" t="s">
        <v>84</v>
      </c>
      <c r="Q5" s="1" t="s">
        <v>85</v>
      </c>
      <c r="R5" s="1">
        <v>2000</v>
      </c>
      <c r="S5" s="1" t="s">
        <v>87</v>
      </c>
      <c r="T5" s="1"/>
      <c r="U5" s="1"/>
      <c r="V5" s="1"/>
      <c r="W5" s="1"/>
      <c r="X5" s="1"/>
      <c r="Y5" s="1"/>
      <c r="Z5" s="1"/>
      <c r="AA5" s="1"/>
      <c r="AB5" s="1"/>
    </row>
    <row r="6" s="26" customFormat="1" customHeight="1" spans="3:28">
      <c r="C6" s="1"/>
      <c r="D6" s="1"/>
      <c r="E6" s="1"/>
      <c r="F6" s="63"/>
      <c r="G6" s="1"/>
      <c r="H6" s="63"/>
      <c r="I6" s="67"/>
      <c r="J6" s="1"/>
      <c r="K6" s="1"/>
      <c r="L6" s="1"/>
      <c r="M6" s="63"/>
      <c r="N6" s="67"/>
      <c r="O6" s="67"/>
      <c r="P6" s="1"/>
      <c r="Q6" s="1"/>
      <c r="R6" s="1"/>
      <c r="S6" s="1"/>
      <c r="T6" s="1"/>
      <c r="U6" s="1"/>
      <c r="V6" s="1"/>
      <c r="W6" s="1"/>
      <c r="X6" s="1"/>
      <c r="Y6" s="1"/>
      <c r="Z6" s="1"/>
      <c r="AA6" s="1"/>
      <c r="AB6" s="1"/>
    </row>
    <row r="7" s="26" customFormat="1" customHeight="1" spans="3:28">
      <c r="C7" s="1"/>
      <c r="D7" s="1"/>
      <c r="E7" s="1"/>
      <c r="F7" s="63"/>
      <c r="G7" s="1"/>
      <c r="H7" s="63"/>
      <c r="I7" s="67"/>
      <c r="J7" s="1"/>
      <c r="K7" s="1"/>
      <c r="L7" s="1"/>
      <c r="M7" s="63"/>
      <c r="N7" s="67"/>
      <c r="O7" s="67"/>
      <c r="P7" s="1"/>
      <c r="Q7" s="1"/>
      <c r="R7" s="1"/>
      <c r="S7" s="1"/>
      <c r="T7" s="1"/>
      <c r="U7" s="1"/>
      <c r="V7" s="1"/>
      <c r="W7" s="1"/>
      <c r="X7" s="1"/>
      <c r="Y7" s="1"/>
      <c r="Z7" s="1"/>
      <c r="AA7" s="1"/>
      <c r="AB7" s="1"/>
    </row>
    <row r="8" s="26" customFormat="1" customHeight="1" spans="3:28">
      <c r="C8" s="1"/>
      <c r="D8" s="1"/>
      <c r="E8" s="1"/>
      <c r="F8" s="63"/>
      <c r="G8" s="1"/>
      <c r="H8" s="63"/>
      <c r="I8" s="67"/>
      <c r="J8" s="1"/>
      <c r="K8" s="1"/>
      <c r="L8" s="1"/>
      <c r="M8" s="63"/>
      <c r="N8" s="67"/>
      <c r="O8" s="67"/>
      <c r="P8" s="1"/>
      <c r="Q8" s="1"/>
      <c r="R8" s="1"/>
      <c r="S8" s="67"/>
      <c r="T8" s="1"/>
      <c r="U8" s="1"/>
      <c r="V8" s="1"/>
      <c r="W8" s="1"/>
      <c r="X8" s="1"/>
      <c r="Y8" s="1"/>
      <c r="Z8" s="1"/>
      <c r="AA8" s="1"/>
      <c r="AB8" s="1"/>
    </row>
    <row r="9" customHeight="1" spans="3:28">
      <c r="I9" s="67"/>
      <c r="N9" s="67"/>
      <c r="O9" s="67"/>
      <c r="S9" s="67"/>
    </row>
    <row r="10" customHeight="1" spans="3:28">
      <c r="I10" s="67"/>
      <c r="N10" s="67"/>
      <c r="O10" s="67"/>
      <c r="S10" s="67"/>
    </row>
    <row r="11" customHeight="1" spans="3:28">
      <c r="I11" s="67"/>
      <c r="N11" s="67"/>
      <c r="O11" s="67"/>
      <c r="Y11" s="67"/>
    </row>
    <row r="12" customHeight="1" spans="3:28">
      <c r="I12" s="67"/>
      <c r="N12" s="67"/>
      <c r="O12" s="67"/>
    </row>
    <row r="13" customHeight="1" spans="3:28">
      <c r="I13" s="67"/>
      <c r="N13" s="67"/>
      <c r="O13" s="67"/>
    </row>
    <row r="14" customHeight="1" spans="3:28">
      <c r="I14" s="67"/>
      <c r="N14" s="67"/>
      <c r="O14" s="67"/>
    </row>
    <row r="15" customHeight="1" spans="3:28">
      <c r="I15" s="67"/>
      <c r="O15" s="67"/>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9" sqref="E9"/>
    </sheetView>
  </sheetViews>
  <sheetFormatPr defaultColWidth="9" defaultRowHeight="20" customHeight="1" outlineLevelCol="5"/>
  <cols>
    <col min="1" max="1" width="4.625" style="26" customWidth="1"/>
    <col min="2" max="2" width="4.625" style="26" hidden="1" customWidth="1"/>
    <col min="3" max="5" width="12.625" style="1" customWidth="1"/>
    <col min="6" max="6" width="15.25" style="1" customWidth="1"/>
    <col min="7" max="16384" width="9" style="26"/>
  </cols>
  <sheetData>
    <row r="1" s="26" customFormat="1" ht="54.75" customHeight="1" spans="3:6">
      <c r="F1" s="47"/>
    </row>
    <row r="2" s="26" customFormat="1" ht="40" customHeight="1" spans="3:6">
      <c r="C2" s="4" t="s">
        <v>247</v>
      </c>
      <c r="F2" s="47"/>
    </row>
    <row r="3" s="26" customFormat="1" ht="30" customHeight="1" spans="3:6">
      <c r="F3" s="47"/>
    </row>
    <row r="4" s="26" customFormat="1" ht="30" customHeight="1" spans="3:6">
      <c r="C4" s="7" t="s">
        <v>134</v>
      </c>
      <c r="D4" s="7" t="s">
        <v>248</v>
      </c>
      <c r="E4" s="7" t="s">
        <v>249</v>
      </c>
      <c r="F4" s="64" t="s">
        <v>192</v>
      </c>
    </row>
    <row r="5" s="26" customFormat="1" customHeight="1" spans="3:6">
      <c r="C5" s="1">
        <v>0</v>
      </c>
      <c r="D5" s="1">
        <v>0</v>
      </c>
      <c r="E5" s="1">
        <v>1</v>
      </c>
      <c r="F5" s="1">
        <v>0</v>
      </c>
    </row>
    <row r="6" s="26" customFormat="1" customHeight="1" spans="3:6">
      <c r="C6" s="1" t="s">
        <v>250</v>
      </c>
      <c r="D6" s="1">
        <f>SUM(D5:D5)</f>
        <v>0</v>
      </c>
      <c r="E6" s="1">
        <f>SUM(E5:E5)</f>
        <v>1</v>
      </c>
      <c r="F6" s="1">
        <f>SUM(F5:F5)</f>
        <v>0</v>
      </c>
    </row>
    <row r="7" s="26" customFormat="1" customHeight="1" spans="3:6">
      <c r="C7" s="1"/>
      <c r="D7" s="1"/>
      <c r="E7" s="1"/>
      <c r="F7" s="1"/>
    </row>
    <row r="8" s="26" customFormat="1" customHeight="1" spans="3:6">
      <c r="C8" s="1"/>
      <c r="D8" s="1"/>
      <c r="E8" s="1"/>
      <c r="F8" s="1"/>
    </row>
    <row r="9" s="26" customFormat="1" customHeight="1" spans="3:6">
      <c r="C9" s="1"/>
      <c r="D9" s="1"/>
      <c r="E9" s="1"/>
      <c r="F9" s="1"/>
    </row>
    <row r="10" s="26" customFormat="1" customHeight="1" spans="3:6">
      <c r="C10" s="1"/>
      <c r="D10" s="1"/>
      <c r="E10" s="1"/>
      <c r="F10" s="1"/>
    </row>
    <row r="11" s="26" customFormat="1" customHeight="1" spans="3:6">
      <c r="C11" s="1"/>
      <c r="D11" s="1"/>
      <c r="E11" s="1"/>
      <c r="F11" s="1"/>
    </row>
    <row r="12" s="26" customFormat="1" customHeight="1" spans="3:6">
      <c r="C12" s="1"/>
      <c r="D12" s="1"/>
      <c r="E12" s="1"/>
      <c r="F12" s="1"/>
    </row>
    <row r="13" s="26" customFormat="1" customHeight="1" spans="3:6">
      <c r="C13" s="1"/>
      <c r="D13" s="1"/>
      <c r="E13" s="1"/>
      <c r="F13" s="1"/>
    </row>
    <row r="14" s="26"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5"/>
  <sheetViews>
    <sheetView showGridLines="0" workbookViewId="0">
      <pane ySplit="4" topLeftCell="A5" activePane="bottomLeft" state="frozen"/>
      <selection/>
      <selection pane="bottomLeft" activeCell="F8" sqref="F8"/>
    </sheetView>
  </sheetViews>
  <sheetFormatPr defaultColWidth="9" defaultRowHeight="20" customHeight="1" outlineLevelRow="4"/>
  <cols>
    <col min="1" max="1" width="4.625" style="26" customWidth="1"/>
    <col min="2" max="2" width="4.625" style="26" hidden="1" customWidth="1"/>
    <col min="3" max="5" width="12.625" style="1" customWidth="1"/>
    <col min="6" max="6" width="23.375" style="63" customWidth="1"/>
    <col min="7" max="7" width="15.25" style="73" customWidth="1"/>
    <col min="8" max="53" width="15.25" style="1" customWidth="1"/>
    <col min="54" max="16384" width="9" style="26"/>
  </cols>
  <sheetData>
    <row r="1" ht="54.75" customHeight="1" spans="3:53">
      <c r="C1" s="47"/>
      <c r="D1" s="47"/>
      <c r="E1" s="47"/>
      <c r="F1" s="47"/>
      <c r="G1" s="74"/>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row>
    <row r="2" ht="40" customHeight="1" spans="3:53">
      <c r="C2" s="4" t="s">
        <v>251</v>
      </c>
      <c r="D2" s="47"/>
      <c r="E2" s="47"/>
      <c r="F2" s="47"/>
      <c r="G2" s="74"/>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row>
    <row r="3" ht="30" customHeight="1" spans="3:53">
      <c r="C3" s="47"/>
      <c r="D3" s="47"/>
      <c r="E3" s="47"/>
      <c r="F3" s="47"/>
      <c r="G3" s="74"/>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row>
    <row r="4" ht="30" customHeight="1" spans="3:53">
      <c r="C4" s="7" t="s">
        <v>38</v>
      </c>
      <c r="D4" s="7" t="s">
        <v>47</v>
      </c>
      <c r="E4" s="7" t="s">
        <v>97</v>
      </c>
      <c r="F4" s="64" t="s">
        <v>51</v>
      </c>
      <c r="G4" s="75" t="s">
        <v>62</v>
      </c>
      <c r="H4" s="7" t="s">
        <v>59</v>
      </c>
      <c r="I4" s="7" t="s">
        <v>60</v>
      </c>
      <c r="J4" s="7" t="s">
        <v>100</v>
      </c>
      <c r="K4" s="7" t="s">
        <v>252</v>
      </c>
      <c r="L4" s="7" t="s">
        <v>102</v>
      </c>
      <c r="M4" s="7" t="s">
        <v>103</v>
      </c>
      <c r="N4" s="7" t="s">
        <v>104</v>
      </c>
      <c r="O4" s="7" t="s">
        <v>105</v>
      </c>
      <c r="P4" s="7" t="s">
        <v>106</v>
      </c>
      <c r="Q4" s="7" t="s">
        <v>107</v>
      </c>
      <c r="R4" s="7" t="s">
        <v>108</v>
      </c>
      <c r="S4" s="7" t="s">
        <v>109</v>
      </c>
      <c r="T4" s="7" t="s">
        <v>43</v>
      </c>
      <c r="U4" s="7" t="s">
        <v>110</v>
      </c>
      <c r="V4" s="7" t="s">
        <v>111</v>
      </c>
      <c r="W4" s="7" t="s">
        <v>112</v>
      </c>
      <c r="X4" s="7" t="s">
        <v>113</v>
      </c>
      <c r="Y4" s="7" t="s">
        <v>114</v>
      </c>
      <c r="Z4" s="7" t="s">
        <v>115</v>
      </c>
      <c r="AA4" s="7" t="s">
        <v>116</v>
      </c>
      <c r="AB4" s="7" t="s">
        <v>117</v>
      </c>
      <c r="AC4" s="7" t="s">
        <v>118</v>
      </c>
      <c r="AD4" s="7" t="s">
        <v>119</v>
      </c>
      <c r="AE4" s="7" t="s">
        <v>120</v>
      </c>
      <c r="AF4" s="7" t="s">
        <v>121</v>
      </c>
      <c r="AG4" s="7" t="s">
        <v>122</v>
      </c>
      <c r="AH4" s="7" t="s">
        <v>123</v>
      </c>
      <c r="AI4" s="7" t="s">
        <v>124</v>
      </c>
      <c r="AJ4" s="7" t="s">
        <v>125</v>
      </c>
      <c r="AK4" s="7" t="s">
        <v>126</v>
      </c>
      <c r="AL4" s="7" t="s">
        <v>127</v>
      </c>
      <c r="AM4" s="7" t="s">
        <v>128</v>
      </c>
      <c r="AN4" s="7" t="s">
        <v>207</v>
      </c>
      <c r="AO4" s="7" t="s">
        <v>130</v>
      </c>
      <c r="AP4" s="7" t="s">
        <v>208</v>
      </c>
      <c r="AQ4" s="7" t="s">
        <v>123</v>
      </c>
      <c r="AR4" s="7" t="s">
        <v>124</v>
      </c>
      <c r="AS4" s="7" t="s">
        <v>131</v>
      </c>
      <c r="AT4" s="7" t="s">
        <v>132</v>
      </c>
      <c r="AU4" s="7" t="s">
        <v>133</v>
      </c>
      <c r="AV4" s="7" t="s">
        <v>134</v>
      </c>
      <c r="AW4" s="7" t="s">
        <v>135</v>
      </c>
      <c r="AX4" s="7" t="s">
        <v>136</v>
      </c>
      <c r="AY4" s="7" t="s">
        <v>209</v>
      </c>
      <c r="AZ4" s="7" t="s">
        <v>138</v>
      </c>
      <c r="BA4" s="7" t="s">
        <v>210</v>
      </c>
    </row>
    <row r="5" customHeight="1" spans="3:53">
      <c r="C5" s="1" t="s">
        <v>149</v>
      </c>
      <c r="H5" s="1">
        <v>0</v>
      </c>
      <c r="I5" s="1">
        <v>0</v>
      </c>
      <c r="J5" s="1">
        <v>0</v>
      </c>
      <c r="K5" s="1">
        <v>0</v>
      </c>
      <c r="N5" s="1">
        <v>0</v>
      </c>
      <c r="O5" s="1">
        <v>0</v>
      </c>
      <c r="P5" s="1">
        <v>0</v>
      </c>
      <c r="Q5" s="1">
        <v>0</v>
      </c>
      <c r="R5" s="1">
        <v>0</v>
      </c>
      <c r="S5" s="1">
        <v>0</v>
      </c>
      <c r="T5" s="1">
        <v>0</v>
      </c>
      <c r="U5" s="1">
        <v>0</v>
      </c>
      <c r="V5" s="1">
        <v>0</v>
      </c>
      <c r="W5" s="1">
        <v>0.2</v>
      </c>
      <c r="Y5" s="1">
        <v>0.02</v>
      </c>
      <c r="AA5" s="1">
        <v>0</v>
      </c>
      <c r="AB5" s="1">
        <v>0</v>
      </c>
      <c r="AC5" s="1">
        <v>0</v>
      </c>
      <c r="AD5" s="1">
        <v>0</v>
      </c>
      <c r="AE5" s="1">
        <v>0</v>
      </c>
      <c r="AF5" s="1">
        <v>0</v>
      </c>
      <c r="AG5" s="1">
        <v>0</v>
      </c>
      <c r="AJ5" s="1">
        <v>0</v>
      </c>
      <c r="AK5" s="1">
        <v>0</v>
      </c>
      <c r="AL5" s="1">
        <v>0</v>
      </c>
      <c r="AM5" s="1">
        <v>0</v>
      </c>
      <c r="AN5" s="1">
        <v>0</v>
      </c>
      <c r="AO5" s="1">
        <v>0</v>
      </c>
      <c r="AP5" s="1">
        <v>0</v>
      </c>
      <c r="AS5" s="1">
        <v>0</v>
      </c>
      <c r="AT5" s="1">
        <v>0</v>
      </c>
      <c r="AU5" s="1">
        <v>0</v>
      </c>
      <c r="AV5" s="1">
        <v>0</v>
      </c>
      <c r="AW5" s="1">
        <v>0</v>
      </c>
      <c r="AX5" s="1">
        <v>0</v>
      </c>
      <c r="AZ5" s="1">
        <v>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8">
        <v>12</v>
      </c>
      <c r="C1" s="69">
        <v>1</v>
      </c>
      <c r="D1" s="26">
        <f>WEEKDAY(C1)</f>
        <v>1</v>
      </c>
      <c r="E1" s="68"/>
    </row>
    <row r="2" ht="40" customHeight="1" spans="2:12">
      <c r="C2" s="4" t="s">
        <v>253</v>
      </c>
    </row>
    <row r="3" ht="30" customHeight="1"/>
    <row r="4" ht="30" customHeight="1" spans="2:12">
      <c r="C4" s="48" t="s">
        <v>254</v>
      </c>
      <c r="D4" s="48" t="s">
        <v>255</v>
      </c>
      <c r="E4" s="48" t="s">
        <v>256</v>
      </c>
      <c r="F4" s="57" t="s">
        <v>257</v>
      </c>
      <c r="G4" s="70" t="s">
        <v>258</v>
      </c>
      <c r="H4" s="48" t="s">
        <v>259</v>
      </c>
      <c r="I4" s="48" t="s">
        <v>260</v>
      </c>
    </row>
    <row r="5" customHeight="1" spans="2:12">
      <c r="C5" s="1">
        <v>1</v>
      </c>
      <c r="D5" s="1">
        <v>2</v>
      </c>
      <c r="E5" s="1">
        <v>3</v>
      </c>
      <c r="F5" s="1">
        <v>4</v>
      </c>
      <c r="G5" s="1">
        <v>5</v>
      </c>
      <c r="H5" s="1">
        <v>6</v>
      </c>
      <c r="I5" s="1">
        <v>7</v>
      </c>
      <c r="K5" s="71" t="s">
        <v>172</v>
      </c>
      <c r="L5" s="71">
        <v>36915</v>
      </c>
    </row>
    <row r="6" customHeight="1" spans="2:12">
      <c r="C6" s="1"/>
      <c r="D6" s="1"/>
      <c r="E6" s="67" t="s">
        <v>168</v>
      </c>
      <c r="F6" s="1"/>
      <c r="G6" s="1"/>
      <c r="H6" s="1"/>
      <c r="I6" s="1"/>
      <c r="K6" s="71" t="s">
        <v>168</v>
      </c>
      <c r="L6" s="71">
        <v>36894</v>
      </c>
    </row>
    <row r="7" customHeight="1" spans="2:12">
      <c r="C7" s="1">
        <v>8</v>
      </c>
      <c r="D7" s="1">
        <v>9</v>
      </c>
      <c r="E7" s="1">
        <v>10</v>
      </c>
      <c r="F7" s="1">
        <v>11</v>
      </c>
      <c r="G7" s="1">
        <v>12</v>
      </c>
      <c r="H7" s="1">
        <v>13</v>
      </c>
      <c r="I7" s="1">
        <v>14</v>
      </c>
      <c r="K7" t="s">
        <v>74</v>
      </c>
      <c r="L7" s="71"/>
    </row>
    <row r="8" customHeight="1" spans="2:12">
      <c r="C8" s="1"/>
      <c r="D8" s="1"/>
      <c r="E8" s="1"/>
      <c r="F8" s="1"/>
      <c r="G8" s="1"/>
      <c r="H8" s="1"/>
      <c r="I8" s="1"/>
    </row>
    <row r="9" customHeight="1" spans="2:12">
      <c r="C9" s="1">
        <v>15</v>
      </c>
      <c r="D9" s="1">
        <v>16</v>
      </c>
      <c r="E9" s="1">
        <v>17</v>
      </c>
      <c r="F9" s="1">
        <v>18</v>
      </c>
      <c r="G9" s="1">
        <v>19</v>
      </c>
      <c r="H9" s="1">
        <v>20</v>
      </c>
      <c r="I9" s="1">
        <v>21</v>
      </c>
    </row>
    <row r="10" customHeight="1" spans="2:12">
      <c r="C10" s="1"/>
      <c r="D10" s="1"/>
      <c r="E10" s="1"/>
      <c r="F10" s="1"/>
      <c r="G10" s="1"/>
      <c r="H10" s="1"/>
      <c r="I10" s="1"/>
    </row>
    <row r="11" customHeight="1" spans="2:12">
      <c r="C11" s="1">
        <v>22</v>
      </c>
      <c r="D11" s="1">
        <v>23</v>
      </c>
      <c r="E11" s="1">
        <v>24</v>
      </c>
      <c r="F11" s="1">
        <v>25</v>
      </c>
      <c r="G11" s="1">
        <v>26</v>
      </c>
      <c r="H11" s="1">
        <v>27</v>
      </c>
      <c r="I11" s="1">
        <v>28</v>
      </c>
    </row>
    <row r="12" customHeight="1" spans="2:12">
      <c r="C12" s="1"/>
      <c r="D12" s="1"/>
      <c r="E12" s="1" t="s">
        <v>172</v>
      </c>
      <c r="F12" s="1"/>
      <c r="G12" s="1"/>
      <c r="H12" s="1"/>
      <c r="I12" s="1"/>
    </row>
    <row r="13" customHeight="1" spans="2:12">
      <c r="C13" s="1">
        <v>29</v>
      </c>
      <c r="D13" s="1">
        <v>30</v>
      </c>
      <c r="E13" s="1">
        <v>31</v>
      </c>
      <c r="F13" s="1"/>
      <c r="G13" s="1"/>
      <c r="H13" s="1"/>
      <c r="I13" s="1"/>
    </row>
    <row r="14" customHeight="1" spans="2:12">
      <c r="C14" s="1"/>
      <c r="D14" s="1"/>
      <c r="E14" s="1"/>
      <c r="F14" s="1"/>
      <c r="G14" s="1"/>
      <c r="H14" s="1"/>
      <c r="I14" s="1"/>
    </row>
    <row r="15" customHeight="1" spans="2:12">
      <c r="C15" s="1"/>
      <c r="D15" s="1"/>
      <c r="E15" s="1"/>
      <c r="F15" s="63"/>
      <c r="G15" s="1"/>
      <c r="H15" s="1"/>
      <c r="I15" s="63"/>
    </row>
    <row r="16" customHeight="1" spans="2:12">
      <c r="C16" s="1"/>
      <c r="D16" s="1"/>
      <c r="E16" s="1"/>
      <c r="F16" s="63"/>
      <c r="G16" s="1"/>
      <c r="H16" s="1"/>
      <c r="I16" s="63"/>
    </row>
    <row r="17" customHeight="1" spans="3:9">
      <c r="C17" s="72"/>
      <c r="D17" s="72"/>
      <c r="E17" s="26"/>
      <c r="F17" s="26"/>
      <c r="G17" s="26"/>
      <c r="H17" s="26"/>
      <c r="I17" s="26"/>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1"/>
  <sheetViews>
    <sheetView showGridLines="0" workbookViewId="0">
      <pane ySplit="4" topLeftCell="A5" activePane="bottomLeft" state="frozen"/>
      <selection/>
      <selection pane="bottomLeft" activeCell="J10" sqref="J10"/>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6"/>
      <c r="E1" s="27"/>
      <c r="F1" s="47"/>
      <c r="G1" s="47"/>
      <c r="H1" s="26"/>
      <c r="I1" s="26"/>
      <c r="J1" s="26"/>
    </row>
    <row r="2" ht="40" customHeight="1" spans="2:11">
      <c r="D2" s="4" t="s">
        <v>261</v>
      </c>
      <c r="E2" s="27"/>
      <c r="F2" s="47"/>
      <c r="G2" s="47"/>
      <c r="H2" s="26"/>
      <c r="I2" s="26"/>
      <c r="J2" s="26"/>
    </row>
    <row r="3" ht="30" customHeight="1" spans="2:11">
      <c r="D3" s="26"/>
      <c r="E3" s="27"/>
      <c r="F3" s="47"/>
      <c r="G3" s="47"/>
      <c r="H3" s="26"/>
      <c r="I3" s="26"/>
      <c r="J3" s="26"/>
    </row>
    <row r="4" ht="30" customHeight="1" spans="2:11">
      <c r="D4" s="7" t="s">
        <v>38</v>
      </c>
      <c r="E4" s="8" t="s">
        <v>55</v>
      </c>
      <c r="F4" s="64" t="s">
        <v>262</v>
      </c>
      <c r="G4" s="64" t="s">
        <v>263</v>
      </c>
      <c r="H4" s="7" t="s">
        <v>264</v>
      </c>
      <c r="I4" s="7" t="s">
        <v>265</v>
      </c>
      <c r="J4" s="7" t="s">
        <v>72</v>
      </c>
      <c r="K4" s="7" t="s">
        <v>266</v>
      </c>
    </row>
    <row r="5" customHeight="1" spans="2:11">
      <c r="B5">
        <v>24</v>
      </c>
      <c r="C5" s="65" t="s">
        <v>267</v>
      </c>
      <c r="D5" s="1" t="s">
        <v>268</v>
      </c>
      <c r="E5" s="62" t="s">
        <v>269</v>
      </c>
      <c r="F5" s="63" t="s">
        <v>270</v>
      </c>
      <c r="G5" s="63" t="s">
        <v>271</v>
      </c>
      <c r="H5" s="1" t="s">
        <v>272</v>
      </c>
      <c r="I5" s="1" t="s">
        <v>153</v>
      </c>
      <c r="J5" s="1">
        <v>2133</v>
      </c>
      <c r="K5" s="2" t="s">
        <v>273</v>
      </c>
    </row>
    <row r="6" customHeight="1" spans="2:11">
      <c r="B6">
        <v>25</v>
      </c>
      <c r="C6" s="66"/>
      <c r="D6" s="1" t="s">
        <v>274</v>
      </c>
      <c r="E6" s="62" t="s">
        <v>275</v>
      </c>
      <c r="F6" s="63" t="s">
        <v>276</v>
      </c>
      <c r="G6" s="63" t="s">
        <v>271</v>
      </c>
      <c r="H6" s="1" t="s">
        <v>277</v>
      </c>
      <c r="I6" s="1" t="s">
        <v>153</v>
      </c>
      <c r="K6" s="2" t="s">
        <v>273</v>
      </c>
    </row>
    <row r="7" customHeight="1" spans="2:11">
      <c r="B7">
        <v>41</v>
      </c>
      <c r="C7" s="66"/>
      <c r="D7" s="1" t="s">
        <v>278</v>
      </c>
      <c r="E7" s="62" t="s">
        <v>83</v>
      </c>
      <c r="F7" s="63" t="s">
        <v>279</v>
      </c>
      <c r="G7" s="63" t="s">
        <v>280</v>
      </c>
      <c r="H7" s="1" t="s">
        <v>277</v>
      </c>
      <c r="I7" s="1" t="s">
        <v>153</v>
      </c>
      <c r="J7" s="1">
        <v>1</v>
      </c>
      <c r="K7" s="2" t="s">
        <v>273</v>
      </c>
    </row>
    <row r="8" customHeight="1" spans="2:11">
      <c r="B8">
        <v>76</v>
      </c>
      <c r="C8" s="65"/>
      <c r="D8" s="1" t="s">
        <v>278</v>
      </c>
      <c r="E8" s="62" t="s">
        <v>83</v>
      </c>
      <c r="F8" s="63" t="s">
        <v>279</v>
      </c>
      <c r="G8" s="63" t="s">
        <v>280</v>
      </c>
      <c r="H8" s="1" t="s">
        <v>277</v>
      </c>
      <c r="I8" s="1" t="s">
        <v>153</v>
      </c>
      <c r="J8" s="1">
        <v>22</v>
      </c>
      <c r="K8" s="2" t="s">
        <v>273</v>
      </c>
    </row>
    <row r="9" customHeight="1" spans="2:11">
      <c r="B9">
        <v>97</v>
      </c>
      <c r="C9" s="66" t="s">
        <v>281</v>
      </c>
      <c r="D9" s="1" t="s">
        <v>74</v>
      </c>
      <c r="E9" s="62" t="s">
        <v>83</v>
      </c>
      <c r="F9" s="63" t="s">
        <v>282</v>
      </c>
      <c r="G9" s="63" t="s">
        <v>283</v>
      </c>
      <c r="H9" s="1" t="s">
        <v>272</v>
      </c>
      <c r="I9" s="1" t="s">
        <v>144</v>
      </c>
      <c r="K9" s="2" t="s">
        <v>273</v>
      </c>
    </row>
    <row r="10" customHeight="1" spans="2:11">
      <c r="G10" s="63"/>
    </row>
    <row r="11" customHeight="1" spans="2:11">
      <c r="G11" s="67"/>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插单.jpg"/>
    <hyperlink ref="C8" r:id="rId5" tooltip="http://yhocn.cn:9088/renshi/jianliwenjian/ceshi4.jpg"/>
    <hyperlink ref="C9" r:id="rId6" display="http://yhocn.cn:9088/renshi/上海恒晨人力资源有限公司/wenjian.jpg"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K10"/>
  <sheetViews>
    <sheetView showGridLines="0" workbookViewId="0">
      <pane ySplit="4" topLeftCell="A5" activePane="bottomLeft" state="frozen"/>
      <selection/>
      <selection pane="bottomLeft" activeCell="I9" sqref="I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9" width="12.625" style="1" customWidth="1"/>
    <col min="10" max="10" width="20" style="1" customWidth="1"/>
    <col min="11" max="11" width="11.625" style="2" customWidth="1"/>
  </cols>
  <sheetData>
    <row r="1" ht="54.75" customHeight="1" spans="2:11">
      <c r="D1" s="26"/>
      <c r="E1" s="27"/>
      <c r="F1" s="47"/>
      <c r="G1" s="47"/>
      <c r="H1" s="26"/>
      <c r="I1" s="26"/>
      <c r="J1" s="26"/>
    </row>
    <row r="2" ht="40" customHeight="1" spans="2:11">
      <c r="D2" s="4" t="s">
        <v>284</v>
      </c>
      <c r="E2" s="27"/>
      <c r="F2" s="47"/>
      <c r="G2" s="47"/>
      <c r="H2" s="26"/>
      <c r="I2" s="26"/>
      <c r="J2" s="26"/>
    </row>
    <row r="3" ht="30" customHeight="1" spans="2:11">
      <c r="D3" s="26"/>
      <c r="E3" s="27"/>
      <c r="F3" s="47"/>
      <c r="G3" s="47"/>
      <c r="H3" s="26"/>
      <c r="I3" s="26"/>
      <c r="J3" s="26"/>
    </row>
    <row r="4" ht="30" customHeight="1" spans="2:11">
      <c r="D4" s="7" t="s">
        <v>38</v>
      </c>
      <c r="E4" s="8" t="s">
        <v>55</v>
      </c>
      <c r="F4" s="64" t="s">
        <v>262</v>
      </c>
      <c r="G4" s="64" t="s">
        <v>263</v>
      </c>
      <c r="H4" s="7" t="s">
        <v>264</v>
      </c>
      <c r="I4" s="7" t="s">
        <v>265</v>
      </c>
      <c r="J4" s="7" t="s">
        <v>72</v>
      </c>
      <c r="K4" s="7" t="s">
        <v>266</v>
      </c>
    </row>
    <row r="5" customHeight="1" spans="2:11">
      <c r="B5">
        <v>97</v>
      </c>
      <c r="C5" s="65" t="s">
        <v>281</v>
      </c>
      <c r="D5" s="1" t="s">
        <v>74</v>
      </c>
      <c r="E5" s="62" t="s">
        <v>83</v>
      </c>
      <c r="F5" s="63" t="s">
        <v>282</v>
      </c>
      <c r="G5" s="63" t="s">
        <v>283</v>
      </c>
      <c r="H5" s="1" t="s">
        <v>272</v>
      </c>
      <c r="I5" s="1" t="s">
        <v>144</v>
      </c>
      <c r="K5" s="2" t="s">
        <v>273</v>
      </c>
    </row>
    <row r="6" customHeight="1" spans="2:11">
      <c r="C6" s="66"/>
      <c r="G6" s="63"/>
    </row>
    <row r="7" customHeight="1" spans="2:11">
      <c r="C7" s="66"/>
      <c r="G7" s="63"/>
    </row>
    <row r="8" customHeight="1" spans="2:11">
      <c r="C8" s="65"/>
      <c r="G8" s="63"/>
    </row>
    <row r="9" customHeight="1" spans="2:11">
      <c r="C9" s="66"/>
      <c r="G9" s="63"/>
    </row>
    <row r="10" customHeight="1" spans="2:11">
      <c r="G10" s="63"/>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display="http://yhocn.cn:9088/renshi/上海恒晨人力资源有限公司/wenjian.jpg"/>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C1:K11"/>
  <sheetViews>
    <sheetView showGridLines="0" workbookViewId="0">
      <pane ySplit="4" topLeftCell="A5" activePane="bottomLeft" state="frozen"/>
      <selection/>
      <selection pane="bottomLeft" activeCell="H8" sqref="H8"/>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2" customWidth="1"/>
    <col min="6" max="6" width="22.875" style="63"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3:11">
      <c r="D1" s="26"/>
      <c r="E1" s="27"/>
      <c r="F1" s="47"/>
      <c r="G1" s="47"/>
      <c r="H1" s="26"/>
      <c r="I1" s="26"/>
      <c r="J1" s="26"/>
    </row>
    <row r="2" ht="40" customHeight="1" spans="3:11">
      <c r="D2" s="4" t="s">
        <v>285</v>
      </c>
      <c r="E2" s="27"/>
      <c r="F2" s="47"/>
      <c r="G2" s="47"/>
      <c r="H2" s="26"/>
      <c r="I2" s="26"/>
      <c r="J2" s="26"/>
    </row>
    <row r="3" ht="30" customHeight="1" spans="3:11">
      <c r="D3" s="26"/>
      <c r="E3" s="27"/>
      <c r="F3" s="47"/>
      <c r="G3" s="47"/>
      <c r="H3" s="26"/>
      <c r="I3" s="26"/>
      <c r="J3" s="26"/>
    </row>
    <row r="4" ht="30" customHeight="1" spans="3:11">
      <c r="D4" s="7" t="s">
        <v>38</v>
      </c>
      <c r="E4" s="8" t="s">
        <v>55</v>
      </c>
      <c r="F4" s="64" t="s">
        <v>262</v>
      </c>
      <c r="G4" s="64" t="s">
        <v>263</v>
      </c>
      <c r="H4" s="7" t="s">
        <v>264</v>
      </c>
      <c r="I4" s="7" t="s">
        <v>286</v>
      </c>
      <c r="J4" s="7" t="s">
        <v>72</v>
      </c>
      <c r="K4" s="7" t="s">
        <v>266</v>
      </c>
    </row>
    <row r="5" customHeight="1" spans="3:11">
      <c r="C5" s="65"/>
      <c r="G5" s="63"/>
    </row>
    <row r="6" customHeight="1" spans="3:11">
      <c r="C6" s="66"/>
      <c r="G6" s="63"/>
    </row>
    <row r="7" customHeight="1" spans="3:11">
      <c r="C7" s="66"/>
      <c r="G7" s="63"/>
    </row>
    <row r="8" customHeight="1" spans="3:11">
      <c r="C8" s="65"/>
      <c r="G8" s="63"/>
    </row>
    <row r="9" customHeight="1" spans="3:11">
      <c r="C9" s="66"/>
      <c r="G9" s="63"/>
    </row>
    <row r="10" customHeight="1" spans="3:11">
      <c r="G10" s="63"/>
    </row>
    <row r="11" customHeight="1" spans="3:11">
      <c r="G11" s="67"/>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B8" sqref="B8:C11"/>
    </sheetView>
  </sheetViews>
  <sheetFormatPr defaultColWidth="9" defaultRowHeight="20" customHeight="1"/>
  <cols>
    <col min="1" max="1" width="4.625" customWidth="1"/>
    <col min="2" max="3" width="30.75" style="45" customWidth="1"/>
    <col min="5" max="5" width="12.25" style="33" customWidth="1"/>
    <col min="6" max="9" width="12.25" style="52" customWidth="1"/>
  </cols>
  <sheetData>
    <row r="1" ht="54.75" customHeight="1" spans="2:9">
      <c r="B1" s="26"/>
      <c r="C1" s="27"/>
      <c r="E1"/>
      <c r="F1"/>
      <c r="G1"/>
      <c r="H1"/>
      <c r="I1"/>
    </row>
    <row r="2" ht="40" customHeight="1" spans="2:9">
      <c r="B2" s="4" t="s">
        <v>287</v>
      </c>
      <c r="C2" s="27"/>
      <c r="E2"/>
      <c r="F2"/>
      <c r="G2"/>
      <c r="H2"/>
      <c r="I2"/>
    </row>
    <row r="3" ht="30" customHeight="1" spans="2:9">
      <c r="B3" s="26"/>
      <c r="C3" s="27"/>
      <c r="E3" s="14" t="s">
        <v>288</v>
      </c>
      <c r="F3" s="15"/>
      <c r="G3" s="15"/>
      <c r="H3" s="15"/>
      <c r="I3" s="15"/>
    </row>
    <row r="4" ht="30" customHeight="1" spans="2:9">
      <c r="B4" s="29" t="s">
        <v>289</v>
      </c>
      <c r="C4" s="30"/>
      <c r="E4" s="51" t="s">
        <v>290</v>
      </c>
      <c r="F4" s="51" t="s">
        <v>38</v>
      </c>
      <c r="G4" s="51" t="s">
        <v>47</v>
      </c>
      <c r="H4" s="51" t="s">
        <v>291</v>
      </c>
      <c r="I4" s="51" t="s">
        <v>292</v>
      </c>
    </row>
    <row r="5" ht="18" customHeight="1" spans="2:9">
      <c r="B5" s="20" t="s">
        <v>47</v>
      </c>
      <c r="C5" s="52" t="s">
        <v>75</v>
      </c>
    </row>
    <row r="6" ht="18" customHeight="1" spans="2:9">
      <c r="B6" s="20" t="s">
        <v>38</v>
      </c>
      <c r="C6" s="52" t="s">
        <v>44</v>
      </c>
    </row>
    <row r="7" ht="18" customHeight="1" spans="2:9">
      <c r="B7" s="32" t="s">
        <v>293</v>
      </c>
      <c r="C7" s="36"/>
    </row>
    <row r="8" ht="18" customHeight="1" spans="2:9">
      <c r="B8" s="37">
        <v>12</v>
      </c>
      <c r="C8" s="37"/>
    </row>
    <row r="9" ht="18" customHeight="1" spans="2:9">
      <c r="B9" s="37"/>
      <c r="C9" s="37"/>
    </row>
    <row r="10" ht="18" customHeight="1" spans="2:9">
      <c r="B10" s="37"/>
      <c r="C10" s="37"/>
    </row>
    <row r="11" ht="18" customHeight="1" spans="2:9">
      <c r="B11" s="37"/>
      <c r="C11" s="37"/>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10"/>
  <sheetViews>
    <sheetView showGridLines="0" workbookViewId="0">
      <pane ySplit="4" topLeftCell="A5" activePane="bottomLeft" state="frozen"/>
      <selection/>
      <selection pane="bottomLeft" activeCell="E9" sqref="E9"/>
    </sheetView>
  </sheetViews>
  <sheetFormatPr defaultColWidth="9" defaultRowHeight="20" customHeight="1" outlineLevelCol="7"/>
  <cols>
    <col min="1" max="1" width="4.625" customWidth="1"/>
    <col min="2" max="2" width="4.625" hidden="1" customWidth="1"/>
    <col min="3" max="3" width="12.625" style="1" customWidth="1"/>
    <col min="4" max="4" width="12.625" style="62" customWidth="1"/>
    <col min="5" max="5" width="22.875" style="63" customWidth="1"/>
    <col min="6" max="6" width="22" style="1" customWidth="1"/>
    <col min="7" max="7" width="12.625" style="1" customWidth="1"/>
    <col min="8" max="8" width="20.625" style="1" customWidth="1"/>
  </cols>
  <sheetData>
    <row r="1" ht="54.75" customHeight="1" spans="2:8">
      <c r="C1" s="26"/>
      <c r="D1" s="27"/>
      <c r="E1" s="47"/>
      <c r="F1" s="47"/>
      <c r="G1" s="26"/>
      <c r="H1" s="26"/>
    </row>
    <row r="2" ht="40" customHeight="1" spans="2:8">
      <c r="C2" s="4" t="s">
        <v>294</v>
      </c>
      <c r="D2" s="27"/>
      <c r="E2" s="47"/>
      <c r="F2" s="47"/>
      <c r="G2" s="26"/>
      <c r="H2" s="26"/>
    </row>
    <row r="3" ht="30" customHeight="1" spans="2:8">
      <c r="C3" s="26"/>
      <c r="D3" s="27"/>
      <c r="E3" s="47"/>
      <c r="F3" s="47"/>
      <c r="G3" s="26"/>
      <c r="H3" s="26"/>
    </row>
    <row r="4" ht="30" customHeight="1" spans="2:8">
      <c r="C4" s="7" t="s">
        <v>47</v>
      </c>
      <c r="D4" s="8" t="s">
        <v>38</v>
      </c>
      <c r="E4" s="64" t="s">
        <v>233</v>
      </c>
      <c r="F4" s="64" t="s">
        <v>295</v>
      </c>
      <c r="G4" s="7" t="s">
        <v>296</v>
      </c>
      <c r="H4" s="7" t="s">
        <v>292</v>
      </c>
    </row>
    <row r="5" customHeight="1" spans="2:8">
      <c r="B5">
        <v>51</v>
      </c>
      <c r="C5" s="1" t="s">
        <v>150</v>
      </c>
      <c r="D5" s="62" t="s">
        <v>297</v>
      </c>
      <c r="E5" s="63" t="s">
        <v>298</v>
      </c>
      <c r="F5" s="63" t="s">
        <v>299</v>
      </c>
    </row>
    <row r="6" customHeight="1" spans="2:8">
      <c r="F6" s="63"/>
    </row>
    <row r="7" customHeight="1" spans="2:8">
      <c r="F7" s="63"/>
    </row>
    <row r="8" customHeight="1" spans="2:8">
      <c r="F8" s="63"/>
    </row>
    <row r="9" customHeight="1" spans="2:8">
      <c r="F9" s="63"/>
    </row>
    <row r="10" customHeight="1" spans="2:8">
      <c r="F10" s="63"/>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10"/>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2" width="4.625" hidden="1" customWidth="1"/>
    <col min="3" max="3" width="12.625" style="1" customWidth="1"/>
    <col min="4" max="4" width="12.625" style="62" customWidth="1"/>
    <col min="5" max="5" width="22.875" style="63" customWidth="1"/>
    <col min="6" max="7" width="22" style="63" customWidth="1"/>
    <col min="8" max="8" width="22" style="1" customWidth="1"/>
    <col min="9" max="9" width="12.625" style="1" customWidth="1"/>
    <col min="10" max="10" width="20.625" style="1" customWidth="1"/>
  </cols>
  <sheetData>
    <row r="1" ht="54.75" customHeight="1" spans="2:10">
      <c r="C1" s="26"/>
      <c r="D1" s="27"/>
      <c r="E1" s="47"/>
      <c r="F1" s="47"/>
      <c r="G1" s="47"/>
      <c r="H1" s="47"/>
      <c r="I1" s="26"/>
      <c r="J1" s="26"/>
    </row>
    <row r="2" ht="40" customHeight="1" spans="2:10">
      <c r="C2" s="4" t="s">
        <v>300</v>
      </c>
      <c r="D2" s="27"/>
      <c r="E2" s="47"/>
      <c r="F2" s="47"/>
      <c r="G2" s="47"/>
      <c r="H2" s="47"/>
      <c r="I2" s="26"/>
      <c r="J2" s="26"/>
    </row>
    <row r="3" ht="30" customHeight="1" spans="2:10">
      <c r="C3" s="26"/>
      <c r="D3" s="27"/>
      <c r="E3" s="47"/>
      <c r="F3" s="47"/>
      <c r="G3" s="47"/>
      <c r="H3" s="47"/>
      <c r="I3" s="26"/>
      <c r="J3" s="26"/>
    </row>
    <row r="4" ht="30" customHeight="1" spans="2:10">
      <c r="C4" s="7" t="s">
        <v>47</v>
      </c>
      <c r="D4" s="8" t="s">
        <v>38</v>
      </c>
      <c r="E4" s="64" t="s">
        <v>290</v>
      </c>
      <c r="F4" s="64" t="s">
        <v>301</v>
      </c>
      <c r="G4" s="64" t="s">
        <v>302</v>
      </c>
      <c r="H4" s="64" t="s">
        <v>295</v>
      </c>
      <c r="I4" s="7" t="s">
        <v>296</v>
      </c>
      <c r="J4" s="7" t="s">
        <v>292</v>
      </c>
    </row>
    <row r="5" customHeight="1" spans="2:10">
      <c r="B5">
        <v>46</v>
      </c>
      <c r="C5" s="1" t="s">
        <v>75</v>
      </c>
      <c r="D5" s="62" t="s">
        <v>44</v>
      </c>
      <c r="E5" s="63" t="s">
        <v>303</v>
      </c>
      <c r="F5" s="63" t="s">
        <v>304</v>
      </c>
      <c r="G5" s="63" t="s">
        <v>298</v>
      </c>
      <c r="H5" s="63" t="s">
        <v>305</v>
      </c>
      <c r="I5" s="1" t="s">
        <v>145</v>
      </c>
    </row>
    <row r="6" customHeight="1" spans="2:10">
      <c r="H6" s="63"/>
    </row>
    <row r="7" customHeight="1" spans="2:10">
      <c r="H7" s="63"/>
    </row>
    <row r="8" customHeight="1" spans="2:10">
      <c r="H8" s="63"/>
    </row>
    <row r="9" customHeight="1" spans="2:10">
      <c r="H9" s="63"/>
    </row>
    <row r="10" customHeight="1" spans="2:10">
      <c r="H10" s="63"/>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6"/>
  <sheetViews>
    <sheetView showGridLines="0" workbookViewId="0">
      <pane ySplit="4" topLeftCell="A5" activePane="bottomLeft" state="frozen"/>
      <selection/>
      <selection pane="bottomLeft" activeCell="E8" sqref="E8"/>
    </sheetView>
  </sheetViews>
  <sheetFormatPr defaultColWidth="9" defaultRowHeight="20" customHeight="1" outlineLevelRow="5"/>
  <cols>
    <col min="1" max="1" width="4.625" style="45" customWidth="1"/>
    <col min="2" max="2" width="4.625" style="53" hidden="1" customWidth="1"/>
    <col min="3" max="3" width="12.625" style="46" customWidth="1"/>
    <col min="4" max="4" width="12.625" style="54" customWidth="1"/>
    <col min="5" max="5" width="22.875" style="55" customWidth="1"/>
    <col min="6" max="7" width="22" style="55" customWidth="1"/>
    <col min="8" max="8" width="22" style="46" customWidth="1"/>
    <col min="9" max="9" width="12.625" style="46" customWidth="1"/>
    <col min="10" max="10" width="20.625" style="46" customWidth="1"/>
    <col min="11" max="34" width="9" style="52"/>
    <col min="35" max="16384" width="9" style="56"/>
  </cols>
  <sheetData>
    <row r="1" customFormat="1" ht="54.75" customHeight="1" spans="1:34">
      <c r="A1" s="45"/>
      <c r="C1" s="26"/>
      <c r="D1" s="27"/>
      <c r="E1" s="47"/>
      <c r="F1" s="47"/>
      <c r="G1" s="47"/>
      <c r="H1" s="47"/>
      <c r="I1" s="26"/>
      <c r="J1" s="26"/>
    </row>
    <row r="2" customFormat="1" ht="40" customHeight="1" spans="1:34">
      <c r="A2" s="45"/>
      <c r="C2" s="4" t="s">
        <v>306</v>
      </c>
      <c r="D2" s="27"/>
      <c r="E2" s="47"/>
      <c r="F2" s="47"/>
      <c r="G2" s="47"/>
      <c r="H2" s="47"/>
      <c r="I2" s="26"/>
      <c r="J2" s="26"/>
    </row>
    <row r="3" customFormat="1" ht="30" customHeight="1" spans="1:34">
      <c r="A3" s="45"/>
      <c r="C3" s="26"/>
      <c r="D3" s="27"/>
      <c r="E3" s="47"/>
      <c r="F3" s="47"/>
      <c r="G3" s="47"/>
      <c r="H3" s="47"/>
      <c r="I3" s="26"/>
      <c r="J3" s="26"/>
    </row>
    <row r="4" customFormat="1" ht="30" customHeight="1" spans="1:34">
      <c r="A4" s="45"/>
      <c r="B4" s="26">
        <v>37</v>
      </c>
      <c r="C4" s="48" t="s">
        <v>38</v>
      </c>
      <c r="D4" s="48" t="s">
        <v>223</v>
      </c>
      <c r="E4" s="48" t="s">
        <v>307</v>
      </c>
      <c r="F4" s="48" t="s">
        <v>308</v>
      </c>
      <c r="G4" s="48"/>
      <c r="H4" s="48"/>
      <c r="I4" s="48"/>
      <c r="J4" s="48"/>
      <c r="K4" s="48"/>
      <c r="L4" s="48"/>
      <c r="M4" s="48"/>
      <c r="N4" s="57"/>
      <c r="O4" s="57"/>
      <c r="P4" s="57"/>
      <c r="Q4" s="48"/>
      <c r="R4" s="48"/>
      <c r="S4" s="48"/>
      <c r="T4" s="58"/>
      <c r="U4" s="57"/>
      <c r="V4" s="57"/>
      <c r="W4" s="57"/>
      <c r="X4" s="57"/>
      <c r="Y4" s="48"/>
      <c r="Z4" s="48"/>
      <c r="AA4" s="48"/>
      <c r="AB4" s="58"/>
      <c r="AC4" s="57"/>
      <c r="AD4" s="57"/>
      <c r="AE4" s="57"/>
      <c r="AF4" s="57"/>
      <c r="AG4" s="48"/>
      <c r="AH4" s="48"/>
    </row>
    <row r="5" customHeight="1" spans="1:34">
      <c r="B5" s="59">
        <v>38</v>
      </c>
      <c r="C5" s="46" t="s">
        <v>309</v>
      </c>
      <c r="D5" s="46">
        <v>1500</v>
      </c>
      <c r="E5" s="46">
        <v>1000</v>
      </c>
      <c r="F5" s="60">
        <v>500</v>
      </c>
      <c r="G5" s="60"/>
      <c r="K5" s="61"/>
      <c r="L5" s="61"/>
      <c r="M5" s="61"/>
    </row>
    <row r="6" customHeight="1" spans="1:34">
      <c r="B6" s="53">
        <v>39</v>
      </c>
      <c r="C6" s="46" t="s">
        <v>310</v>
      </c>
      <c r="D6" s="54">
        <v>3700</v>
      </c>
      <c r="E6" s="55" t="s">
        <v>311</v>
      </c>
      <c r="F6" s="55" t="s">
        <v>312</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C5" sqref="C5"/>
    </sheetView>
  </sheetViews>
  <sheetFormatPr defaultColWidth="9" defaultRowHeight="20" customHeight="1" outlineLevelCol="2"/>
  <cols>
    <col min="1" max="1" width="4.625" style="45" customWidth="1"/>
    <col min="2" max="3" width="12.625" customWidth="1"/>
    <col min="4" max="16384" width="9" style="45"/>
  </cols>
  <sheetData>
    <row r="1" customFormat="1" ht="54.75" customHeight="1" spans="1:3">
      <c r="A1" s="45"/>
      <c r="B1" s="26"/>
      <c r="C1" s="27"/>
    </row>
    <row r="2" customFormat="1" ht="40" customHeight="1" spans="1:3">
      <c r="A2" s="45"/>
      <c r="B2" s="4" t="s">
        <v>313</v>
      </c>
      <c r="C2" s="27"/>
    </row>
    <row r="3" customFormat="1" ht="30" customHeight="1" spans="1:3">
      <c r="A3" s="45"/>
      <c r="B3" s="26"/>
      <c r="C3" s="27"/>
    </row>
    <row r="4" customFormat="1" ht="30" customHeight="1" spans="1:3">
      <c r="A4" s="45"/>
      <c r="B4" s="51" t="s">
        <v>314</v>
      </c>
      <c r="C4" s="51" t="s">
        <v>315</v>
      </c>
    </row>
    <row r="5" customHeight="1" spans="1:3">
      <c r="B5" s="52" t="s">
        <v>38</v>
      </c>
      <c r="C5" s="52" t="s">
        <v>223</v>
      </c>
    </row>
    <row r="8" customHeight="1" spans="1:3">
      <c r="B8" s="5" t="s">
        <v>309</v>
      </c>
      <c r="C8" s="5">
        <v>1500</v>
      </c>
    </row>
    <row r="9" customHeight="1" spans="1:3">
      <c r="B9" s="5" t="s">
        <v>310</v>
      </c>
      <c r="C9" s="5">
        <v>3700</v>
      </c>
    </row>
    <row r="10" customHeight="1" spans="1:3">
      <c r="B10" s="5"/>
      <c r="C10" s="5"/>
    </row>
    <row r="11" customHeight="1" spans="1:3">
      <c r="B11" s="5"/>
      <c r="C11" s="5"/>
    </row>
    <row r="12" customHeight="1" spans="1:3">
      <c r="B12" s="5"/>
      <c r="C12" s="5"/>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G9" sqref="G9"/>
    </sheetView>
  </sheetViews>
  <sheetFormatPr defaultColWidth="9" defaultRowHeight="20" customHeight="1" outlineLevelCol="3"/>
  <cols>
    <col min="1" max="1" width="4.625" style="45" customWidth="1"/>
    <col min="2" max="2" width="4.625" style="45" hidden="1" customWidth="1"/>
    <col min="3" max="3" width="12.625" style="46" customWidth="1"/>
    <col min="4" max="4" width="22.875" style="46" customWidth="1"/>
    <col min="5" max="16384" width="9" style="45"/>
  </cols>
  <sheetData>
    <row r="1" customFormat="1" ht="54.75" customHeight="1" spans="1:4">
      <c r="A1" s="45"/>
      <c r="C1" s="27"/>
      <c r="D1" s="47"/>
    </row>
    <row r="2" customFormat="1" ht="40" customHeight="1" spans="1:4">
      <c r="A2" s="45"/>
      <c r="C2" s="4" t="s">
        <v>316</v>
      </c>
      <c r="D2" s="47"/>
    </row>
    <row r="3" customFormat="1" ht="30" customHeight="1" spans="1:4">
      <c r="A3" s="45"/>
      <c r="C3" s="27"/>
      <c r="D3" s="47"/>
    </row>
    <row r="4" customFormat="1" ht="30" customHeight="1" spans="1:4">
      <c r="A4" s="45"/>
      <c r="B4" s="26"/>
      <c r="C4" s="48" t="s">
        <v>314</v>
      </c>
      <c r="D4" s="48" t="s">
        <v>317</v>
      </c>
    </row>
    <row r="5" customHeight="1" spans="1:4">
      <c r="B5" s="49">
        <v>38</v>
      </c>
      <c r="C5" s="46" t="s">
        <v>223</v>
      </c>
      <c r="D5" s="46" t="s">
        <v>318</v>
      </c>
    </row>
    <row r="6" customHeight="1" spans="1:4">
      <c r="B6" s="49"/>
    </row>
    <row r="7" customHeight="1" spans="1:4">
      <c r="B7" s="49"/>
      <c r="D7" s="50"/>
    </row>
    <row r="8" customHeight="1" spans="1:4">
      <c r="B8" s="49"/>
    </row>
    <row r="9" customHeight="1" spans="1:4">
      <c r="B9" s="49"/>
    </row>
    <row r="10" customHeight="1" spans="1:4">
      <c r="B10" s="49"/>
    </row>
    <row r="11" customHeight="1" spans="1:4">
      <c r="B11" s="49"/>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E8" sqref="E8:F11"/>
    </sheetView>
  </sheetViews>
  <sheetFormatPr defaultColWidth="9" defaultRowHeight="20" customHeight="1"/>
  <cols>
    <col min="1" max="1" width="4.625" customWidth="1"/>
    <col min="2" max="3" width="21.375" customWidth="1"/>
    <col min="5" max="6" width="17.875" customWidth="1"/>
    <col min="7" max="7" width="12.75" customWidth="1"/>
    <col min="8" max="8" width="20.625" style="24" customWidth="1"/>
    <col min="9" max="12" width="12.75" style="12" customWidth="1"/>
  </cols>
  <sheetData>
    <row r="1" ht="54.75" customHeight="1" spans="2:12">
      <c r="B1" s="26"/>
      <c r="C1" s="27"/>
      <c r="H1"/>
      <c r="I1"/>
      <c r="J1"/>
      <c r="K1"/>
      <c r="L1"/>
    </row>
    <row r="2" ht="40" customHeight="1" spans="2:12">
      <c r="B2" s="4" t="s">
        <v>319</v>
      </c>
      <c r="C2" s="27"/>
      <c r="H2"/>
      <c r="I2"/>
      <c r="J2"/>
      <c r="K2"/>
      <c r="L2"/>
    </row>
    <row r="3" ht="30" customHeight="1" spans="2:12">
      <c r="B3" s="26"/>
      <c r="C3" s="27"/>
      <c r="E3" s="28"/>
      <c r="F3" s="28"/>
      <c r="G3" s="28"/>
      <c r="H3" s="14" t="s">
        <v>288</v>
      </c>
      <c r="I3" s="15"/>
      <c r="J3" s="15"/>
      <c r="K3" s="15"/>
      <c r="L3" s="15"/>
    </row>
    <row r="4" ht="30" customHeight="1" spans="2:12">
      <c r="B4" s="29" t="s">
        <v>320</v>
      </c>
      <c r="C4" s="30"/>
      <c r="E4" s="29" t="s">
        <v>289</v>
      </c>
      <c r="F4" s="30"/>
      <c r="G4" s="28"/>
      <c r="H4" s="16" t="s">
        <v>290</v>
      </c>
      <c r="I4" s="16" t="s">
        <v>38</v>
      </c>
      <c r="J4" s="16" t="s">
        <v>47</v>
      </c>
      <c r="K4" s="16" t="s">
        <v>291</v>
      </c>
      <c r="L4" s="16" t="s">
        <v>292</v>
      </c>
    </row>
    <row r="5" customHeight="1" spans="2:12">
      <c r="B5" s="31" t="s">
        <v>47</v>
      </c>
      <c r="C5" s="12" t="s">
        <v>188</v>
      </c>
      <c r="E5" s="32" t="s">
        <v>321</v>
      </c>
      <c r="F5" s="33" t="s">
        <v>322</v>
      </c>
      <c r="H5" s="24" t="s">
        <v>323</v>
      </c>
      <c r="I5" s="12" t="s">
        <v>324</v>
      </c>
      <c r="J5" s="12" t="s">
        <v>188</v>
      </c>
      <c r="K5" s="12" t="s">
        <v>145</v>
      </c>
    </row>
    <row r="6" customHeight="1" spans="2:12">
      <c r="B6" s="31" t="s">
        <v>38</v>
      </c>
      <c r="C6" s="12" t="s">
        <v>324</v>
      </c>
      <c r="E6" s="20" t="s">
        <v>325</v>
      </c>
      <c r="F6" s="34" t="s">
        <v>323</v>
      </c>
    </row>
    <row r="7" customHeight="1" spans="2:12">
      <c r="B7" s="35" t="s">
        <v>326</v>
      </c>
      <c r="C7" s="35"/>
      <c r="E7" s="32" t="s">
        <v>293</v>
      </c>
      <c r="F7" s="36"/>
    </row>
    <row r="8" customHeight="1" spans="2:12">
      <c r="B8" s="35"/>
      <c r="C8" s="35"/>
      <c r="E8" s="37">
        <v>12</v>
      </c>
      <c r="F8" s="37"/>
    </row>
    <row r="9" customHeight="1" spans="2:12">
      <c r="B9" s="38" t="s">
        <v>327</v>
      </c>
      <c r="C9" s="39" t="s">
        <v>328</v>
      </c>
      <c r="E9" s="37"/>
      <c r="F9" s="37"/>
    </row>
    <row r="10" customHeight="1" spans="2:12">
      <c r="B10" s="40"/>
      <c r="C10" s="41"/>
      <c r="E10" s="37"/>
      <c r="F10" s="37"/>
    </row>
    <row r="11" customHeight="1" spans="2:12">
      <c r="B11" s="42" t="s">
        <v>329</v>
      </c>
      <c r="C11" s="43"/>
      <c r="E11" s="37"/>
      <c r="F11" s="37"/>
    </row>
    <row r="12" customHeight="1" spans="2:12">
      <c r="B12" s="43"/>
      <c r="C12" s="43"/>
    </row>
    <row r="20" customHeight="1" spans="2:3">
      <c r="B20" s="44">
        <v>0.375</v>
      </c>
      <c r="C20" s="44">
        <v>0.75</v>
      </c>
    </row>
    <row r="21" customHeight="1" spans="2:3">
      <c r="B21" s="44">
        <v>0.5</v>
      </c>
      <c r="C21" s="44">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8.5" style="10" hidden="1" customWidth="1"/>
    <col min="3" max="3" width="20.625" style="11" customWidth="1"/>
    <col min="4" max="6" width="12.75" style="11" customWidth="1"/>
    <col min="7" max="8" width="12.75" style="12" customWidth="1"/>
    <col min="10" max="11" width="17.125" customWidth="1"/>
  </cols>
  <sheetData>
    <row r="1" ht="54.75" customHeight="1" spans="2:11">
      <c r="B1"/>
      <c r="C1"/>
      <c r="D1"/>
      <c r="E1"/>
      <c r="F1"/>
      <c r="G1"/>
      <c r="H1"/>
    </row>
    <row r="2" ht="40" customHeight="1" spans="2:11">
      <c r="B2" t="s">
        <v>330</v>
      </c>
      <c r="C2"/>
      <c r="D2"/>
      <c r="E2"/>
      <c r="F2"/>
      <c r="G2"/>
      <c r="H2"/>
    </row>
    <row r="3" ht="30" customHeight="1" spans="2:11">
      <c r="B3" s="13"/>
      <c r="C3" s="14" t="s">
        <v>331</v>
      </c>
      <c r="D3" s="15"/>
      <c r="E3" s="15"/>
      <c r="F3" s="15"/>
      <c r="G3" s="15"/>
      <c r="H3" s="15"/>
    </row>
    <row r="4" ht="30" customHeight="1" spans="2:11">
      <c r="B4" s="13"/>
      <c r="C4" s="16" t="s">
        <v>332</v>
      </c>
      <c r="D4" s="16" t="s">
        <v>333</v>
      </c>
      <c r="E4" s="16" t="s">
        <v>334</v>
      </c>
      <c r="F4" s="16" t="s">
        <v>335</v>
      </c>
      <c r="G4" s="16" t="s">
        <v>336</v>
      </c>
      <c r="H4" s="16" t="s">
        <v>47</v>
      </c>
      <c r="J4" s="17" t="s">
        <v>337</v>
      </c>
      <c r="K4" s="18"/>
    </row>
    <row r="5" customHeight="1" spans="2:11">
      <c r="B5" s="19">
        <v>45</v>
      </c>
      <c r="C5" s="11">
        <v>0.333333333333333</v>
      </c>
      <c r="D5" s="11">
        <v>0.708333333333333</v>
      </c>
      <c r="E5" s="11">
        <v>0.5</v>
      </c>
      <c r="F5" s="11">
        <v>0.541666666666667</v>
      </c>
      <c r="G5" s="12" t="s">
        <v>338</v>
      </c>
      <c r="H5" s="12" t="s">
        <v>75</v>
      </c>
      <c r="J5" s="20" t="s">
        <v>47</v>
      </c>
      <c r="K5" s="21" t="s">
        <v>188</v>
      </c>
    </row>
    <row r="6" customHeight="1" spans="2:11">
      <c r="G6" s="22"/>
      <c r="J6" s="20" t="s">
        <v>339</v>
      </c>
      <c r="K6" s="23" t="s">
        <v>340</v>
      </c>
    </row>
    <row r="7" customHeight="1" spans="2:11">
      <c r="J7" s="20" t="s">
        <v>341</v>
      </c>
      <c r="K7" s="23" t="s">
        <v>342</v>
      </c>
    </row>
    <row r="8" customHeight="1" spans="2:11">
      <c r="G8" s="22"/>
      <c r="J8" s="20" t="s">
        <v>332</v>
      </c>
      <c r="K8" s="24" t="s">
        <v>343</v>
      </c>
    </row>
    <row r="9" customHeight="1" spans="2:11">
      <c r="J9" s="20" t="s">
        <v>333</v>
      </c>
      <c r="K9" s="25">
        <v>0.75</v>
      </c>
    </row>
    <row r="10" customHeight="1" spans="2:11">
      <c r="J10" s="20" t="s">
        <v>334</v>
      </c>
      <c r="K10" s="25">
        <v>0.5</v>
      </c>
    </row>
    <row r="11" customHeight="1" spans="2:11">
      <c r="J11" s="20" t="s">
        <v>335</v>
      </c>
      <c r="K11" s="25">
        <v>0.541666666666667</v>
      </c>
    </row>
    <row r="12" customHeight="1" spans="2:11">
      <c r="J12" s="20" t="s">
        <v>344</v>
      </c>
      <c r="K12" s="21"/>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C5" sqref="C5"/>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345</v>
      </c>
      <c r="C2" s="5">
        <v>25</v>
      </c>
      <c r="D2" s="6" t="s">
        <v>194</v>
      </c>
    </row>
    <row r="3" ht="30" customHeight="1" spans="2:4">
      <c r="B3" s="3"/>
    </row>
    <row r="4" ht="30" customHeight="1" spans="2:4">
      <c r="B4" s="7" t="s">
        <v>346</v>
      </c>
      <c r="C4" s="8" t="s">
        <v>347</v>
      </c>
    </row>
    <row r="5" customHeight="1" spans="2:4">
      <c r="B5" s="9" t="s">
        <v>348</v>
      </c>
      <c r="C5" s="2" t="s">
        <v>349</v>
      </c>
    </row>
    <row r="6" customHeight="1" spans="2:4">
      <c r="B6" s="9"/>
    </row>
    <row r="7" customHeight="1" spans="2:4">
      <c r="B7" s="9"/>
    </row>
  </sheetData>
  <conditionalFormatting sqref="B5:C1048576">
    <cfRule type="expression" dxfId="0" priority="1">
      <formula>MOD(ROW(),2)=0</formula>
    </cfRule>
  </conditionalFormatting>
  <hyperlinks>
    <hyperlink ref="B5" r:id="rId2" display="http://yhocn.cn:9088/renshi/上海恒晨人力资源有限公司/问价.jpg"/>
  </hyperlink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2026-03-26T00:53:47Z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