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colors4.xml" ContentType="application/vnd.ms-office.chartcolorstyle+xml"/>
  <Override PartName="/xl/charts/colors5.xml" ContentType="application/vnd.ms-office.chartcolorstyle+xml"/>
  <Override PartName="/xl/charts/colors6.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harts/style4.xml" ContentType="application/vnd.ms-office.chartstyle+xml"/>
  <Override PartName="/xl/charts/style5.xml" ContentType="application/vnd.ms-office.chartstyle+xml"/>
  <Override PartName="/xl/charts/style6.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8345" windowHeight="8175" tabRatio="882"/>
  </bookViews>
  <sheets>
    <sheet name="首页" sheetId="1" r:id="rId1"/>
    <sheet name="说明书" sheetId="2" r:id="rId2"/>
    <sheet name="加密" sheetId="3" state="veryHidden" r:id="rId3"/>
    <sheet name="入库" sheetId="4" state="veryHidden" r:id="rId4"/>
    <sheet name="出库" sheetId="14" state="veryHidden" r:id="rId5"/>
    <sheet name="库存调拨" sheetId="22" state="veryHidden" r:id="rId6"/>
    <sheet name="库存盘点" sheetId="23" state="veryHidden" r:id="rId7"/>
    <sheet name="销售退货" sheetId="24" state="veryHidden" r:id="rId8"/>
    <sheet name="采购退货" sheetId="25" state="veryHidden" r:id="rId9"/>
    <sheet name="销售退货统计" sheetId="31" state="veryHidden" r:id="rId10"/>
    <sheet name="采购退货统计" sheetId="32" state="veryHidden" r:id="rId11"/>
    <sheet name="进出明细统计" sheetId="33" state="veryHidden" r:id="rId12"/>
    <sheet name="采购单" sheetId="27" state="veryHidden" r:id="rId13"/>
    <sheet name="采购未入库明细" sheetId="28" state="veryHidden" r:id="rId14"/>
    <sheet name="单据" sheetId="26" state="veryHidden" r:id="rId15"/>
    <sheet name="入库单" sheetId="16" state="veryHidden" r:id="rId16"/>
    <sheet name="出库单" sheetId="17" state="veryHidden" r:id="rId17"/>
    <sheet name="期初数" sheetId="5" state="veryHidden" r:id="rId18"/>
    <sheet name="期末数" sheetId="29" state="veryHidden" r:id="rId19"/>
    <sheet name="库存积压统计" sheetId="30" state="veryHidden" r:id="rId20"/>
    <sheet name="明细" sheetId="6" state="veryHidden" r:id="rId21"/>
    <sheet name="进销存" sheetId="7" state="veryHidden" r:id="rId22"/>
    <sheet name="商品进出查询" sheetId="15" state="veryHidden" r:id="rId23"/>
    <sheet name="客户|供应商查询" sheetId="34" state="veryHidden" r:id="rId24"/>
    <sheet name="基础资料" sheetId="9" state="veryHidden" r:id="rId25"/>
    <sheet name="客户资料" sheetId="10" state="veryHidden" r:id="rId26"/>
    <sheet name="供应商资料" sheetId="11" state="veryHidden" r:id="rId27"/>
    <sheet name="笔记" sheetId="12" state="veryHidden" r:id="rId28"/>
    <sheet name="仓库资料" sheetId="19" state="veryHidden" r:id="rId29"/>
    <sheet name="用户管理" sheetId="13" state="veryHidden" r:id="rId30"/>
    <sheet name="二维码打印" sheetId="18" state="veryHidden" r:id="rId31"/>
  </sheets>
  <definedNames>
    <definedName name="_xlnm._FilterDatabase" localSheetId="13" hidden="1">采购未入库明细!$D$4:$K$188</definedName>
    <definedName name="_xlnm._FilterDatabase" localSheetId="20" hidden="1">明细!$D$4:$K$197</definedName>
    <definedName name="_xlnm.Print_Area" localSheetId="16">出库单!$C$4:$H$19</definedName>
    <definedName name="_xlnm.Print_Area" localSheetId="15">入库单!$C$4:$H$19</definedName>
    <definedName name="_xlnm.Print_Area" localSheetId="14">单据!$C$4:$H$20</definedName>
    <definedName name="_xlnm.Print_Area" localSheetId="30">二维码打印!$D$3</definedName>
    <definedName name="_xlnm.Print_Area" localSheetId="22">商品进出查询!$D$4:$J$10</definedName>
    <definedName name="_xlnm.Print_Area" localSheetId="24">基础资料!$D$5:$I$12</definedName>
    <definedName name="_xlnm.Print_Area" localSheetId="23">'客户|供应商查询'!$D$4:$I$12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5.xml><?xml version="1.0" encoding="utf-8"?>
<comments xmlns="http://schemas.openxmlformats.org/spreadsheetml/2006/main">
  <authors>
    <author>Administrator</author>
  </authors>
  <commentList>
    <comment ref="E4" authorId="0">
      <text>
        <r>
          <rPr>
            <sz val="9"/>
            <rFont val="宋体"/>
            <charset val="134"/>
          </rPr>
          <t>双击显示图片</t>
        </r>
      </text>
    </commen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6.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comments7.xml><?xml version="1.0" encoding="utf-8"?>
<comments xmlns="http://schemas.openxmlformats.org/spreadsheetml/2006/main">
  <authors>
    <author>Administrator</author>
  </authors>
  <commentList>
    <comment ref="D4" authorId="0">
      <text>
        <r>
          <rPr>
            <sz val="9"/>
            <rFont val="宋体"/>
            <charset val="134"/>
          </rPr>
          <t>序号自动生成无需手填</t>
        </r>
      </text>
    </comment>
  </commentList>
</comments>
</file>

<file path=xl/sharedStrings.xml><?xml version="1.0" encoding="utf-8"?>
<sst xmlns="http://schemas.openxmlformats.org/spreadsheetml/2006/main" count="583" uniqueCount="145">
  <si>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</si>
  <si>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</si>
  <si>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</si>
  <si>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</si>
  <si>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</si>
  <si>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</si>
  <si>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</si>
  <si>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</si>
  <si>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</si>
  <si>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</si>
  <si>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</si>
  <si>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</si>
  <si>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</si>
  <si>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</si>
  <si>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</si>
  <si>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</si>
  <si>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</si>
  <si>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</si>
  <si>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</si>
  <si>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</si>
  <si>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</si>
  <si>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</si>
  <si>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</si>
  <si>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</si>
  <si>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</si>
  <si>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</si>
  <si>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</si>
  <si>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</si>
  <si>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</si>
  <si>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</si>
  <si>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</si>
  <si>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</si>
  <si>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</si>
  <si>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选中此处扫描订单二维码</t>
  </si>
  <si>
    <t>单价</t>
  </si>
  <si>
    <t>C仓库</t>
  </si>
  <si>
    <t>无线耳机</t>
  </si>
  <si>
    <t>JTP0091</t>
  </si>
  <si>
    <t>外设1</t>
  </si>
  <si>
    <t>件</t>
  </si>
  <si>
    <t>充电器</t>
  </si>
  <si>
    <t>CDQ0001</t>
  </si>
  <si>
    <t>电器</t>
  </si>
  <si>
    <t>个</t>
  </si>
  <si>
    <t>笔记本N4</t>
  </si>
  <si>
    <t>BJB0032</t>
  </si>
  <si>
    <t>办公用品</t>
  </si>
  <si>
    <t>台</t>
  </si>
  <si>
    <t>路由器</t>
  </si>
  <si>
    <t>U盘</t>
  </si>
  <si>
    <t>srfs</t>
  </si>
  <si>
    <t>电子设备</t>
  </si>
  <si>
    <t>保温水杯</t>
  </si>
  <si>
    <t>baowenshuibei</t>
  </si>
  <si>
    <t>生活用品</t>
  </si>
  <si>
    <t>钢笔</t>
  </si>
  <si>
    <t>GB</t>
  </si>
  <si>
    <t>文具</t>
  </si>
  <si>
    <t>支</t>
  </si>
  <si>
    <t>散热风扇</t>
  </si>
  <si>
    <t>套</t>
  </si>
  <si>
    <t>A仓库</t>
  </si>
  <si>
    <t>实际数量</t>
  </si>
  <si>
    <t>总退货数量</t>
  </si>
  <si>
    <t>总退货金额</t>
  </si>
  <si>
    <t>平均退货数量</t>
  </si>
  <si>
    <t>涉及商品数</t>
  </si>
  <si>
    <t>B仓库</t>
  </si>
  <si>
    <t>类别</t>
  </si>
  <si>
    <t>名称</t>
  </si>
  <si>
    <t>售价</t>
  </si>
  <si>
    <t>仓库</t>
  </si>
  <si>
    <t>aa</t>
  </si>
  <si>
    <t>123a</t>
  </si>
  <si>
    <t>外接设备</t>
  </si>
  <si>
    <t>双击
勾选</t>
  </si>
  <si>
    <t>id</t>
  </si>
  <si>
    <t>订单号</t>
  </si>
  <si>
    <t>价格</t>
  </si>
  <si>
    <t>类型</t>
  </si>
  <si>
    <t>时间</t>
  </si>
  <si>
    <t>公司名</t>
  </si>
  <si>
    <t>进货方</t>
  </si>
  <si>
    <t>采购</t>
  </si>
  <si>
    <t>科创</t>
  </si>
  <si>
    <t>up</t>
  </si>
  <si>
    <t>采购单</t>
  </si>
  <si>
    <t>订单号:</t>
  </si>
  <si>
    <t>入库时间:</t>
  </si>
  <si>
    <t>供应商:</t>
  </si>
  <si>
    <t>仓库:</t>
  </si>
  <si>
    <t>合计金额(大写):</t>
  </si>
  <si>
    <t>合计金额(小写):</t>
  </si>
  <si>
    <t>入库单</t>
  </si>
  <si>
    <t>订单号：</t>
  </si>
  <si>
    <t>供应商：</t>
  </si>
  <si>
    <t>华为</t>
  </si>
  <si>
    <t>入库时间：</t>
  </si>
  <si>
    <t>出库单</t>
  </si>
  <si>
    <t>cs002</t>
  </si>
  <si>
    <t>客户：</t>
  </si>
  <si>
    <t>长城</t>
  </si>
  <si>
    <t>出库时间：</t>
  </si>
  <si>
    <t>JTP0091测试</t>
  </si>
  <si>
    <t>测试商品1</t>
  </si>
  <si>
    <t>qe231</t>
  </si>
  <si>
    <t>undefined</t>
  </si>
  <si>
    <t>合计金额：11020</t>
  </si>
  <si>
    <t>商品售价</t>
  </si>
  <si>
    <t>商品数量</t>
  </si>
  <si>
    <t>开始合计金额：99023</t>
  </si>
  <si>
    <t>结束合计金额：99023</t>
  </si>
  <si>
    <t>期初数量</t>
  </si>
  <si>
    <t>期初金额</t>
  </si>
  <si>
    <t>期末数量</t>
  </si>
  <si>
    <t>期末金额</t>
  </si>
  <si>
    <t>库存金额</t>
  </si>
  <si>
    <t>明细类型</t>
  </si>
  <si>
    <t>收/进货方</t>
  </si>
  <si>
    <t>期初</t>
  </si>
  <si>
    <t>入库</t>
  </si>
  <si>
    <t>出库</t>
  </si>
  <si>
    <t>结存</t>
  </si>
  <si>
    <t>边缘存量</t>
  </si>
  <si>
    <t>JP0037</t>
  </si>
  <si>
    <t>外设</t>
  </si>
  <si>
    <t>XP0024</t>
  </si>
  <si>
    <t>客户名称</t>
  </si>
  <si>
    <t>入库/出库数量</t>
  </si>
  <si>
    <t>入库/出库金额</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</si>
  <si>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</si>
  <si>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</si>
  <si>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</si>
  <si>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</si>
  <si>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</si>
  <si>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</si>
  <si>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</si>
  <si>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</si>
  <si>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</si>
  <si>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</si>
  <si>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</si>
  <si>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</si>
  <si>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</si>
  <si>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</si>
  <si>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订单号：11
 时间：2026/3/3 9:04:27</t>
  </si>
</sst>
</file>

<file path=xl/styles.xml><?xml version="1.0" encoding="utf-8"?>
<styleSheet xmlns="http://schemas.openxmlformats.org/spreadsheetml/2006/main" xmlns:mc="http://schemas.openxmlformats.org/markup-compatibility/2006" xmlns:xr9="http://schemas.microsoft.com/office/spreadsheetml/2016/revision9" mc:Ignorable="xr9">
  <numFmts count="9">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0_);[Red]\(0.00\)"/>
    <numFmt numFmtId="180" formatCode="00"/>
  </numFmts>
  <fonts count="55">
    <font>
      <sz val="12"/>
      <name val="宋体"/>
      <charset val="134"/>
    </font>
    <font>
      <sz val="12"/>
      <name val="等线"/>
      <charset val="134"/>
    </font>
    <font>
      <sz val="10"/>
      <name val="等线"/>
      <charset val="134"/>
    </font>
    <font>
      <b/>
      <sz val="14"/>
      <color theme="0"/>
      <name val="等线"/>
      <charset val="134"/>
    </font>
    <font>
      <sz val="12"/>
      <color theme="1" tint="0.349986266670736"/>
      <name val="等线"/>
      <charset val="134"/>
    </font>
    <font>
      <b/>
      <sz val="14"/>
      <name val="等线"/>
      <charset val="134"/>
    </font>
    <font>
      <sz val="14"/>
      <name val="微软雅黑"/>
      <charset val="134"/>
    </font>
    <font>
      <b/>
      <sz val="10"/>
      <name val="等线"/>
      <charset val="134"/>
    </font>
    <font>
      <b/>
      <sz val="12"/>
      <name val="等线"/>
      <charset val="134"/>
    </font>
    <font>
      <u/>
      <sz val="11"/>
      <color rgb="FF800080"/>
      <name val="宋体"/>
      <charset val="0"/>
      <scheme val="minor"/>
    </font>
    <font>
      <b/>
      <sz val="12"/>
      <name val="宋体"/>
      <charset val="134"/>
    </font>
    <font>
      <b/>
      <sz val="14"/>
      <color theme="0"/>
      <name val="微软雅黑"/>
      <charset val="134"/>
    </font>
    <font>
      <sz val="20"/>
      <name val="微软雅黑"/>
      <charset val="134"/>
    </font>
    <font>
      <sz val="16"/>
      <name val="微软雅黑"/>
      <charset val="134"/>
    </font>
    <font>
      <sz val="11"/>
      <name val="等线"/>
      <charset val="134"/>
    </font>
    <font>
      <b/>
      <sz val="16"/>
      <name val="等线"/>
      <charset val="134"/>
    </font>
    <font>
      <b/>
      <sz val="12"/>
      <name val="微软雅黑"/>
      <charset val="134"/>
    </font>
    <font>
      <sz val="12"/>
      <color theme="4" tint="0.6"/>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5">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2" tint="-0.1"/>
        <bgColor indexed="64"/>
      </patternFill>
    </fill>
    <fill>
      <patternFill patternType="solid">
        <fgColor theme="0"/>
        <bgColor indexed="64"/>
      </patternFill>
    </fill>
    <fill>
      <patternFill patternType="solid">
        <fgColor theme="5" tint="0.4"/>
        <bgColor indexed="64"/>
      </patternFill>
    </fill>
    <fill>
      <patternFill patternType="solid">
        <fgColor theme="4" tint="0.6"/>
        <bgColor indexed="64"/>
      </patternFill>
    </fill>
    <fill>
      <patternFill patternType="solid">
        <fgColor theme="0" tint="-0.1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5"/>
      </left>
      <right style="thin">
        <color theme="0" tint="-0.35"/>
      </right>
      <top style="thin">
        <color theme="0" tint="-0.35"/>
      </top>
      <bottom style="thin">
        <color theme="0" tint="-0.35"/>
      </bottom>
      <diagonal/>
    </border>
    <border>
      <left style="thin">
        <color theme="2" tint="-0.25"/>
      </left>
      <right style="thin">
        <color theme="2" tint="-0.25"/>
      </right>
      <top style="thin">
        <color theme="2" tint="-0.25"/>
      </top>
      <bottom style="thin">
        <color theme="2" tint="-0.25"/>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9" fillId="0" borderId="0" applyFont="0" applyFill="0" applyBorder="0" applyAlignment="0" applyProtection="0">
      <alignment vertical="center"/>
    </xf>
    <xf numFmtId="44" fontId="19" fillId="0" borderId="0" applyFont="0" applyFill="0" applyBorder="0" applyAlignment="0" applyProtection="0">
      <alignment vertical="center"/>
    </xf>
    <xf numFmtId="9" fontId="19" fillId="0" borderId="0" applyFont="0" applyFill="0" applyBorder="0" applyAlignment="0" applyProtection="0">
      <alignment vertical="center"/>
    </xf>
    <xf numFmtId="41" fontId="19" fillId="0" borderId="0" applyFont="0" applyFill="0" applyBorder="0" applyAlignment="0" applyProtection="0">
      <alignment vertical="center"/>
    </xf>
    <xf numFmtId="42" fontId="19" fillId="0" borderId="0" applyFont="0" applyFill="0" applyBorder="0" applyAlignment="0" applyProtection="0">
      <alignment vertical="center"/>
    </xf>
    <xf numFmtId="0" fontId="34"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9" fillId="15" borderId="10" applyNumberFormat="0" applyFont="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11" applyNumberFormat="0" applyFill="0" applyAlignment="0" applyProtection="0">
      <alignment vertical="center"/>
    </xf>
    <xf numFmtId="0" fontId="39" fillId="0" borderId="11" applyNumberFormat="0" applyFill="0" applyAlignment="0" applyProtection="0">
      <alignment vertical="center"/>
    </xf>
    <xf numFmtId="0" fontId="40" fillId="0" borderId="12" applyNumberFormat="0" applyFill="0" applyAlignment="0" applyProtection="0">
      <alignment vertical="center"/>
    </xf>
    <xf numFmtId="0" fontId="40" fillId="0" borderId="0" applyNumberFormat="0" applyFill="0" applyBorder="0" applyAlignment="0" applyProtection="0">
      <alignment vertical="center"/>
    </xf>
    <xf numFmtId="0" fontId="41" fillId="16" borderId="13" applyNumberFormat="0" applyAlignment="0" applyProtection="0">
      <alignment vertical="center"/>
    </xf>
    <xf numFmtId="0" fontId="42" fillId="17" borderId="14" applyNumberFormat="0" applyAlignment="0" applyProtection="0">
      <alignment vertical="center"/>
    </xf>
    <xf numFmtId="0" fontId="43" fillId="17" borderId="13" applyNumberFormat="0" applyAlignment="0" applyProtection="0">
      <alignment vertical="center"/>
    </xf>
    <xf numFmtId="0" fontId="44" fillId="18" borderId="15" applyNumberFormat="0" applyAlignment="0" applyProtection="0">
      <alignment vertical="center"/>
    </xf>
    <xf numFmtId="0" fontId="45" fillId="0" borderId="16" applyNumberFormat="0" applyFill="0" applyAlignment="0" applyProtection="0">
      <alignment vertical="center"/>
    </xf>
    <xf numFmtId="0" fontId="46" fillId="0" borderId="17" applyNumberFormat="0" applyFill="0" applyAlignment="0" applyProtection="0">
      <alignment vertical="center"/>
    </xf>
    <xf numFmtId="0" fontId="47" fillId="19" borderId="0" applyNumberFormat="0" applyBorder="0" applyAlignment="0" applyProtection="0">
      <alignment vertical="center"/>
    </xf>
    <xf numFmtId="0" fontId="48" fillId="20" borderId="0" applyNumberFormat="0" applyBorder="0" applyAlignment="0" applyProtection="0">
      <alignment vertical="center"/>
    </xf>
    <xf numFmtId="0" fontId="49" fillId="21" borderId="0" applyNumberFormat="0" applyBorder="0" applyAlignment="0" applyProtection="0">
      <alignment vertical="center"/>
    </xf>
    <xf numFmtId="0" fontId="50" fillId="22" borderId="0" applyNumberFormat="0" applyBorder="0" applyAlignment="0" applyProtection="0">
      <alignment vertical="center"/>
    </xf>
    <xf numFmtId="0" fontId="51" fillId="23" borderId="0" applyNumberFormat="0" applyBorder="0" applyAlignment="0" applyProtection="0">
      <alignment vertical="center"/>
    </xf>
    <xf numFmtId="0" fontId="51" fillId="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51" fillId="26" borderId="0" applyNumberFormat="0" applyBorder="0" applyAlignment="0" applyProtection="0">
      <alignment vertical="center"/>
    </xf>
    <xf numFmtId="0" fontId="51"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51" fillId="30" borderId="0" applyNumberFormat="0" applyBorder="0" applyAlignment="0" applyProtection="0">
      <alignment vertical="center"/>
    </xf>
    <xf numFmtId="0" fontId="51"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51" fillId="34" borderId="0" applyNumberFormat="0" applyBorder="0" applyAlignment="0" applyProtection="0">
      <alignment vertical="center"/>
    </xf>
    <xf numFmtId="0" fontId="51" fillId="35" borderId="0" applyNumberFormat="0" applyBorder="0" applyAlignment="0" applyProtection="0">
      <alignment vertical="center"/>
    </xf>
    <xf numFmtId="0" fontId="50" fillId="36" borderId="0" applyNumberFormat="0" applyBorder="0" applyAlignment="0" applyProtection="0">
      <alignment vertical="center"/>
    </xf>
    <xf numFmtId="0" fontId="50" fillId="37" borderId="0" applyNumberFormat="0" applyBorder="0" applyAlignment="0" applyProtection="0">
      <alignment vertical="center"/>
    </xf>
    <xf numFmtId="0" fontId="51" fillId="38" borderId="0" applyNumberFormat="0" applyBorder="0" applyAlignment="0" applyProtection="0">
      <alignment vertical="center"/>
    </xf>
    <xf numFmtId="0" fontId="51" fillId="39" borderId="0" applyNumberFormat="0" applyBorder="0" applyAlignment="0" applyProtection="0">
      <alignment vertical="center"/>
    </xf>
    <xf numFmtId="0" fontId="50" fillId="40" borderId="0" applyNumberFormat="0" applyBorder="0" applyAlignment="0" applyProtection="0">
      <alignment vertical="center"/>
    </xf>
    <xf numFmtId="0" fontId="50" fillId="41" borderId="0" applyNumberFormat="0" applyBorder="0" applyAlignment="0" applyProtection="0">
      <alignment vertical="center"/>
    </xf>
    <xf numFmtId="0" fontId="51" fillId="42" borderId="0" applyNumberFormat="0" applyBorder="0" applyAlignment="0" applyProtection="0">
      <alignment vertical="center"/>
    </xf>
    <xf numFmtId="0" fontId="51" fillId="43" borderId="0" applyNumberFormat="0" applyBorder="0" applyAlignment="0" applyProtection="0">
      <alignment vertical="center"/>
    </xf>
    <xf numFmtId="0" fontId="50" fillId="44" borderId="0" applyNumberFormat="0" applyBorder="0" applyAlignment="0" applyProtection="0">
      <alignment vertical="center"/>
    </xf>
  </cellStyleXfs>
  <cellXfs count="103">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2" borderId="0" xfId="0" applyFont="1" applyFill="1" applyAlignment="1">
      <alignment horizontal="center" vertical="center"/>
    </xf>
    <xf numFmtId="0" fontId="5" fillId="0" borderId="0" xfId="0" applyFont="1" applyFill="1" applyAlignment="1">
      <alignment horizontal="center" vertical="center"/>
    </xf>
    <xf numFmtId="0" fontId="6" fillId="5"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7" fillId="0" borderId="3" xfId="0" applyFont="1" applyFill="1" applyBorder="1" applyAlignment="1">
      <alignment horizontal="center" vertical="center"/>
    </xf>
    <xf numFmtId="0" fontId="2" fillId="0" borderId="1" xfId="0" applyFont="1" applyFill="1" applyBorder="1" applyAlignment="1">
      <alignment horizontal="center" vertical="center" wrapText="1"/>
    </xf>
    <xf numFmtId="0" fontId="1" fillId="0" borderId="0" xfId="0" applyFont="1" applyFill="1" applyAlignment="1">
      <alignment horizontal="center" vertical="center" wrapText="1"/>
    </xf>
    <xf numFmtId="0" fontId="8" fillId="0" borderId="3" xfId="0" applyFont="1" applyFill="1" applyBorder="1" applyAlignment="1">
      <alignment horizontal="center" vertical="center" wrapText="1"/>
    </xf>
    <xf numFmtId="0" fontId="6" fillId="5" borderId="1" xfId="0" applyFont="1" applyFill="1" applyBorder="1" applyAlignment="1">
      <alignment horizontal="center" vertical="center" wrapText="1"/>
    </xf>
    <xf numFmtId="0" fontId="9" fillId="0" borderId="0" xfId="6" applyFont="1">
      <alignment vertical="center"/>
    </xf>
    <xf numFmtId="0" fontId="9" fillId="0" borderId="1" xfId="6"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10" fillId="6" borderId="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8"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6" fillId="5" borderId="1" xfId="0" applyNumberFormat="1" applyFont="1" applyFill="1" applyBorder="1" applyAlignment="1">
      <alignment horizontal="center" vertical="center"/>
    </xf>
    <xf numFmtId="0" fontId="6" fillId="5" borderId="7" xfId="0" applyFont="1" applyFill="1" applyBorder="1" applyAlignment="1">
      <alignment horizontal="center" vertical="center"/>
    </xf>
    <xf numFmtId="49" fontId="6" fillId="5" borderId="7"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0" fontId="6" fillId="5" borderId="8" xfId="0" applyFont="1" applyFill="1" applyBorder="1" applyAlignment="1">
      <alignment horizontal="center" vertical="center"/>
    </xf>
    <xf numFmtId="177" fontId="6" fillId="5" borderId="8" xfId="0" applyNumberFormat="1" applyFont="1" applyFill="1" applyBorder="1" applyAlignment="1">
      <alignment horizontal="center" vertical="center"/>
    </xf>
    <xf numFmtId="0" fontId="11" fillId="3" borderId="0" xfId="0" applyFont="1" applyFill="1" applyAlignment="1">
      <alignment horizontal="center" vertical="center"/>
    </xf>
    <xf numFmtId="0" fontId="2" fillId="7"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7" borderId="0" xfId="0" applyFont="1" applyFill="1" applyBorder="1" applyAlignment="1">
      <alignment horizontal="center" vertical="center"/>
    </xf>
    <xf numFmtId="0" fontId="12" fillId="7" borderId="0" xfId="0" applyFont="1" applyFill="1" applyBorder="1" applyAlignment="1">
      <alignment horizontal="center" vertical="center"/>
    </xf>
    <xf numFmtId="0" fontId="13" fillId="7" borderId="0" xfId="0" applyFont="1" applyFill="1" applyBorder="1" applyAlignment="1">
      <alignment horizontal="center" vertical="center"/>
    </xf>
    <xf numFmtId="0" fontId="14" fillId="7" borderId="0" xfId="0" applyFont="1" applyFill="1" applyBorder="1" applyAlignment="1">
      <alignment horizontal="center" vertical="center"/>
    </xf>
    <xf numFmtId="22" fontId="14" fillId="7" borderId="0" xfId="0" applyNumberFormat="1" applyFont="1" applyFill="1" applyBorder="1" applyAlignment="1">
      <alignment horizontal="center" vertical="center"/>
    </xf>
    <xf numFmtId="0" fontId="6" fillId="5" borderId="3" xfId="0" applyFont="1" applyFill="1" applyBorder="1" applyAlignment="1">
      <alignment horizontal="center" vertical="center"/>
    </xf>
    <xf numFmtId="0" fontId="2" fillId="7" borderId="3" xfId="0" applyFont="1" applyFill="1" applyBorder="1" applyAlignment="1">
      <alignment horizontal="center" vertical="center"/>
    </xf>
    <xf numFmtId="0" fontId="6" fillId="7" borderId="1" xfId="0" applyFont="1" applyFill="1" applyBorder="1" applyAlignment="1">
      <alignment horizontal="center" vertical="center"/>
    </xf>
    <xf numFmtId="178" fontId="6" fillId="7" borderId="1"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5" fillId="2" borderId="0" xfId="0" applyFont="1" applyFill="1" applyAlignment="1">
      <alignment horizontal="center" vertical="center"/>
    </xf>
    <xf numFmtId="0" fontId="2" fillId="7" borderId="1" xfId="0" applyFont="1" applyFill="1" applyBorder="1" applyAlignment="1">
      <alignment horizontal="center" vertical="center"/>
    </xf>
    <xf numFmtId="0" fontId="15" fillId="8" borderId="0" xfId="0" applyFont="1" applyFill="1" applyAlignment="1">
      <alignment horizontal="center" vertical="center"/>
    </xf>
    <xf numFmtId="0" fontId="16" fillId="3" borderId="0" xfId="0" applyFont="1" applyFill="1" applyAlignment="1">
      <alignment horizontal="center" vertical="center"/>
    </xf>
    <xf numFmtId="0" fontId="1" fillId="7" borderId="9" xfId="0" applyFont="1" applyFill="1" applyBorder="1" applyAlignment="1">
      <alignment horizontal="center" vertical="center"/>
    </xf>
    <xf numFmtId="0" fontId="0" fillId="9" borderId="0" xfId="0" applyFill="1">
      <alignment vertical="center"/>
    </xf>
    <xf numFmtId="0" fontId="8" fillId="10" borderId="4" xfId="0" applyFont="1" applyFill="1" applyBorder="1" applyAlignment="1">
      <alignment horizontal="center" vertical="center"/>
    </xf>
    <xf numFmtId="0" fontId="17" fillId="3" borderId="0" xfId="0" applyFont="1" applyFill="1" applyAlignment="1">
      <alignment horizontal="center" vertical="center"/>
    </xf>
    <xf numFmtId="0" fontId="17" fillId="9" borderId="0" xfId="0" applyFont="1" applyFill="1" applyAlignment="1">
      <alignment horizontal="center" vertical="center"/>
    </xf>
    <xf numFmtId="0" fontId="1" fillId="7" borderId="4" xfId="0" applyFont="1" applyFill="1" applyBorder="1" applyAlignment="1">
      <alignment horizontal="center" vertical="center"/>
    </xf>
    <xf numFmtId="179" fontId="1" fillId="7" borderId="4" xfId="0" applyNumberFormat="1" applyFont="1" applyFill="1" applyBorder="1" applyAlignment="1">
      <alignment horizontal="center" vertical="center"/>
    </xf>
    <xf numFmtId="14" fontId="0" fillId="0" borderId="0" xfId="0" applyNumberFormat="1">
      <alignment vertical="center"/>
    </xf>
    <xf numFmtId="0" fontId="18" fillId="11" borderId="0" xfId="0" applyFont="1" applyFill="1" applyAlignment="1" applyProtection="1">
      <alignment horizontal="left" vertical="center"/>
    </xf>
    <xf numFmtId="0" fontId="19" fillId="12" borderId="0" xfId="0" applyFont="1" applyFill="1" applyAlignment="1" applyProtection="1">
      <alignment vertical="center"/>
    </xf>
    <xf numFmtId="0" fontId="20" fillId="12" borderId="0" xfId="0" applyFont="1" applyFill="1" applyAlignment="1" applyProtection="1">
      <alignment horizontal="left" vertical="center"/>
    </xf>
    <xf numFmtId="0" fontId="20" fillId="7" borderId="0" xfId="0" applyFont="1" applyFill="1" applyAlignment="1" applyProtection="1">
      <alignment horizontal="left" vertical="center"/>
    </xf>
    <xf numFmtId="49" fontId="21" fillId="7" borderId="0" xfId="0" applyNumberFormat="1" applyFont="1" applyFill="1" applyAlignment="1" applyProtection="1">
      <alignment horizontal="right" vertical="center"/>
    </xf>
    <xf numFmtId="0" fontId="22" fillId="7" borderId="0" xfId="0" applyFont="1" applyFill="1" applyAlignment="1" applyProtection="1">
      <alignment horizontal="left" vertical="center"/>
    </xf>
    <xf numFmtId="0" fontId="23" fillId="11" borderId="0" xfId="0" applyFont="1" applyFill="1" applyAlignment="1" applyProtection="1">
      <alignment horizontal="center" vertical="center"/>
    </xf>
    <xf numFmtId="49" fontId="24" fillId="11" borderId="0" xfId="0" applyNumberFormat="1" applyFont="1" applyFill="1" applyAlignment="1" applyProtection="1">
      <alignment horizontal="left" vertical="center"/>
    </xf>
    <xf numFmtId="49" fontId="18" fillId="11" borderId="0" xfId="0" applyNumberFormat="1" applyFont="1" applyFill="1" applyAlignment="1" applyProtection="1">
      <alignment horizontal="left" vertical="center"/>
    </xf>
    <xf numFmtId="49" fontId="25" fillId="12" borderId="0" xfId="0" applyNumberFormat="1" applyFont="1" applyFill="1" applyAlignment="1" applyProtection="1">
      <alignment horizontal="right" vertical="center"/>
    </xf>
    <xf numFmtId="49" fontId="25" fillId="7" borderId="0" xfId="0" applyNumberFormat="1" applyFont="1" applyFill="1" applyAlignment="1" applyProtection="1">
      <alignment horizontal="center" vertical="center"/>
    </xf>
    <xf numFmtId="49" fontId="26" fillId="13" borderId="0" xfId="0" applyNumberFormat="1" applyFont="1" applyFill="1" applyAlignment="1" applyProtection="1">
      <alignment horizontal="center" vertical="center" wrapText="1"/>
    </xf>
    <xf numFmtId="0" fontId="27" fillId="13" borderId="0" xfId="0" applyFont="1" applyFill="1" applyAlignment="1" applyProtection="1">
      <alignment horizontal="center" vertical="center" wrapText="1"/>
    </xf>
    <xf numFmtId="180" fontId="28" fillId="13" borderId="0" xfId="0" applyNumberFormat="1" applyFont="1" applyFill="1" applyAlignment="1" applyProtection="1">
      <alignment horizontal="right" vertical="center" indent="1"/>
    </xf>
    <xf numFmtId="0" fontId="29" fillId="13" borderId="0" xfId="0" applyFont="1" applyFill="1" applyAlignment="1" applyProtection="1">
      <alignment horizontal="center" vertical="center" wrapText="1"/>
    </xf>
    <xf numFmtId="49" fontId="27" fillId="13" borderId="0" xfId="0" applyNumberFormat="1" applyFont="1" applyFill="1" applyAlignment="1" applyProtection="1">
      <alignment horizontal="center" vertical="center" wrapText="1"/>
    </xf>
    <xf numFmtId="0" fontId="29" fillId="13" borderId="0" xfId="0" applyFont="1" applyFill="1" applyAlignment="1" applyProtection="1">
      <alignment vertical="center" wrapText="1"/>
    </xf>
    <xf numFmtId="49" fontId="21" fillId="14" borderId="0" xfId="0" applyNumberFormat="1" applyFont="1" applyFill="1" applyAlignment="1" applyProtection="1">
      <alignment horizontal="center" vertical="center" wrapText="1"/>
    </xf>
    <xf numFmtId="0" fontId="30" fillId="14" borderId="0" xfId="0" applyFont="1" applyFill="1" applyAlignment="1" applyProtection="1">
      <alignment horizontal="center" vertical="center" wrapText="1"/>
    </xf>
    <xf numFmtId="0" fontId="22" fillId="14" borderId="0" xfId="0" applyFont="1" applyFill="1" applyAlignment="1" applyProtection="1">
      <alignment horizontal="left" vertical="center"/>
    </xf>
    <xf numFmtId="0" fontId="31" fillId="3" borderId="0" xfId="0" applyFont="1" applyFill="1" applyAlignment="1">
      <alignment vertical="center"/>
    </xf>
    <xf numFmtId="0" fontId="32" fillId="3" borderId="0" xfId="0" applyFont="1" applyFill="1" applyAlignment="1">
      <alignment vertical="center"/>
    </xf>
    <xf numFmtId="0" fontId="33" fillId="3" borderId="0" xfId="0" applyFont="1" applyFill="1" applyAlignment="1">
      <alignment vertical="center"/>
    </xf>
    <xf numFmtId="0" fontId="33" fillId="3" borderId="0" xfId="0" applyFont="1" applyFill="1" applyBorder="1" applyAlignment="1">
      <alignment vertical="center"/>
    </xf>
    <xf numFmtId="0" fontId="6" fillId="3" borderId="0" xfId="0" applyFont="1" applyFill="1" applyAlignment="1">
      <alignment vertical="center"/>
    </xf>
    <xf numFmtId="0" fontId="6" fillId="3" borderId="0" xfId="0" applyFont="1" applyFill="1" applyBorder="1" applyAlignment="1">
      <alignment vertical="center"/>
    </xf>
    <xf numFmtId="0" fontId="31"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6" Type="http://schemas.openxmlformats.org/officeDocument/2006/relationships/styles" Target="styles.xml"/><Relationship Id="rId35" Type="http://schemas.microsoft.com/office/2006/relationships/vbaProject" Target="vbaProject.bin"/><Relationship Id="rId34" Type="http://schemas.openxmlformats.org/officeDocument/2006/relationships/sharedStrings" Target="sharedStrings.xml"/><Relationship Id="rId33" Type="http://schemas.openxmlformats.org/officeDocument/2006/relationships/theme" Target="theme/theme1.xml"/><Relationship Id="rId32" Type="http://schemas.openxmlformats.org/officeDocument/2006/relationships/customXml" Target="../customXml/item1.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销售退货统计!$N$3:$U$3</c:f>
              <c:strCache>
                <c:ptCount val="8"/>
                <c:pt idx="0">
                  <c:v>B仓库</c:v>
                </c:pt>
                <c:pt idx="1">
                  <c:v>A仓库</c:v>
                </c:pt>
              </c:strCache>
            </c:strRef>
          </c:cat>
          <c:val>
            <c:numRef>
              <c:f>销售退货统计!$N$4:$U$4</c:f>
              <c:numCache>
                <c:formatCode>General</c:formatCode>
                <c:ptCount val="8"/>
                <c:pt idx="0">
                  <c:v>12</c:v>
                </c:pt>
                <c:pt idx="1">
                  <c:v>12</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3820e598-4046-41bf-8924-0c78b13b6e60}"/>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销售退货统计!$N$3:$U$3</c:f>
              <c:strCache>
                <c:ptCount val="8"/>
                <c:pt idx="0">
                  <c:v>B仓库</c:v>
                </c:pt>
                <c:pt idx="1">
                  <c:v>A仓库</c:v>
                </c:pt>
              </c:strCache>
            </c:strRef>
          </c:cat>
          <c:val>
            <c:numRef>
              <c:f>销售退货统计!$N$4:$U$4</c:f>
              <c:numCache>
                <c:formatCode>General</c:formatCode>
                <c:ptCount val="8"/>
                <c:pt idx="0">
                  <c:v>12</c:v>
                </c:pt>
                <c:pt idx="1">
                  <c:v>12</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2b68a73c-8af1-4aa8-9154-6a3ebcb0f516}"/>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采购退货统计!$N$3:$U$3</c:f>
              <c:strCache>
                <c:ptCount val="8"/>
                <c:pt idx="0">
                  <c:v>B仓库</c:v>
                </c:pt>
                <c:pt idx="1">
                  <c:v>A仓库</c:v>
                </c:pt>
                <c:pt idx="2">
                  <c:v>C仓库</c:v>
                </c:pt>
                <c:pt idx="3">
                  <c:v>aa</c:v>
                </c:pt>
                <c:pt idx="4">
                  <c:v>123a</c:v>
                </c:pt>
                <c:pt idx="5">
                  <c:v>12</c:v>
                </c:pt>
              </c:strCache>
            </c:strRef>
          </c:cat>
          <c:val>
            <c:numRef>
              <c:f>采购退货统计!$N$4:$U$4</c:f>
              <c:numCache>
                <c:formatCode>General</c:formatCode>
                <c:ptCount val="8"/>
                <c:pt idx="0">
                  <c:v>6</c:v>
                </c:pt>
                <c:pt idx="1">
                  <c:v>49</c:v>
                </c:pt>
                <c:pt idx="2">
                  <c:v>4</c:v>
                </c:pt>
                <c:pt idx="3">
                  <c:v>5</c:v>
                </c:pt>
                <c:pt idx="4">
                  <c:v>11</c:v>
                </c:pt>
                <c:pt idx="5">
                  <c:v>1</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采购退货统计!$N$3:$U$3</c:f>
              <c:strCache>
                <c:ptCount val="8"/>
                <c:pt idx="0">
                  <c:v>B仓库</c:v>
                </c:pt>
                <c:pt idx="1">
                  <c:v>A仓库</c:v>
                </c:pt>
                <c:pt idx="2">
                  <c:v>C仓库</c:v>
                </c:pt>
                <c:pt idx="3">
                  <c:v>aa</c:v>
                </c:pt>
                <c:pt idx="4">
                  <c:v>123a</c:v>
                </c:pt>
                <c:pt idx="5">
                  <c:v>12</c:v>
                </c:pt>
              </c:strCache>
            </c:strRef>
          </c:cat>
          <c:val>
            <c:numRef>
              <c:f>采购退货统计!$N$4:$U$4</c:f>
              <c:numCache>
                <c:formatCode>General</c:formatCode>
                <c:ptCount val="8"/>
                <c:pt idx="0">
                  <c:v>6</c:v>
                </c:pt>
                <c:pt idx="1">
                  <c:v>49</c:v>
                </c:pt>
                <c:pt idx="2">
                  <c:v>4</c:v>
                </c:pt>
                <c:pt idx="3">
                  <c:v>5</c:v>
                </c:pt>
                <c:pt idx="4">
                  <c:v>11</c:v>
                </c:pt>
                <c:pt idx="5">
                  <c:v>1</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进出明细统计!$N$3:$U$3</c:f>
              <c:strCache>
                <c:ptCount val="8"/>
                <c:pt idx="0">
                  <c:v>A仓库</c:v>
                </c:pt>
                <c:pt idx="1">
                  <c:v>C仓库</c:v>
                </c:pt>
                <c:pt idx="2">
                  <c:v>22</c:v>
                </c:pt>
              </c:strCache>
            </c:strRef>
          </c:cat>
          <c:val>
            <c:numRef>
              <c:f>进出明细统计!$N$4:$U$4</c:f>
              <c:numCache>
                <c:formatCode>General</c:formatCode>
                <c:ptCount val="8"/>
                <c:pt idx="0">
                  <c:v>17</c:v>
                </c:pt>
                <c:pt idx="1">
                  <c:v>3</c:v>
                </c:pt>
                <c:pt idx="2">
                  <c:v>1</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进出明细统计!$N$3:$U$3</c:f>
              <c:strCache>
                <c:ptCount val="8"/>
                <c:pt idx="0">
                  <c:v>A仓库</c:v>
                </c:pt>
                <c:pt idx="1">
                  <c:v>C仓库</c:v>
                </c:pt>
                <c:pt idx="2">
                  <c:v>22</c:v>
                </c:pt>
              </c:strCache>
            </c:strRef>
          </c:cat>
          <c:val>
            <c:numRef>
              <c:f>进出明细统计!$N$4:$U$4</c:f>
              <c:numCache>
                <c:formatCode>General</c:formatCode>
                <c:ptCount val="8"/>
                <c:pt idx="0">
                  <c:v>17</c:v>
                </c:pt>
                <c:pt idx="1">
                  <c:v>3</c:v>
                </c:pt>
                <c:pt idx="2">
                  <c:v>1</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21333;!A1"/><Relationship Id="rId7" Type="http://schemas.openxmlformats.org/officeDocument/2006/relationships/hyperlink" Target="#&#37319;&#36141;&#36864;&#36135;&#32479;&#35745;!A1"/><Relationship Id="rId6" Type="http://schemas.openxmlformats.org/officeDocument/2006/relationships/hyperlink" Target="#&#38144;&#21806;&#36864;&#36135;&#32479;&#35745;!A1"/><Relationship Id="rId5" Type="http://schemas.openxmlformats.org/officeDocument/2006/relationships/hyperlink" Target="#&#37319;&#36141;&#36864;&#36135;!A1"/><Relationship Id="rId4" Type="http://schemas.openxmlformats.org/officeDocument/2006/relationships/hyperlink" Target="#&#38144;&#21806;&#36864;&#36135;!A1"/><Relationship Id="rId3" Type="http://schemas.openxmlformats.org/officeDocument/2006/relationships/hyperlink" Target="#&#24211;&#23384;&#30424;&#28857;!A1"/><Relationship Id="rId2" Type="http://schemas.openxmlformats.org/officeDocument/2006/relationships/hyperlink" Target="#&#24211;&#23384;&#35843;&#25320;!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6410;&#20837;&#24211;&#26126;&#32454;!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9.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2.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4.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6.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1.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3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3" Type="http://schemas.openxmlformats.org/officeDocument/2006/relationships/image" Target="../media/image2.png"/><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vmlDrawing8.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28</xdr:col>
      <xdr:colOff>1270</xdr:colOff>
      <xdr:row>6</xdr:row>
      <xdr:rowOff>167640</xdr:rowOff>
    </xdr:from>
    <xdr:to>
      <xdr:col>33</xdr:col>
      <xdr:colOff>60325</xdr:colOff>
      <xdr:row>9</xdr:row>
      <xdr:rowOff>186690</xdr:rowOff>
    </xdr:to>
    <xdr:sp macro="[0]!asht10">
      <xdr:nvSpPr>
        <xdr:cNvPr id="27" name="圆角矩形 14"/>
        <xdr:cNvSpPr/>
      </xdr:nvSpPr>
      <xdr:spPr>
        <a:xfrm>
          <a:off x="773557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6</xdr:row>
      <xdr:rowOff>167640</xdr:rowOff>
    </xdr:from>
    <xdr:to>
      <xdr:col>39</xdr:col>
      <xdr:colOff>12700</xdr:colOff>
      <xdr:row>9</xdr:row>
      <xdr:rowOff>186690</xdr:rowOff>
    </xdr:to>
    <xdr:sp macro="[0]!asht11">
      <xdr:nvSpPr>
        <xdr:cNvPr id="28" name="圆角矩形 16"/>
        <xdr:cNvSpPr/>
      </xdr:nvSpPr>
      <xdr:spPr>
        <a:xfrm>
          <a:off x="9345295"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6</xdr:row>
      <xdr:rowOff>167640</xdr:rowOff>
    </xdr:from>
    <xdr:to>
      <xdr:col>16</xdr:col>
      <xdr:colOff>50800</xdr:colOff>
      <xdr:row>9</xdr:row>
      <xdr:rowOff>186690</xdr:rowOff>
    </xdr:to>
    <xdr:sp macro="[0]!asht8">
      <xdr:nvSpPr>
        <xdr:cNvPr id="29" name="圆角矩形 4"/>
        <xdr:cNvSpPr/>
      </xdr:nvSpPr>
      <xdr:spPr>
        <a:xfrm>
          <a:off x="303022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6</xdr:row>
      <xdr:rowOff>167640</xdr:rowOff>
    </xdr:from>
    <xdr:to>
      <xdr:col>27</xdr:col>
      <xdr:colOff>180975</xdr:colOff>
      <xdr:row>9</xdr:row>
      <xdr:rowOff>186690</xdr:rowOff>
    </xdr:to>
    <xdr:sp macro="[0]!asht9">
      <xdr:nvSpPr>
        <xdr:cNvPr id="30" name="圆角矩形 8"/>
        <xdr:cNvSpPr/>
      </xdr:nvSpPr>
      <xdr:spPr>
        <a:xfrm>
          <a:off x="619887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10</xdr:col>
      <xdr:colOff>267970</xdr:colOff>
      <xdr:row>3</xdr:row>
      <xdr:rowOff>62865</xdr:rowOff>
    </xdr:from>
    <xdr:to>
      <xdr:col>16</xdr:col>
      <xdr:colOff>50800</xdr:colOff>
      <xdr:row>6</xdr:row>
      <xdr:rowOff>81915</xdr:rowOff>
    </xdr:to>
    <xdr:sp macro="[0]!asht4">
      <xdr:nvSpPr>
        <xdr:cNvPr id="33" name="圆角矩形 3"/>
        <xdr:cNvSpPr/>
      </xdr:nvSpPr>
      <xdr:spPr>
        <a:xfrm>
          <a:off x="303022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3</xdr:row>
      <xdr:rowOff>62865</xdr:rowOff>
    </xdr:from>
    <xdr:to>
      <xdr:col>27</xdr:col>
      <xdr:colOff>180975</xdr:colOff>
      <xdr:row>6</xdr:row>
      <xdr:rowOff>81915</xdr:rowOff>
    </xdr:to>
    <xdr:sp macro="[0]!asht5">
      <xdr:nvSpPr>
        <xdr:cNvPr id="34" name="圆角矩形 7"/>
        <xdr:cNvSpPr/>
      </xdr:nvSpPr>
      <xdr:spPr>
        <a:xfrm>
          <a:off x="61988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3</xdr:row>
      <xdr:rowOff>62865</xdr:rowOff>
    </xdr:from>
    <xdr:to>
      <xdr:col>33</xdr:col>
      <xdr:colOff>60325</xdr:colOff>
      <xdr:row>6</xdr:row>
      <xdr:rowOff>81915</xdr:rowOff>
    </xdr:to>
    <xdr:sp macro="[0]!asht6">
      <xdr:nvSpPr>
        <xdr:cNvPr id="35" name="圆角矩形 13"/>
        <xdr:cNvSpPr/>
      </xdr:nvSpPr>
      <xdr:spPr>
        <a:xfrm>
          <a:off x="77355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3</xdr:row>
      <xdr:rowOff>62865</xdr:rowOff>
    </xdr:from>
    <xdr:to>
      <xdr:col>39</xdr:col>
      <xdr:colOff>12700</xdr:colOff>
      <xdr:row>6</xdr:row>
      <xdr:rowOff>81915</xdr:rowOff>
    </xdr:to>
    <xdr:sp macro="[0]!asht7">
      <xdr:nvSpPr>
        <xdr:cNvPr id="36" name="圆角矩形 15"/>
        <xdr:cNvSpPr/>
      </xdr:nvSpPr>
      <xdr:spPr>
        <a:xfrm>
          <a:off x="9345295"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10</xdr:col>
      <xdr:colOff>267970</xdr:colOff>
      <xdr:row>10</xdr:row>
      <xdr:rowOff>59055</xdr:rowOff>
    </xdr:from>
    <xdr:to>
      <xdr:col>16</xdr:col>
      <xdr:colOff>50800</xdr:colOff>
      <xdr:row>13</xdr:row>
      <xdr:rowOff>78105</xdr:rowOff>
    </xdr:to>
    <xdr:sp macro="[0]!asht12">
      <xdr:nvSpPr>
        <xdr:cNvPr id="5" name="圆角矩形 4"/>
        <xdr:cNvSpPr/>
      </xdr:nvSpPr>
      <xdr:spPr>
        <a:xfrm>
          <a:off x="303022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10</xdr:row>
      <xdr:rowOff>59055</xdr:rowOff>
    </xdr:from>
    <xdr:to>
      <xdr:col>21</xdr:col>
      <xdr:colOff>263525</xdr:colOff>
      <xdr:row>13</xdr:row>
      <xdr:rowOff>78105</xdr:rowOff>
    </xdr:to>
    <xdr:sp macro="[0]!asht13">
      <xdr:nvSpPr>
        <xdr:cNvPr id="6" name="圆角矩形 8"/>
        <xdr:cNvSpPr/>
      </xdr:nvSpPr>
      <xdr:spPr>
        <a:xfrm>
          <a:off x="46240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106045</xdr:colOff>
      <xdr:row>20</xdr:row>
      <xdr:rowOff>172085</xdr:rowOff>
    </xdr:from>
    <xdr:to>
      <xdr:col>25</xdr:col>
      <xdr:colOff>180975</xdr:colOff>
      <xdr:row>22</xdr:row>
      <xdr:rowOff>189865</xdr:rowOff>
    </xdr:to>
    <xdr:sp macro="[0]!denglu_show">
      <xdr:nvSpPr>
        <xdr:cNvPr id="3" name="圆角矩形 24"/>
        <xdr:cNvSpPr/>
      </xdr:nvSpPr>
      <xdr:spPr>
        <a:xfrm>
          <a:off x="56305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97790</xdr:colOff>
      <xdr:row>20</xdr:row>
      <xdr:rowOff>172085</xdr:rowOff>
    </xdr:from>
    <xdr:to>
      <xdr:col>32</xdr:col>
      <xdr:colOff>173355</xdr:colOff>
      <xdr:row>22</xdr:row>
      <xdr:rowOff>189865</xdr:rowOff>
    </xdr:to>
    <xdr:sp macro="[0]!xiugaimima_show">
      <xdr:nvSpPr>
        <xdr:cNvPr id="4" name="圆角矩形 24"/>
        <xdr:cNvSpPr/>
      </xdr:nvSpPr>
      <xdr:spPr>
        <a:xfrm>
          <a:off x="75558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16</xdr:col>
      <xdr:colOff>204470</xdr:colOff>
      <xdr:row>3</xdr:row>
      <xdr:rowOff>62865</xdr:rowOff>
    </xdr:from>
    <xdr:to>
      <xdr:col>21</xdr:col>
      <xdr:colOff>263525</xdr:colOff>
      <xdr:row>6</xdr:row>
      <xdr:rowOff>81915</xdr:rowOff>
    </xdr:to>
    <xdr:sp macro="[0]!asht14">
      <xdr:nvSpPr>
        <xdr:cNvPr id="23" name="圆角矩形 3"/>
        <xdr:cNvSpPr/>
      </xdr:nvSpPr>
      <xdr:spPr>
        <a:xfrm>
          <a:off x="46240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10</xdr:row>
      <xdr:rowOff>59055</xdr:rowOff>
    </xdr:from>
    <xdr:to>
      <xdr:col>27</xdr:col>
      <xdr:colOff>180975</xdr:colOff>
      <xdr:row>13</xdr:row>
      <xdr:rowOff>78105</xdr:rowOff>
    </xdr:to>
    <xdr:sp macro="[0]!asht18">
      <xdr:nvSpPr>
        <xdr:cNvPr id="2" name="圆角矩形 8"/>
        <xdr:cNvSpPr/>
      </xdr:nvSpPr>
      <xdr:spPr>
        <a:xfrm>
          <a:off x="61988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6</xdr:row>
      <xdr:rowOff>171450</xdr:rowOff>
    </xdr:from>
    <xdr:to>
      <xdr:col>21</xdr:col>
      <xdr:colOff>263525</xdr:colOff>
      <xdr:row>9</xdr:row>
      <xdr:rowOff>190500</xdr:rowOff>
    </xdr:to>
    <xdr:sp macro="[0]!asht15">
      <xdr:nvSpPr>
        <xdr:cNvPr id="7" name="圆角矩形 6"/>
        <xdr:cNvSpPr/>
      </xdr:nvSpPr>
      <xdr:spPr>
        <a:xfrm>
          <a:off x="4624070" y="14744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142240</xdr:colOff>
      <xdr:row>0</xdr:row>
      <xdr:rowOff>187960</xdr:rowOff>
    </xdr:from>
    <xdr:to>
      <xdr:col>38</xdr:col>
      <xdr:colOff>198120</xdr:colOff>
      <xdr:row>3</xdr:row>
      <xdr:rowOff>2540</xdr:rowOff>
    </xdr:to>
    <xdr:sp>
      <xdr:nvSpPr>
        <xdr:cNvPr id="8" name="矩形 65"/>
        <xdr:cNvSpPr/>
      </xdr:nvSpPr>
      <xdr:spPr>
        <a:xfrm>
          <a:off x="8981440" y="187960"/>
          <a:ext cx="1713230" cy="46609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28</xdr:col>
      <xdr:colOff>1270</xdr:colOff>
      <xdr:row>10</xdr:row>
      <xdr:rowOff>59055</xdr:rowOff>
    </xdr:from>
    <xdr:to>
      <xdr:col>33</xdr:col>
      <xdr:colOff>60325</xdr:colOff>
      <xdr:row>13</xdr:row>
      <xdr:rowOff>78105</xdr:rowOff>
    </xdr:to>
    <xdr:sp macro="[0]!asht13">
      <xdr:nvSpPr>
        <xdr:cNvPr id="13" name="圆角矩形 8">
          <a:hlinkClick xmlns:r="http://schemas.openxmlformats.org/officeDocument/2006/relationships" r:id="rId2"/>
        </xdr:cNvPr>
        <xdr:cNvSpPr/>
      </xdr:nvSpPr>
      <xdr:spPr>
        <a:xfrm>
          <a:off x="77355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库存调拨</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10</xdr:row>
      <xdr:rowOff>59055</xdr:rowOff>
    </xdr:from>
    <xdr:to>
      <xdr:col>39</xdr:col>
      <xdr:colOff>12700</xdr:colOff>
      <xdr:row>13</xdr:row>
      <xdr:rowOff>78105</xdr:rowOff>
    </xdr:to>
    <xdr:sp macro="[0]!asht18">
      <xdr:nvSpPr>
        <xdr:cNvPr id="14" name="圆角矩形 8">
          <a:hlinkClick xmlns:r="http://schemas.openxmlformats.org/officeDocument/2006/relationships" r:id="rId3"/>
        </xdr:cNvPr>
        <xdr:cNvSpPr/>
      </xdr:nvSpPr>
      <xdr:spPr>
        <a:xfrm>
          <a:off x="9345295"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库存盘点</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13</xdr:row>
      <xdr:rowOff>162560</xdr:rowOff>
    </xdr:from>
    <xdr:to>
      <xdr:col>16</xdr:col>
      <xdr:colOff>50800</xdr:colOff>
      <xdr:row>16</xdr:row>
      <xdr:rowOff>181610</xdr:rowOff>
    </xdr:to>
    <xdr:sp macro="[0]!asht13">
      <xdr:nvSpPr>
        <xdr:cNvPr id="15" name="圆角矩形 8">
          <a:hlinkClick xmlns:r="http://schemas.openxmlformats.org/officeDocument/2006/relationships" r:id="rId4"/>
        </xdr:cNvPr>
        <xdr:cNvSpPr/>
      </xdr:nvSpPr>
      <xdr:spPr>
        <a:xfrm>
          <a:off x="303022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a:t>
          </a:r>
          <a:endParaRPr lang="en-US" altLang="zh-CN" sz="1600" b="1">
            <a:latin typeface="微软雅黑" panose="020B0503020204020204" charset="-122"/>
            <a:ea typeface="微软雅黑" panose="020B0503020204020204" charset="-122"/>
          </a:endParaRPr>
        </a:p>
      </xdr:txBody>
    </xdr:sp>
    <xdr:clientData/>
  </xdr:twoCellAnchor>
  <xdr:twoCellAnchor>
    <xdr:from>
      <xdr:col>16</xdr:col>
      <xdr:colOff>204470</xdr:colOff>
      <xdr:row>13</xdr:row>
      <xdr:rowOff>162560</xdr:rowOff>
    </xdr:from>
    <xdr:to>
      <xdr:col>21</xdr:col>
      <xdr:colOff>263525</xdr:colOff>
      <xdr:row>16</xdr:row>
      <xdr:rowOff>181610</xdr:rowOff>
    </xdr:to>
    <xdr:sp macro="[0]!asht18">
      <xdr:nvSpPr>
        <xdr:cNvPr id="16" name="圆角矩形 8">
          <a:hlinkClick xmlns:r="http://schemas.openxmlformats.org/officeDocument/2006/relationships" r:id="rId5"/>
        </xdr:cNvPr>
        <xdr:cNvSpPr/>
      </xdr:nvSpPr>
      <xdr:spPr>
        <a:xfrm>
          <a:off x="46240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13</xdr:row>
      <xdr:rowOff>162560</xdr:rowOff>
    </xdr:from>
    <xdr:to>
      <xdr:col>27</xdr:col>
      <xdr:colOff>180975</xdr:colOff>
      <xdr:row>16</xdr:row>
      <xdr:rowOff>181610</xdr:rowOff>
    </xdr:to>
    <xdr:sp macro="[0]!asht13">
      <xdr:nvSpPr>
        <xdr:cNvPr id="17" name="圆角矩形 8">
          <a:hlinkClick xmlns:r="http://schemas.openxmlformats.org/officeDocument/2006/relationships" r:id="rId6"/>
        </xdr:cNvPr>
        <xdr:cNvSpPr/>
      </xdr:nvSpPr>
      <xdr:spPr>
        <a:xfrm>
          <a:off x="61988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13</xdr:row>
      <xdr:rowOff>162560</xdr:rowOff>
    </xdr:from>
    <xdr:to>
      <xdr:col>33</xdr:col>
      <xdr:colOff>60325</xdr:colOff>
      <xdr:row>16</xdr:row>
      <xdr:rowOff>181610</xdr:rowOff>
    </xdr:to>
    <xdr:sp macro="[0]!asht18">
      <xdr:nvSpPr>
        <xdr:cNvPr id="18" name="圆角矩形 8">
          <a:hlinkClick xmlns:r="http://schemas.openxmlformats.org/officeDocument/2006/relationships" r:id="rId7"/>
        </xdr:cNvPr>
        <xdr:cNvSpPr/>
      </xdr:nvSpPr>
      <xdr:spPr>
        <a:xfrm>
          <a:off x="77355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17</xdr:row>
      <xdr:rowOff>48260</xdr:rowOff>
    </xdr:from>
    <xdr:to>
      <xdr:col>16</xdr:col>
      <xdr:colOff>50800</xdr:colOff>
      <xdr:row>20</xdr:row>
      <xdr:rowOff>67310</xdr:rowOff>
    </xdr:to>
    <xdr:sp macro="[0]!asht13">
      <xdr:nvSpPr>
        <xdr:cNvPr id="19" name="圆角矩形 8">
          <a:hlinkClick xmlns:r="http://schemas.openxmlformats.org/officeDocument/2006/relationships" r:id="rId8"/>
        </xdr:cNvPr>
        <xdr:cNvSpPr/>
      </xdr:nvSpPr>
      <xdr:spPr>
        <a:xfrm>
          <a:off x="303022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采购单</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13</xdr:row>
      <xdr:rowOff>162560</xdr:rowOff>
    </xdr:from>
    <xdr:to>
      <xdr:col>39</xdr:col>
      <xdr:colOff>12700</xdr:colOff>
      <xdr:row>16</xdr:row>
      <xdr:rowOff>181610</xdr:rowOff>
    </xdr:to>
    <xdr:sp macro="[0]!asht18">
      <xdr:nvSpPr>
        <xdr:cNvPr id="20" name="圆角矩形 8">
          <a:hlinkClick xmlns:r="http://schemas.openxmlformats.org/officeDocument/2006/relationships" r:id="rId9"/>
        </xdr:cNvPr>
        <xdr:cNvSpPr/>
      </xdr:nvSpPr>
      <xdr:spPr>
        <a:xfrm>
          <a:off x="9345295"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进出明细统计</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17</xdr:row>
      <xdr:rowOff>48260</xdr:rowOff>
    </xdr:from>
    <xdr:to>
      <xdr:col>21</xdr:col>
      <xdr:colOff>263525</xdr:colOff>
      <xdr:row>20</xdr:row>
      <xdr:rowOff>67310</xdr:rowOff>
    </xdr:to>
    <xdr:sp macro="[0]!asht13">
      <xdr:nvSpPr>
        <xdr:cNvPr id="21" name="圆角矩形 8">
          <a:hlinkClick xmlns:r="http://schemas.openxmlformats.org/officeDocument/2006/relationships" r:id="rId10"/>
        </xdr:cNvPr>
        <xdr:cNvSpPr/>
      </xdr:nvSpPr>
      <xdr:spPr>
        <a:xfrm>
          <a:off x="46240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采购未入库明细</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17</xdr:row>
      <xdr:rowOff>48260</xdr:rowOff>
    </xdr:from>
    <xdr:to>
      <xdr:col>27</xdr:col>
      <xdr:colOff>180975</xdr:colOff>
      <xdr:row>20</xdr:row>
      <xdr:rowOff>67310</xdr:rowOff>
    </xdr:to>
    <xdr:sp macro="[0]!asht18">
      <xdr:nvSpPr>
        <xdr:cNvPr id="22" name="圆角矩形 8">
          <a:hlinkClick xmlns:r="http://schemas.openxmlformats.org/officeDocument/2006/relationships" r:id="rId11"/>
        </xdr:cNvPr>
        <xdr:cNvSpPr/>
      </xdr:nvSpPr>
      <xdr:spPr>
        <a:xfrm>
          <a:off x="61988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库存积压统计</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17</xdr:row>
      <xdr:rowOff>48260</xdr:rowOff>
    </xdr:from>
    <xdr:to>
      <xdr:col>33</xdr:col>
      <xdr:colOff>60325</xdr:colOff>
      <xdr:row>20</xdr:row>
      <xdr:rowOff>67310</xdr:rowOff>
    </xdr:to>
    <xdr:sp macro="[0]!asht13">
      <xdr:nvSpPr>
        <xdr:cNvPr id="24" name="圆角矩形 8">
          <a:hlinkClick xmlns:r="http://schemas.openxmlformats.org/officeDocument/2006/relationships" r:id="rId12"/>
        </xdr:cNvPr>
        <xdr:cNvSpPr/>
      </xdr:nvSpPr>
      <xdr:spPr>
        <a:xfrm>
          <a:off x="77355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期末数</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17</xdr:row>
      <xdr:rowOff>48260</xdr:rowOff>
    </xdr:from>
    <xdr:to>
      <xdr:col>39</xdr:col>
      <xdr:colOff>12700</xdr:colOff>
      <xdr:row>20</xdr:row>
      <xdr:rowOff>67310</xdr:rowOff>
    </xdr:to>
    <xdr:sp macro="[0]!asht18">
      <xdr:nvSpPr>
        <xdr:cNvPr id="26" name="圆角矩形 8">
          <a:hlinkClick xmlns:r="http://schemas.openxmlformats.org/officeDocument/2006/relationships" r:id="rId13"/>
        </xdr:cNvPr>
        <xdr:cNvSpPr/>
      </xdr:nvSpPr>
      <xdr:spPr>
        <a:xfrm>
          <a:off x="9345295"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仓库资料</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107315</xdr:colOff>
      <xdr:row>0</xdr:row>
      <xdr:rowOff>85725</xdr:rowOff>
    </xdr:from>
    <xdr:to>
      <xdr:col>7</xdr:col>
      <xdr:colOff>805815</xdr:colOff>
      <xdr:row>0</xdr:row>
      <xdr:rowOff>600710</xdr:rowOff>
    </xdr:to>
    <xdr:sp macro="[0]!up">
      <xdr:nvSpPr>
        <xdr:cNvPr id="3" name="nextPage"/>
        <xdr:cNvSpPr/>
      </xdr:nvSpPr>
      <xdr:spPr>
        <a:xfrm>
          <a:off x="76034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7</xdr:col>
      <xdr:colOff>1202690</xdr:colOff>
      <xdr:row>0</xdr:row>
      <xdr:rowOff>159385</xdr:rowOff>
    </xdr:from>
    <xdr:to>
      <xdr:col>10</xdr:col>
      <xdr:colOff>247650</xdr:colOff>
      <xdr:row>0</xdr:row>
      <xdr:rowOff>565785</xdr:rowOff>
    </xdr:to>
    <xdr:sp macro="[0]!OpenWebPage">
      <xdr:nvSpPr>
        <xdr:cNvPr id="10" name="圆角矩形 13"/>
        <xdr:cNvSpPr/>
      </xdr:nvSpPr>
      <xdr:spPr>
        <a:xfrm>
          <a:off x="8698865" y="159385"/>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0</xdr:col>
      <xdr:colOff>9525</xdr:colOff>
      <xdr:row>0</xdr:row>
      <xdr:rowOff>127000</xdr:rowOff>
    </xdr:from>
    <xdr:to>
      <xdr:col>32</xdr:col>
      <xdr:colOff>408305</xdr:colOff>
      <xdr:row>0</xdr:row>
      <xdr:rowOff>624205</xdr:rowOff>
    </xdr:to>
    <xdr:sp>
      <xdr:nvSpPr>
        <xdr:cNvPr id="6" name="圆角矩形 14"/>
        <xdr:cNvSpPr/>
      </xdr:nvSpPr>
      <xdr:spPr>
        <a:xfrm>
          <a:off x="9525" y="127000"/>
          <a:ext cx="259543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532130</xdr:colOff>
      <xdr:row>0</xdr:row>
      <xdr:rowOff>203200</xdr:rowOff>
    </xdr:from>
    <xdr:to>
      <xdr:col>18</xdr:col>
      <xdr:colOff>664210</xdr:colOff>
      <xdr:row>0</xdr:row>
      <xdr:rowOff>557530</xdr:rowOff>
    </xdr:to>
    <xdr:sp macro="[0]!asht18">
      <xdr:nvSpPr>
        <xdr:cNvPr id="2" name="12">
          <a:hlinkClick xmlns:r="http://schemas.openxmlformats.org/officeDocument/2006/relationships" r:id="rId1"/>
        </xdr:cNvPr>
        <xdr:cNvSpPr/>
      </xdr:nvSpPr>
      <xdr:spPr>
        <a:xfrm>
          <a:off x="158007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638175</xdr:colOff>
      <xdr:row>0</xdr:row>
      <xdr:rowOff>203200</xdr:rowOff>
    </xdr:from>
    <xdr:to>
      <xdr:col>20</xdr:col>
      <xdr:colOff>84455</xdr:colOff>
      <xdr:row>0</xdr:row>
      <xdr:rowOff>557530</xdr:rowOff>
    </xdr:to>
    <xdr:sp macro="[0]!asht18">
      <xdr:nvSpPr>
        <xdr:cNvPr id="3" name="12">
          <a:hlinkClick xmlns:r="http://schemas.openxmlformats.org/officeDocument/2006/relationships" r:id="rId2"/>
        </xdr:cNvPr>
        <xdr:cNvSpPr/>
      </xdr:nvSpPr>
      <xdr:spPr>
        <a:xfrm>
          <a:off x="165925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85725</xdr:colOff>
      <xdr:row>0</xdr:row>
      <xdr:rowOff>203200</xdr:rowOff>
    </xdr:from>
    <xdr:to>
      <xdr:col>21</xdr:col>
      <xdr:colOff>217805</xdr:colOff>
      <xdr:row>0</xdr:row>
      <xdr:rowOff>557530</xdr:rowOff>
    </xdr:to>
    <xdr:sp macro="[0]!asht18">
      <xdr:nvSpPr>
        <xdr:cNvPr id="4" name="12">
          <a:hlinkClick xmlns:r="http://schemas.openxmlformats.org/officeDocument/2006/relationships" r:id="rId3"/>
        </xdr:cNvPr>
        <xdr:cNvSpPr/>
      </xdr:nvSpPr>
      <xdr:spPr>
        <a:xfrm>
          <a:off x="174117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171450</xdr:colOff>
      <xdr:row>0</xdr:row>
      <xdr:rowOff>203200</xdr:rowOff>
    </xdr:from>
    <xdr:to>
      <xdr:col>22</xdr:col>
      <xdr:colOff>303530</xdr:colOff>
      <xdr:row>0</xdr:row>
      <xdr:rowOff>557530</xdr:rowOff>
    </xdr:to>
    <xdr:sp macro="[0]!asht18">
      <xdr:nvSpPr>
        <xdr:cNvPr id="19" name="12">
          <a:hlinkClick xmlns:r="http://schemas.openxmlformats.org/officeDocument/2006/relationships" r:id="rId4"/>
        </xdr:cNvPr>
        <xdr:cNvSpPr/>
      </xdr:nvSpPr>
      <xdr:spPr>
        <a:xfrm>
          <a:off x="181832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276225</xdr:colOff>
      <xdr:row>0</xdr:row>
      <xdr:rowOff>203200</xdr:rowOff>
    </xdr:from>
    <xdr:to>
      <xdr:col>23</xdr:col>
      <xdr:colOff>408305</xdr:colOff>
      <xdr:row>0</xdr:row>
      <xdr:rowOff>557530</xdr:rowOff>
    </xdr:to>
    <xdr:sp macro="[0]!asht18">
      <xdr:nvSpPr>
        <xdr:cNvPr id="28" name="12">
          <a:hlinkClick xmlns:r="http://schemas.openxmlformats.org/officeDocument/2006/relationships" r:id="rId5"/>
        </xdr:cNvPr>
        <xdr:cNvSpPr/>
      </xdr:nvSpPr>
      <xdr:spPr>
        <a:xfrm>
          <a:off x="189738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466725</xdr:colOff>
      <xdr:row>0</xdr:row>
      <xdr:rowOff>203200</xdr:rowOff>
    </xdr:from>
    <xdr:to>
      <xdr:col>24</xdr:col>
      <xdr:colOff>598805</xdr:colOff>
      <xdr:row>0</xdr:row>
      <xdr:rowOff>557530</xdr:rowOff>
    </xdr:to>
    <xdr:sp macro="[0]!asht18">
      <xdr:nvSpPr>
        <xdr:cNvPr id="29" name="12">
          <a:hlinkClick xmlns:r="http://schemas.openxmlformats.org/officeDocument/2006/relationships" r:id="rId6"/>
        </xdr:cNvPr>
        <xdr:cNvSpPr/>
      </xdr:nvSpPr>
      <xdr:spPr>
        <a:xfrm>
          <a:off x="198501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638175</xdr:colOff>
      <xdr:row>0</xdr:row>
      <xdr:rowOff>203200</xdr:rowOff>
    </xdr:from>
    <xdr:to>
      <xdr:col>26</xdr:col>
      <xdr:colOff>84455</xdr:colOff>
      <xdr:row>0</xdr:row>
      <xdr:rowOff>557530</xdr:rowOff>
    </xdr:to>
    <xdr:sp macro="[0]!asht18">
      <xdr:nvSpPr>
        <xdr:cNvPr id="30" name="12">
          <a:hlinkClick xmlns:r="http://schemas.openxmlformats.org/officeDocument/2006/relationships" r:id="rId7"/>
        </xdr:cNvPr>
        <xdr:cNvSpPr/>
      </xdr:nvSpPr>
      <xdr:spPr>
        <a:xfrm>
          <a:off x="207073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171450</xdr:colOff>
      <xdr:row>0</xdr:row>
      <xdr:rowOff>203200</xdr:rowOff>
    </xdr:from>
    <xdr:to>
      <xdr:col>27</xdr:col>
      <xdr:colOff>303530</xdr:colOff>
      <xdr:row>0</xdr:row>
      <xdr:rowOff>557530</xdr:rowOff>
    </xdr:to>
    <xdr:sp macro="[0]!asht18">
      <xdr:nvSpPr>
        <xdr:cNvPr id="31" name="12">
          <a:hlinkClick xmlns:r="http://schemas.openxmlformats.org/officeDocument/2006/relationships" r:id="rId8"/>
        </xdr:cNvPr>
        <xdr:cNvSpPr/>
      </xdr:nvSpPr>
      <xdr:spPr>
        <a:xfrm>
          <a:off x="216122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276225</xdr:colOff>
      <xdr:row>0</xdr:row>
      <xdr:rowOff>203200</xdr:rowOff>
    </xdr:from>
    <xdr:to>
      <xdr:col>28</xdr:col>
      <xdr:colOff>408305</xdr:colOff>
      <xdr:row>0</xdr:row>
      <xdr:rowOff>557530</xdr:rowOff>
    </xdr:to>
    <xdr:sp macro="[0]!asht18">
      <xdr:nvSpPr>
        <xdr:cNvPr id="32" name="12">
          <a:hlinkClick xmlns:r="http://schemas.openxmlformats.org/officeDocument/2006/relationships" r:id="rId9"/>
        </xdr:cNvPr>
        <xdr:cNvSpPr/>
      </xdr:nvSpPr>
      <xdr:spPr>
        <a:xfrm>
          <a:off x="224028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514350</xdr:colOff>
      <xdr:row>0</xdr:row>
      <xdr:rowOff>203200</xdr:rowOff>
    </xdr:from>
    <xdr:to>
      <xdr:col>29</xdr:col>
      <xdr:colOff>646430</xdr:colOff>
      <xdr:row>0</xdr:row>
      <xdr:rowOff>557530</xdr:rowOff>
    </xdr:to>
    <xdr:sp macro="[0]!asht18">
      <xdr:nvSpPr>
        <xdr:cNvPr id="33" name="12">
          <a:hlinkClick xmlns:r="http://schemas.openxmlformats.org/officeDocument/2006/relationships" r:id="rId10"/>
        </xdr:cNvPr>
        <xdr:cNvSpPr/>
      </xdr:nvSpPr>
      <xdr:spPr>
        <a:xfrm>
          <a:off x="233267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647700</xdr:colOff>
      <xdr:row>0</xdr:row>
      <xdr:rowOff>203200</xdr:rowOff>
    </xdr:from>
    <xdr:to>
      <xdr:col>31</xdr:col>
      <xdr:colOff>93980</xdr:colOff>
      <xdr:row>0</xdr:row>
      <xdr:rowOff>557530</xdr:rowOff>
    </xdr:to>
    <xdr:sp macro="[0]!asht18">
      <xdr:nvSpPr>
        <xdr:cNvPr id="34" name="12">
          <a:hlinkClick xmlns:r="http://schemas.openxmlformats.org/officeDocument/2006/relationships" r:id="rId11"/>
        </xdr:cNvPr>
        <xdr:cNvSpPr/>
      </xdr:nvSpPr>
      <xdr:spPr>
        <a:xfrm>
          <a:off x="2414587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98425</xdr:colOff>
      <xdr:row>0</xdr:row>
      <xdr:rowOff>203200</xdr:rowOff>
    </xdr:from>
    <xdr:to>
      <xdr:col>32</xdr:col>
      <xdr:colOff>230505</xdr:colOff>
      <xdr:row>0</xdr:row>
      <xdr:rowOff>557530</xdr:rowOff>
    </xdr:to>
    <xdr:sp macro="[0]!asht18">
      <xdr:nvSpPr>
        <xdr:cNvPr id="35" name="12">
          <a:hlinkClick xmlns:r="http://schemas.openxmlformats.org/officeDocument/2006/relationships" r:id="rId12"/>
        </xdr:cNvPr>
        <xdr:cNvSpPr/>
      </xdr:nvSpPr>
      <xdr:spPr>
        <a:xfrm>
          <a:off x="249682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32</xdr:col>
      <xdr:colOff>227330</xdr:colOff>
      <xdr:row>0</xdr:row>
      <xdr:rowOff>624205</xdr:rowOff>
    </xdr:to>
    <xdr:sp>
      <xdr:nvSpPr>
        <xdr:cNvPr id="3" name="圆角矩形 14"/>
        <xdr:cNvSpPr/>
      </xdr:nvSpPr>
      <xdr:spPr>
        <a:xfrm>
          <a:off x="1118235" y="127000"/>
          <a:ext cx="246646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352425</xdr:colOff>
      <xdr:row>0</xdr:row>
      <xdr:rowOff>207645</xdr:rowOff>
    </xdr:from>
    <xdr:to>
      <xdr:col>18</xdr:col>
      <xdr:colOff>484505</xdr:colOff>
      <xdr:row>0</xdr:row>
      <xdr:rowOff>561975</xdr:rowOff>
    </xdr:to>
    <xdr:sp macro="[0]!asht18">
      <xdr:nvSpPr>
        <xdr:cNvPr id="4" name="12">
          <a:hlinkClick xmlns:r="http://schemas.openxmlformats.org/officeDocument/2006/relationships" r:id="rId1"/>
        </xdr:cNvPr>
        <xdr:cNvSpPr/>
      </xdr:nvSpPr>
      <xdr:spPr>
        <a:xfrm>
          <a:off x="156210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458470</xdr:colOff>
      <xdr:row>0</xdr:row>
      <xdr:rowOff>207645</xdr:rowOff>
    </xdr:from>
    <xdr:to>
      <xdr:col>19</xdr:col>
      <xdr:colOff>590550</xdr:colOff>
      <xdr:row>0</xdr:row>
      <xdr:rowOff>561975</xdr:rowOff>
    </xdr:to>
    <xdr:sp macro="[0]!asht18">
      <xdr:nvSpPr>
        <xdr:cNvPr id="5" name="12">
          <a:hlinkClick xmlns:r="http://schemas.openxmlformats.org/officeDocument/2006/relationships" r:id="rId2"/>
        </xdr:cNvPr>
        <xdr:cNvSpPr/>
      </xdr:nvSpPr>
      <xdr:spPr>
        <a:xfrm>
          <a:off x="1641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591820</xdr:colOff>
      <xdr:row>0</xdr:row>
      <xdr:rowOff>207645</xdr:rowOff>
    </xdr:from>
    <xdr:to>
      <xdr:col>21</xdr:col>
      <xdr:colOff>38100</xdr:colOff>
      <xdr:row>0</xdr:row>
      <xdr:rowOff>561975</xdr:rowOff>
    </xdr:to>
    <xdr:sp macro="[0]!asht18">
      <xdr:nvSpPr>
        <xdr:cNvPr id="6" name="12">
          <a:hlinkClick xmlns:r="http://schemas.openxmlformats.org/officeDocument/2006/relationships" r:id="rId3"/>
        </xdr:cNvPr>
        <xdr:cNvSpPr/>
      </xdr:nvSpPr>
      <xdr:spPr>
        <a:xfrm>
          <a:off x="172319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677545</xdr:colOff>
      <xdr:row>0</xdr:row>
      <xdr:rowOff>207645</xdr:rowOff>
    </xdr:from>
    <xdr:to>
      <xdr:col>22</xdr:col>
      <xdr:colOff>123825</xdr:colOff>
      <xdr:row>0</xdr:row>
      <xdr:rowOff>561975</xdr:rowOff>
    </xdr:to>
    <xdr:sp macro="[0]!asht18">
      <xdr:nvSpPr>
        <xdr:cNvPr id="7" name="12">
          <a:hlinkClick xmlns:r="http://schemas.openxmlformats.org/officeDocument/2006/relationships" r:id="rId4"/>
        </xdr:cNvPr>
        <xdr:cNvSpPr/>
      </xdr:nvSpPr>
      <xdr:spPr>
        <a:xfrm>
          <a:off x="18003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96520</xdr:colOff>
      <xdr:row>0</xdr:row>
      <xdr:rowOff>207645</xdr:rowOff>
    </xdr:from>
    <xdr:to>
      <xdr:col>23</xdr:col>
      <xdr:colOff>228600</xdr:colOff>
      <xdr:row>0</xdr:row>
      <xdr:rowOff>561975</xdr:rowOff>
    </xdr:to>
    <xdr:sp macro="[0]!asht18">
      <xdr:nvSpPr>
        <xdr:cNvPr id="8" name="12">
          <a:hlinkClick xmlns:r="http://schemas.openxmlformats.org/officeDocument/2006/relationships" r:id="rId5"/>
        </xdr:cNvPr>
        <xdr:cNvSpPr/>
      </xdr:nvSpPr>
      <xdr:spPr>
        <a:xfrm>
          <a:off x="18794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287020</xdr:colOff>
      <xdr:row>0</xdr:row>
      <xdr:rowOff>207645</xdr:rowOff>
    </xdr:from>
    <xdr:to>
      <xdr:col>24</xdr:col>
      <xdr:colOff>419100</xdr:colOff>
      <xdr:row>0</xdr:row>
      <xdr:rowOff>561975</xdr:rowOff>
    </xdr:to>
    <xdr:sp macro="[0]!asht18">
      <xdr:nvSpPr>
        <xdr:cNvPr id="9" name="12">
          <a:hlinkClick xmlns:r="http://schemas.openxmlformats.org/officeDocument/2006/relationships" r:id="rId6"/>
        </xdr:cNvPr>
        <xdr:cNvSpPr/>
      </xdr:nvSpPr>
      <xdr:spPr>
        <a:xfrm>
          <a:off x="196703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207645</xdr:rowOff>
    </xdr:from>
    <xdr:to>
      <xdr:col>25</xdr:col>
      <xdr:colOff>590550</xdr:colOff>
      <xdr:row>0</xdr:row>
      <xdr:rowOff>561975</xdr:rowOff>
    </xdr:to>
    <xdr:sp macro="[0]!asht18">
      <xdr:nvSpPr>
        <xdr:cNvPr id="10" name="12">
          <a:hlinkClick xmlns:r="http://schemas.openxmlformats.org/officeDocument/2006/relationships" r:id="rId7"/>
        </xdr:cNvPr>
        <xdr:cNvSpPr/>
      </xdr:nvSpPr>
      <xdr:spPr>
        <a:xfrm>
          <a:off x="20527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677545</xdr:colOff>
      <xdr:row>0</xdr:row>
      <xdr:rowOff>207645</xdr:rowOff>
    </xdr:from>
    <xdr:to>
      <xdr:col>27</xdr:col>
      <xdr:colOff>123825</xdr:colOff>
      <xdr:row>0</xdr:row>
      <xdr:rowOff>561975</xdr:rowOff>
    </xdr:to>
    <xdr:sp macro="[0]!asht18">
      <xdr:nvSpPr>
        <xdr:cNvPr id="11" name="12">
          <a:hlinkClick xmlns:r="http://schemas.openxmlformats.org/officeDocument/2006/relationships" r:id="rId8"/>
        </xdr:cNvPr>
        <xdr:cNvSpPr/>
      </xdr:nvSpPr>
      <xdr:spPr>
        <a:xfrm>
          <a:off x="21432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96520</xdr:colOff>
      <xdr:row>0</xdr:row>
      <xdr:rowOff>207645</xdr:rowOff>
    </xdr:from>
    <xdr:to>
      <xdr:col>28</xdr:col>
      <xdr:colOff>228600</xdr:colOff>
      <xdr:row>0</xdr:row>
      <xdr:rowOff>561975</xdr:rowOff>
    </xdr:to>
    <xdr:sp macro="[0]!asht18">
      <xdr:nvSpPr>
        <xdr:cNvPr id="12" name="12">
          <a:hlinkClick xmlns:r="http://schemas.openxmlformats.org/officeDocument/2006/relationships" r:id="rId9"/>
        </xdr:cNvPr>
        <xdr:cNvSpPr/>
      </xdr:nvSpPr>
      <xdr:spPr>
        <a:xfrm>
          <a:off x="22223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334645</xdr:colOff>
      <xdr:row>0</xdr:row>
      <xdr:rowOff>207645</xdr:rowOff>
    </xdr:from>
    <xdr:to>
      <xdr:col>29</xdr:col>
      <xdr:colOff>466725</xdr:colOff>
      <xdr:row>0</xdr:row>
      <xdr:rowOff>561975</xdr:rowOff>
    </xdr:to>
    <xdr:sp macro="[0]!asht18">
      <xdr:nvSpPr>
        <xdr:cNvPr id="13" name="12">
          <a:hlinkClick xmlns:r="http://schemas.openxmlformats.org/officeDocument/2006/relationships" r:id="rId10"/>
        </xdr:cNvPr>
        <xdr:cNvSpPr/>
      </xdr:nvSpPr>
      <xdr:spPr>
        <a:xfrm>
          <a:off x="231470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207645</xdr:rowOff>
    </xdr:from>
    <xdr:to>
      <xdr:col>30</xdr:col>
      <xdr:colOff>600075</xdr:colOff>
      <xdr:row>0</xdr:row>
      <xdr:rowOff>561975</xdr:rowOff>
    </xdr:to>
    <xdr:sp macro="[0]!asht18">
      <xdr:nvSpPr>
        <xdr:cNvPr id="14" name="12">
          <a:hlinkClick xmlns:r="http://schemas.openxmlformats.org/officeDocument/2006/relationships" r:id="rId11"/>
        </xdr:cNvPr>
        <xdr:cNvSpPr/>
      </xdr:nvSpPr>
      <xdr:spPr>
        <a:xfrm>
          <a:off x="23966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604520</xdr:colOff>
      <xdr:row>0</xdr:row>
      <xdr:rowOff>207645</xdr:rowOff>
    </xdr:from>
    <xdr:to>
      <xdr:col>32</xdr:col>
      <xdr:colOff>50800</xdr:colOff>
      <xdr:row>0</xdr:row>
      <xdr:rowOff>561975</xdr:rowOff>
    </xdr:to>
    <xdr:sp macro="[0]!asht18">
      <xdr:nvSpPr>
        <xdr:cNvPr id="15" name="12">
          <a:hlinkClick xmlns:r="http://schemas.openxmlformats.org/officeDocument/2006/relationships" r:id="rId12"/>
        </xdr:cNvPr>
        <xdr:cNvSpPr/>
      </xdr:nvSpPr>
      <xdr:spPr>
        <a:xfrm>
          <a:off x="2478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0">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diaobo">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调拨</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445770</xdr:colOff>
      <xdr:row>0</xdr:row>
      <xdr:rowOff>624205</xdr:rowOff>
    </xdr:to>
    <xdr:sp>
      <xdr:nvSpPr>
        <xdr:cNvPr id="5" name="圆角矩形 14"/>
        <xdr:cNvSpPr/>
      </xdr:nvSpPr>
      <xdr:spPr>
        <a:xfrm>
          <a:off x="1118235" y="127000"/>
          <a:ext cx="248831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8"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库存调拨</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447675</xdr:colOff>
      <xdr:row>0</xdr:row>
      <xdr:rowOff>207645</xdr:rowOff>
    </xdr:from>
    <xdr:to>
      <xdr:col>18</xdr:col>
      <xdr:colOff>579755</xdr:colOff>
      <xdr:row>0</xdr:row>
      <xdr:rowOff>561975</xdr:rowOff>
    </xdr:to>
    <xdr:sp macro="[0]!asht18">
      <xdr:nvSpPr>
        <xdr:cNvPr id="83" name="12">
          <a:hlinkClick xmlns:r="http://schemas.openxmlformats.org/officeDocument/2006/relationships" r:id="rId1"/>
        </xdr:cNvPr>
        <xdr:cNvSpPr/>
      </xdr:nvSpPr>
      <xdr:spPr>
        <a:xfrm>
          <a:off x="1571625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库存调拨</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18</xdr:col>
      <xdr:colOff>553720</xdr:colOff>
      <xdr:row>0</xdr:row>
      <xdr:rowOff>207645</xdr:rowOff>
    </xdr:from>
    <xdr:to>
      <xdr:col>20</xdr:col>
      <xdr:colOff>0</xdr:colOff>
      <xdr:row>0</xdr:row>
      <xdr:rowOff>561975</xdr:rowOff>
    </xdr:to>
    <xdr:sp macro="[0]!asht18">
      <xdr:nvSpPr>
        <xdr:cNvPr id="84" name="12">
          <a:hlinkClick xmlns:r="http://schemas.openxmlformats.org/officeDocument/2006/relationships" r:id="rId2"/>
        </xdr:cNvPr>
        <xdr:cNvSpPr/>
      </xdr:nvSpPr>
      <xdr:spPr>
        <a:xfrm>
          <a:off x="16508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1270</xdr:colOff>
      <xdr:row>0</xdr:row>
      <xdr:rowOff>207645</xdr:rowOff>
    </xdr:from>
    <xdr:to>
      <xdr:col>21</xdr:col>
      <xdr:colOff>133350</xdr:colOff>
      <xdr:row>0</xdr:row>
      <xdr:rowOff>561975</xdr:rowOff>
    </xdr:to>
    <xdr:sp macro="[0]!asht18">
      <xdr:nvSpPr>
        <xdr:cNvPr id="85" name="12">
          <a:hlinkClick xmlns:r="http://schemas.openxmlformats.org/officeDocument/2006/relationships" r:id="rId3"/>
        </xdr:cNvPr>
        <xdr:cNvSpPr/>
      </xdr:nvSpPr>
      <xdr:spPr>
        <a:xfrm>
          <a:off x="17327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86995</xdr:colOff>
      <xdr:row>0</xdr:row>
      <xdr:rowOff>207645</xdr:rowOff>
    </xdr:from>
    <xdr:to>
      <xdr:col>22</xdr:col>
      <xdr:colOff>219075</xdr:colOff>
      <xdr:row>0</xdr:row>
      <xdr:rowOff>561975</xdr:rowOff>
    </xdr:to>
    <xdr:sp macro="[0]!asht18">
      <xdr:nvSpPr>
        <xdr:cNvPr id="86" name="12">
          <a:hlinkClick xmlns:r="http://schemas.openxmlformats.org/officeDocument/2006/relationships" r:id="rId4"/>
        </xdr:cNvPr>
        <xdr:cNvSpPr/>
      </xdr:nvSpPr>
      <xdr:spPr>
        <a:xfrm>
          <a:off x="18098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191770</xdr:colOff>
      <xdr:row>0</xdr:row>
      <xdr:rowOff>207645</xdr:rowOff>
    </xdr:from>
    <xdr:to>
      <xdr:col>23</xdr:col>
      <xdr:colOff>323850</xdr:colOff>
      <xdr:row>0</xdr:row>
      <xdr:rowOff>561975</xdr:rowOff>
    </xdr:to>
    <xdr:sp macro="[0]!asht18">
      <xdr:nvSpPr>
        <xdr:cNvPr id="87" name="12">
          <a:hlinkClick xmlns:r="http://schemas.openxmlformats.org/officeDocument/2006/relationships" r:id="rId5"/>
        </xdr:cNvPr>
        <xdr:cNvSpPr/>
      </xdr:nvSpPr>
      <xdr:spPr>
        <a:xfrm>
          <a:off x="18889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382270</xdr:colOff>
      <xdr:row>0</xdr:row>
      <xdr:rowOff>207645</xdr:rowOff>
    </xdr:from>
    <xdr:to>
      <xdr:col>24</xdr:col>
      <xdr:colOff>514350</xdr:colOff>
      <xdr:row>0</xdr:row>
      <xdr:rowOff>561975</xdr:rowOff>
    </xdr:to>
    <xdr:sp macro="[0]!asht18">
      <xdr:nvSpPr>
        <xdr:cNvPr id="88" name="12">
          <a:hlinkClick xmlns:r="http://schemas.openxmlformats.org/officeDocument/2006/relationships" r:id="rId6"/>
        </xdr:cNvPr>
        <xdr:cNvSpPr/>
      </xdr:nvSpPr>
      <xdr:spPr>
        <a:xfrm>
          <a:off x="1976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553720</xdr:colOff>
      <xdr:row>0</xdr:row>
      <xdr:rowOff>207645</xdr:rowOff>
    </xdr:from>
    <xdr:to>
      <xdr:col>26</xdr:col>
      <xdr:colOff>0</xdr:colOff>
      <xdr:row>0</xdr:row>
      <xdr:rowOff>561975</xdr:rowOff>
    </xdr:to>
    <xdr:sp macro="[0]!asht18">
      <xdr:nvSpPr>
        <xdr:cNvPr id="89" name="12">
          <a:hlinkClick xmlns:r="http://schemas.openxmlformats.org/officeDocument/2006/relationships" r:id="rId7"/>
        </xdr:cNvPr>
        <xdr:cNvSpPr/>
      </xdr:nvSpPr>
      <xdr:spPr>
        <a:xfrm>
          <a:off x="206228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86995</xdr:colOff>
      <xdr:row>0</xdr:row>
      <xdr:rowOff>207645</xdr:rowOff>
    </xdr:from>
    <xdr:to>
      <xdr:col>27</xdr:col>
      <xdr:colOff>219075</xdr:colOff>
      <xdr:row>0</xdr:row>
      <xdr:rowOff>561975</xdr:rowOff>
    </xdr:to>
    <xdr:sp macro="[0]!asht18">
      <xdr:nvSpPr>
        <xdr:cNvPr id="90" name="12">
          <a:hlinkClick xmlns:r="http://schemas.openxmlformats.org/officeDocument/2006/relationships" r:id="rId8"/>
        </xdr:cNvPr>
        <xdr:cNvSpPr/>
      </xdr:nvSpPr>
      <xdr:spPr>
        <a:xfrm>
          <a:off x="21527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191770</xdr:colOff>
      <xdr:row>0</xdr:row>
      <xdr:rowOff>207645</xdr:rowOff>
    </xdr:from>
    <xdr:to>
      <xdr:col>28</xdr:col>
      <xdr:colOff>323850</xdr:colOff>
      <xdr:row>0</xdr:row>
      <xdr:rowOff>561975</xdr:rowOff>
    </xdr:to>
    <xdr:sp macro="[0]!asht18">
      <xdr:nvSpPr>
        <xdr:cNvPr id="91" name="12">
          <a:hlinkClick xmlns:r="http://schemas.openxmlformats.org/officeDocument/2006/relationships" r:id="rId9"/>
        </xdr:cNvPr>
        <xdr:cNvSpPr/>
      </xdr:nvSpPr>
      <xdr:spPr>
        <a:xfrm>
          <a:off x="22318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429895</xdr:colOff>
      <xdr:row>0</xdr:row>
      <xdr:rowOff>207645</xdr:rowOff>
    </xdr:from>
    <xdr:to>
      <xdr:col>29</xdr:col>
      <xdr:colOff>561975</xdr:colOff>
      <xdr:row>0</xdr:row>
      <xdr:rowOff>561975</xdr:rowOff>
    </xdr:to>
    <xdr:sp macro="[0]!asht18">
      <xdr:nvSpPr>
        <xdr:cNvPr id="92" name="12">
          <a:hlinkClick xmlns:r="http://schemas.openxmlformats.org/officeDocument/2006/relationships" r:id="rId10"/>
        </xdr:cNvPr>
        <xdr:cNvSpPr/>
      </xdr:nvSpPr>
      <xdr:spPr>
        <a:xfrm>
          <a:off x="232422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563245</xdr:colOff>
      <xdr:row>0</xdr:row>
      <xdr:rowOff>207645</xdr:rowOff>
    </xdr:from>
    <xdr:to>
      <xdr:col>31</xdr:col>
      <xdr:colOff>9525</xdr:colOff>
      <xdr:row>0</xdr:row>
      <xdr:rowOff>561975</xdr:rowOff>
    </xdr:to>
    <xdr:sp macro="[0]!asht18">
      <xdr:nvSpPr>
        <xdr:cNvPr id="93" name="12">
          <a:hlinkClick xmlns:r="http://schemas.openxmlformats.org/officeDocument/2006/relationships" r:id="rId11"/>
        </xdr:cNvPr>
        <xdr:cNvSpPr/>
      </xdr:nvSpPr>
      <xdr:spPr>
        <a:xfrm>
          <a:off x="240614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13970</xdr:colOff>
      <xdr:row>0</xdr:row>
      <xdr:rowOff>207645</xdr:rowOff>
    </xdr:from>
    <xdr:to>
      <xdr:col>32</xdr:col>
      <xdr:colOff>146050</xdr:colOff>
      <xdr:row>0</xdr:row>
      <xdr:rowOff>561975</xdr:rowOff>
    </xdr:to>
    <xdr:sp macro="[0]!asht18">
      <xdr:nvSpPr>
        <xdr:cNvPr id="94" name="12">
          <a:hlinkClick xmlns:r="http://schemas.openxmlformats.org/officeDocument/2006/relationships" r:id="rId12"/>
        </xdr:cNvPr>
        <xdr:cNvSpPr/>
      </xdr:nvSpPr>
      <xdr:spPr>
        <a:xfrm>
          <a:off x="24883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1">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pandian">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盘点</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33</xdr:col>
      <xdr:colOff>455295</xdr:colOff>
      <xdr:row>0</xdr:row>
      <xdr:rowOff>624205</xdr:rowOff>
    </xdr:to>
    <xdr:sp>
      <xdr:nvSpPr>
        <xdr:cNvPr id="4" name="圆角矩形 14"/>
        <xdr:cNvSpPr/>
      </xdr:nvSpPr>
      <xdr:spPr>
        <a:xfrm>
          <a:off x="1118235" y="127000"/>
          <a:ext cx="249783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10</xdr:col>
      <xdr:colOff>670560</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24130</xdr:colOff>
      <xdr:row>0</xdr:row>
      <xdr:rowOff>203200</xdr:rowOff>
    </xdr:from>
    <xdr:to>
      <xdr:col>12</xdr:col>
      <xdr:colOff>156210</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库存盘点</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12</xdr:col>
      <xdr:colOff>195580</xdr:colOff>
      <xdr:row>0</xdr:row>
      <xdr:rowOff>203200</xdr:rowOff>
    </xdr:from>
    <xdr:to>
      <xdr:col>13</xdr:col>
      <xdr:colOff>327660</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14</xdr:col>
      <xdr:colOff>499110</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400050</xdr:colOff>
      <xdr:row>0</xdr:row>
      <xdr:rowOff>228600</xdr:rowOff>
    </xdr:from>
    <xdr:to>
      <xdr:col>19</xdr:col>
      <xdr:colOff>532130</xdr:colOff>
      <xdr:row>0</xdr:row>
      <xdr:rowOff>582930</xdr:rowOff>
    </xdr:to>
    <xdr:sp macro="[0]!asht18">
      <xdr:nvSpPr>
        <xdr:cNvPr id="23" name="12">
          <a:hlinkClick xmlns:r="http://schemas.openxmlformats.org/officeDocument/2006/relationships" r:id="rId1"/>
        </xdr:cNvPr>
        <xdr:cNvSpPr/>
      </xdr:nvSpPr>
      <xdr:spPr>
        <a:xfrm>
          <a:off x="1575435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506095</xdr:colOff>
      <xdr:row>0</xdr:row>
      <xdr:rowOff>228600</xdr:rowOff>
    </xdr:from>
    <xdr:to>
      <xdr:col>20</xdr:col>
      <xdr:colOff>638175</xdr:colOff>
      <xdr:row>0</xdr:row>
      <xdr:rowOff>582930</xdr:rowOff>
    </xdr:to>
    <xdr:sp macro="[0]!asht18">
      <xdr:nvSpPr>
        <xdr:cNvPr id="24" name="12">
          <a:hlinkClick xmlns:r="http://schemas.openxmlformats.org/officeDocument/2006/relationships" r:id="rId2"/>
        </xdr:cNvPr>
        <xdr:cNvSpPr/>
      </xdr:nvSpPr>
      <xdr:spPr>
        <a:xfrm>
          <a:off x="16546195" y="22860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库存盘点</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228600</xdr:rowOff>
    </xdr:from>
    <xdr:to>
      <xdr:col>22</xdr:col>
      <xdr:colOff>85725</xdr:colOff>
      <xdr:row>0</xdr:row>
      <xdr:rowOff>582930</xdr:rowOff>
    </xdr:to>
    <xdr:sp macro="[0]!asht18">
      <xdr:nvSpPr>
        <xdr:cNvPr id="25" name="12">
          <a:hlinkClick xmlns:r="http://schemas.openxmlformats.org/officeDocument/2006/relationships" r:id="rId3"/>
        </xdr:cNvPr>
        <xdr:cNvSpPr/>
      </xdr:nvSpPr>
      <xdr:spPr>
        <a:xfrm>
          <a:off x="173653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39370</xdr:colOff>
      <xdr:row>0</xdr:row>
      <xdr:rowOff>228600</xdr:rowOff>
    </xdr:from>
    <xdr:to>
      <xdr:col>23</xdr:col>
      <xdr:colOff>171450</xdr:colOff>
      <xdr:row>0</xdr:row>
      <xdr:rowOff>582930</xdr:rowOff>
    </xdr:to>
    <xdr:sp macro="[0]!asht18">
      <xdr:nvSpPr>
        <xdr:cNvPr id="26" name="12">
          <a:hlinkClick xmlns:r="http://schemas.openxmlformats.org/officeDocument/2006/relationships" r:id="rId4"/>
        </xdr:cNvPr>
        <xdr:cNvSpPr/>
      </xdr:nvSpPr>
      <xdr:spPr>
        <a:xfrm>
          <a:off x="18136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144145</xdr:colOff>
      <xdr:row>0</xdr:row>
      <xdr:rowOff>228600</xdr:rowOff>
    </xdr:from>
    <xdr:to>
      <xdr:col>24</xdr:col>
      <xdr:colOff>276225</xdr:colOff>
      <xdr:row>0</xdr:row>
      <xdr:rowOff>582930</xdr:rowOff>
    </xdr:to>
    <xdr:sp macro="[0]!asht18">
      <xdr:nvSpPr>
        <xdr:cNvPr id="27" name="12">
          <a:hlinkClick xmlns:r="http://schemas.openxmlformats.org/officeDocument/2006/relationships" r:id="rId5"/>
        </xdr:cNvPr>
        <xdr:cNvSpPr/>
      </xdr:nvSpPr>
      <xdr:spPr>
        <a:xfrm>
          <a:off x="18927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334645</xdr:colOff>
      <xdr:row>0</xdr:row>
      <xdr:rowOff>228600</xdr:rowOff>
    </xdr:from>
    <xdr:to>
      <xdr:col>25</xdr:col>
      <xdr:colOff>466725</xdr:colOff>
      <xdr:row>0</xdr:row>
      <xdr:rowOff>582930</xdr:rowOff>
    </xdr:to>
    <xdr:sp macro="[0]!asht18">
      <xdr:nvSpPr>
        <xdr:cNvPr id="28" name="12">
          <a:hlinkClick xmlns:r="http://schemas.openxmlformats.org/officeDocument/2006/relationships" r:id="rId6"/>
        </xdr:cNvPr>
        <xdr:cNvSpPr/>
      </xdr:nvSpPr>
      <xdr:spPr>
        <a:xfrm>
          <a:off x="198037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506095</xdr:colOff>
      <xdr:row>0</xdr:row>
      <xdr:rowOff>228600</xdr:rowOff>
    </xdr:from>
    <xdr:to>
      <xdr:col>26</xdr:col>
      <xdr:colOff>638175</xdr:colOff>
      <xdr:row>0</xdr:row>
      <xdr:rowOff>582930</xdr:rowOff>
    </xdr:to>
    <xdr:sp macro="[0]!asht18">
      <xdr:nvSpPr>
        <xdr:cNvPr id="29" name="12">
          <a:hlinkClick xmlns:r="http://schemas.openxmlformats.org/officeDocument/2006/relationships" r:id="rId7"/>
        </xdr:cNvPr>
        <xdr:cNvSpPr/>
      </xdr:nvSpPr>
      <xdr:spPr>
        <a:xfrm>
          <a:off x="2066099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39370</xdr:colOff>
      <xdr:row>0</xdr:row>
      <xdr:rowOff>228600</xdr:rowOff>
    </xdr:from>
    <xdr:to>
      <xdr:col>28</xdr:col>
      <xdr:colOff>171450</xdr:colOff>
      <xdr:row>0</xdr:row>
      <xdr:rowOff>582930</xdr:rowOff>
    </xdr:to>
    <xdr:sp macro="[0]!asht18">
      <xdr:nvSpPr>
        <xdr:cNvPr id="30" name="12">
          <a:hlinkClick xmlns:r="http://schemas.openxmlformats.org/officeDocument/2006/relationships" r:id="rId8"/>
        </xdr:cNvPr>
        <xdr:cNvSpPr/>
      </xdr:nvSpPr>
      <xdr:spPr>
        <a:xfrm>
          <a:off x="21565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144145</xdr:colOff>
      <xdr:row>0</xdr:row>
      <xdr:rowOff>228600</xdr:rowOff>
    </xdr:from>
    <xdr:to>
      <xdr:col>29</xdr:col>
      <xdr:colOff>276225</xdr:colOff>
      <xdr:row>0</xdr:row>
      <xdr:rowOff>582930</xdr:rowOff>
    </xdr:to>
    <xdr:sp macro="[0]!asht18">
      <xdr:nvSpPr>
        <xdr:cNvPr id="31" name="12">
          <a:hlinkClick xmlns:r="http://schemas.openxmlformats.org/officeDocument/2006/relationships" r:id="rId9"/>
        </xdr:cNvPr>
        <xdr:cNvSpPr/>
      </xdr:nvSpPr>
      <xdr:spPr>
        <a:xfrm>
          <a:off x="22356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382270</xdr:colOff>
      <xdr:row>0</xdr:row>
      <xdr:rowOff>228600</xdr:rowOff>
    </xdr:from>
    <xdr:to>
      <xdr:col>30</xdr:col>
      <xdr:colOff>514350</xdr:colOff>
      <xdr:row>0</xdr:row>
      <xdr:rowOff>582930</xdr:rowOff>
    </xdr:to>
    <xdr:sp macro="[0]!asht18">
      <xdr:nvSpPr>
        <xdr:cNvPr id="32" name="12">
          <a:hlinkClick xmlns:r="http://schemas.openxmlformats.org/officeDocument/2006/relationships" r:id="rId10"/>
        </xdr:cNvPr>
        <xdr:cNvSpPr/>
      </xdr:nvSpPr>
      <xdr:spPr>
        <a:xfrm>
          <a:off x="232803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515620</xdr:colOff>
      <xdr:row>0</xdr:row>
      <xdr:rowOff>228600</xdr:rowOff>
    </xdr:from>
    <xdr:to>
      <xdr:col>31</xdr:col>
      <xdr:colOff>647700</xdr:colOff>
      <xdr:row>0</xdr:row>
      <xdr:rowOff>582930</xdr:rowOff>
    </xdr:to>
    <xdr:sp macro="[0]!asht18">
      <xdr:nvSpPr>
        <xdr:cNvPr id="33" name="12">
          <a:hlinkClick xmlns:r="http://schemas.openxmlformats.org/officeDocument/2006/relationships" r:id="rId11"/>
        </xdr:cNvPr>
        <xdr:cNvSpPr/>
      </xdr:nvSpPr>
      <xdr:spPr>
        <a:xfrm>
          <a:off x="2409952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652145</xdr:colOff>
      <xdr:row>0</xdr:row>
      <xdr:rowOff>219075</xdr:rowOff>
    </xdr:from>
    <xdr:to>
      <xdr:col>33</xdr:col>
      <xdr:colOff>98425</xdr:colOff>
      <xdr:row>0</xdr:row>
      <xdr:rowOff>573405</xdr:rowOff>
    </xdr:to>
    <xdr:sp macro="[0]!asht18">
      <xdr:nvSpPr>
        <xdr:cNvPr id="34" name="12">
          <a:hlinkClick xmlns:r="http://schemas.openxmlformats.org/officeDocument/2006/relationships" r:id="rId12"/>
        </xdr:cNvPr>
        <xdr:cNvSpPr/>
      </xdr:nvSpPr>
      <xdr:spPr>
        <a:xfrm>
          <a:off x="24921845" y="2190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2">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xiaosh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408305</xdr:colOff>
      <xdr:row>0</xdr:row>
      <xdr:rowOff>624205</xdr:rowOff>
    </xdr:to>
    <xdr:sp>
      <xdr:nvSpPr>
        <xdr:cNvPr id="4" name="圆角矩形 14"/>
        <xdr:cNvSpPr/>
      </xdr:nvSpPr>
      <xdr:spPr>
        <a:xfrm>
          <a:off x="1118235" y="127000"/>
          <a:ext cx="248456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2">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207645</xdr:rowOff>
    </xdr:from>
    <xdr:to>
      <xdr:col>18</xdr:col>
      <xdr:colOff>551180</xdr:colOff>
      <xdr:row>0</xdr:row>
      <xdr:rowOff>561975</xdr:rowOff>
    </xdr:to>
    <xdr:sp macro="[0]!asht18">
      <xdr:nvSpPr>
        <xdr:cNvPr id="2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207645</xdr:rowOff>
    </xdr:from>
    <xdr:to>
      <xdr:col>19</xdr:col>
      <xdr:colOff>657225</xdr:colOff>
      <xdr:row>0</xdr:row>
      <xdr:rowOff>561975</xdr:rowOff>
    </xdr:to>
    <xdr:sp macro="[0]!asht18">
      <xdr:nvSpPr>
        <xdr:cNvPr id="2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207645</xdr:rowOff>
    </xdr:from>
    <xdr:to>
      <xdr:col>21</xdr:col>
      <xdr:colOff>104775</xdr:colOff>
      <xdr:row>0</xdr:row>
      <xdr:rowOff>561975</xdr:rowOff>
    </xdr:to>
    <xdr:sp macro="[0]!asht18">
      <xdr:nvSpPr>
        <xdr:cNvPr id="26" name="12">
          <a:hlinkClick xmlns:r="http://schemas.openxmlformats.org/officeDocument/2006/relationships" r:id="rId3"/>
        </xdr:cNvPr>
        <xdr:cNvSpPr/>
      </xdr:nvSpPr>
      <xdr:spPr>
        <a:xfrm>
          <a:off x="172986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207645</xdr:rowOff>
    </xdr:from>
    <xdr:to>
      <xdr:col>22</xdr:col>
      <xdr:colOff>190500</xdr:colOff>
      <xdr:row>0</xdr:row>
      <xdr:rowOff>561975</xdr:rowOff>
    </xdr:to>
    <xdr:sp macro="[0]!asht18">
      <xdr:nvSpPr>
        <xdr:cNvPr id="2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207645</xdr:rowOff>
    </xdr:from>
    <xdr:to>
      <xdr:col>23</xdr:col>
      <xdr:colOff>295275</xdr:colOff>
      <xdr:row>0</xdr:row>
      <xdr:rowOff>561975</xdr:rowOff>
    </xdr:to>
    <xdr:sp macro="[0]!asht18">
      <xdr:nvSpPr>
        <xdr:cNvPr id="2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207645</xdr:rowOff>
    </xdr:from>
    <xdr:to>
      <xdr:col>24</xdr:col>
      <xdr:colOff>485775</xdr:colOff>
      <xdr:row>0</xdr:row>
      <xdr:rowOff>561975</xdr:rowOff>
    </xdr:to>
    <xdr:sp macro="[0]!asht18">
      <xdr:nvSpPr>
        <xdr:cNvPr id="2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0]!asht18">
      <xdr:nvSpPr>
        <xdr:cNvPr id="30"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207645</xdr:rowOff>
    </xdr:from>
    <xdr:to>
      <xdr:col>27</xdr:col>
      <xdr:colOff>190500</xdr:colOff>
      <xdr:row>0</xdr:row>
      <xdr:rowOff>561975</xdr:rowOff>
    </xdr:to>
    <xdr:sp macro="[0]!asht18">
      <xdr:nvSpPr>
        <xdr:cNvPr id="31"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207645</xdr:rowOff>
    </xdr:from>
    <xdr:to>
      <xdr:col>28</xdr:col>
      <xdr:colOff>295275</xdr:colOff>
      <xdr:row>0</xdr:row>
      <xdr:rowOff>561975</xdr:rowOff>
    </xdr:to>
    <xdr:sp macro="[0]!asht18">
      <xdr:nvSpPr>
        <xdr:cNvPr id="32"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207645</xdr:rowOff>
    </xdr:from>
    <xdr:to>
      <xdr:col>29</xdr:col>
      <xdr:colOff>533400</xdr:colOff>
      <xdr:row>0</xdr:row>
      <xdr:rowOff>561975</xdr:rowOff>
    </xdr:to>
    <xdr:sp macro="[0]!asht18">
      <xdr:nvSpPr>
        <xdr:cNvPr id="33"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207645</xdr:rowOff>
    </xdr:from>
    <xdr:to>
      <xdr:col>30</xdr:col>
      <xdr:colOff>666750</xdr:colOff>
      <xdr:row>0</xdr:row>
      <xdr:rowOff>561975</xdr:rowOff>
    </xdr:to>
    <xdr:sp macro="[0]!asht18">
      <xdr:nvSpPr>
        <xdr:cNvPr id="34"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207645</xdr:rowOff>
    </xdr:from>
    <xdr:to>
      <xdr:col>32</xdr:col>
      <xdr:colOff>117475</xdr:colOff>
      <xdr:row>0</xdr:row>
      <xdr:rowOff>561975</xdr:rowOff>
    </xdr:to>
    <xdr:sp macro="[0]!asht18">
      <xdr:nvSpPr>
        <xdr:cNvPr id="35"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3">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560070</xdr:colOff>
      <xdr:row>0</xdr:row>
      <xdr:rowOff>624205</xdr:rowOff>
    </xdr:to>
    <xdr:sp>
      <xdr:nvSpPr>
        <xdr:cNvPr id="4" name="圆角矩形 14"/>
        <xdr:cNvSpPr/>
      </xdr:nvSpPr>
      <xdr:spPr>
        <a:xfrm>
          <a:off x="1118235" y="127000"/>
          <a:ext cx="249974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3">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200025</xdr:rowOff>
    </xdr:from>
    <xdr:to>
      <xdr:col>18</xdr:col>
      <xdr:colOff>551180</xdr:colOff>
      <xdr:row>0</xdr:row>
      <xdr:rowOff>554355</xdr:rowOff>
    </xdr:to>
    <xdr:sp macro="[0]!asht18">
      <xdr:nvSpPr>
        <xdr:cNvPr id="24" name="12">
          <a:hlinkClick xmlns:r="http://schemas.openxmlformats.org/officeDocument/2006/relationships" r:id="rId1"/>
        </xdr:cNvPr>
        <xdr:cNvSpPr/>
      </xdr:nvSpPr>
      <xdr:spPr>
        <a:xfrm>
          <a:off x="1568767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200025</xdr:rowOff>
    </xdr:from>
    <xdr:to>
      <xdr:col>19</xdr:col>
      <xdr:colOff>657225</xdr:colOff>
      <xdr:row>0</xdr:row>
      <xdr:rowOff>554355</xdr:rowOff>
    </xdr:to>
    <xdr:sp macro="[0]!asht18">
      <xdr:nvSpPr>
        <xdr:cNvPr id="25" name="12">
          <a:hlinkClick xmlns:r="http://schemas.openxmlformats.org/officeDocument/2006/relationships" r:id="rId2"/>
        </xdr:cNvPr>
        <xdr:cNvSpPr/>
      </xdr:nvSpPr>
      <xdr:spPr>
        <a:xfrm>
          <a:off x="164795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200025</xdr:rowOff>
    </xdr:from>
    <xdr:to>
      <xdr:col>21</xdr:col>
      <xdr:colOff>104775</xdr:colOff>
      <xdr:row>0</xdr:row>
      <xdr:rowOff>554355</xdr:rowOff>
    </xdr:to>
    <xdr:sp macro="[0]!asht18">
      <xdr:nvSpPr>
        <xdr:cNvPr id="26" name="12">
          <a:hlinkClick xmlns:r="http://schemas.openxmlformats.org/officeDocument/2006/relationships" r:id="rId3"/>
        </xdr:cNvPr>
        <xdr:cNvSpPr/>
      </xdr:nvSpPr>
      <xdr:spPr>
        <a:xfrm>
          <a:off x="172986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200025</xdr:rowOff>
    </xdr:from>
    <xdr:to>
      <xdr:col>22</xdr:col>
      <xdr:colOff>190500</xdr:colOff>
      <xdr:row>0</xdr:row>
      <xdr:rowOff>554355</xdr:rowOff>
    </xdr:to>
    <xdr:sp macro="[0]!asht18">
      <xdr:nvSpPr>
        <xdr:cNvPr id="27" name="12">
          <a:hlinkClick xmlns:r="http://schemas.openxmlformats.org/officeDocument/2006/relationships" r:id="rId4"/>
        </xdr:cNvPr>
        <xdr:cNvSpPr/>
      </xdr:nvSpPr>
      <xdr:spPr>
        <a:xfrm>
          <a:off x="18070195" y="20002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200025</xdr:rowOff>
    </xdr:from>
    <xdr:to>
      <xdr:col>23</xdr:col>
      <xdr:colOff>295275</xdr:colOff>
      <xdr:row>0</xdr:row>
      <xdr:rowOff>554355</xdr:rowOff>
    </xdr:to>
    <xdr:sp macro="[0]!asht18">
      <xdr:nvSpPr>
        <xdr:cNvPr id="28" name="12">
          <a:hlinkClick xmlns:r="http://schemas.openxmlformats.org/officeDocument/2006/relationships" r:id="rId5"/>
        </xdr:cNvPr>
        <xdr:cNvSpPr/>
      </xdr:nvSpPr>
      <xdr:spPr>
        <a:xfrm>
          <a:off x="18860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200025</xdr:rowOff>
    </xdr:from>
    <xdr:to>
      <xdr:col>24</xdr:col>
      <xdr:colOff>485775</xdr:colOff>
      <xdr:row>0</xdr:row>
      <xdr:rowOff>554355</xdr:rowOff>
    </xdr:to>
    <xdr:sp macro="[0]!asht18">
      <xdr:nvSpPr>
        <xdr:cNvPr id="29" name="12">
          <a:hlinkClick xmlns:r="http://schemas.openxmlformats.org/officeDocument/2006/relationships" r:id="rId6"/>
        </xdr:cNvPr>
        <xdr:cNvSpPr/>
      </xdr:nvSpPr>
      <xdr:spPr>
        <a:xfrm>
          <a:off x="197370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200025</xdr:rowOff>
    </xdr:from>
    <xdr:to>
      <xdr:col>25</xdr:col>
      <xdr:colOff>657225</xdr:colOff>
      <xdr:row>0</xdr:row>
      <xdr:rowOff>554355</xdr:rowOff>
    </xdr:to>
    <xdr:sp macro="[0]!asht18">
      <xdr:nvSpPr>
        <xdr:cNvPr id="30" name="12">
          <a:hlinkClick xmlns:r="http://schemas.openxmlformats.org/officeDocument/2006/relationships" r:id="rId7"/>
        </xdr:cNvPr>
        <xdr:cNvSpPr/>
      </xdr:nvSpPr>
      <xdr:spPr>
        <a:xfrm>
          <a:off x="205943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200025</xdr:rowOff>
    </xdr:from>
    <xdr:to>
      <xdr:col>27</xdr:col>
      <xdr:colOff>190500</xdr:colOff>
      <xdr:row>0</xdr:row>
      <xdr:rowOff>554355</xdr:rowOff>
    </xdr:to>
    <xdr:sp macro="[0]!asht18">
      <xdr:nvSpPr>
        <xdr:cNvPr id="31" name="12">
          <a:hlinkClick xmlns:r="http://schemas.openxmlformats.org/officeDocument/2006/relationships" r:id="rId8"/>
        </xdr:cNvPr>
        <xdr:cNvSpPr/>
      </xdr:nvSpPr>
      <xdr:spPr>
        <a:xfrm>
          <a:off x="21499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200025</xdr:rowOff>
    </xdr:from>
    <xdr:to>
      <xdr:col>28</xdr:col>
      <xdr:colOff>295275</xdr:colOff>
      <xdr:row>0</xdr:row>
      <xdr:rowOff>554355</xdr:rowOff>
    </xdr:to>
    <xdr:sp macro="[0]!asht18">
      <xdr:nvSpPr>
        <xdr:cNvPr id="32" name="12">
          <a:hlinkClick xmlns:r="http://schemas.openxmlformats.org/officeDocument/2006/relationships" r:id="rId9"/>
        </xdr:cNvPr>
        <xdr:cNvSpPr/>
      </xdr:nvSpPr>
      <xdr:spPr>
        <a:xfrm>
          <a:off x="22289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200025</xdr:rowOff>
    </xdr:from>
    <xdr:to>
      <xdr:col>29</xdr:col>
      <xdr:colOff>533400</xdr:colOff>
      <xdr:row>0</xdr:row>
      <xdr:rowOff>554355</xdr:rowOff>
    </xdr:to>
    <xdr:sp macro="[0]!asht18">
      <xdr:nvSpPr>
        <xdr:cNvPr id="33" name="12">
          <a:hlinkClick xmlns:r="http://schemas.openxmlformats.org/officeDocument/2006/relationships" r:id="rId10"/>
        </xdr:cNvPr>
        <xdr:cNvSpPr/>
      </xdr:nvSpPr>
      <xdr:spPr>
        <a:xfrm>
          <a:off x="23213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200025</xdr:rowOff>
    </xdr:from>
    <xdr:to>
      <xdr:col>30</xdr:col>
      <xdr:colOff>666750</xdr:colOff>
      <xdr:row>0</xdr:row>
      <xdr:rowOff>554355</xdr:rowOff>
    </xdr:to>
    <xdr:sp macro="[0]!asht18">
      <xdr:nvSpPr>
        <xdr:cNvPr id="34" name="12">
          <a:hlinkClick xmlns:r="http://schemas.openxmlformats.org/officeDocument/2006/relationships" r:id="rId11"/>
        </xdr:cNvPr>
        <xdr:cNvSpPr/>
      </xdr:nvSpPr>
      <xdr:spPr>
        <a:xfrm>
          <a:off x="24032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200025</xdr:rowOff>
    </xdr:from>
    <xdr:to>
      <xdr:col>32</xdr:col>
      <xdr:colOff>117475</xdr:colOff>
      <xdr:row>0</xdr:row>
      <xdr:rowOff>554355</xdr:rowOff>
    </xdr:to>
    <xdr:sp macro="[0]!asht18">
      <xdr:nvSpPr>
        <xdr:cNvPr id="35" name="12">
          <a:hlinkClick xmlns:r="http://schemas.openxmlformats.org/officeDocument/2006/relationships" r:id="rId12"/>
        </xdr:cNvPr>
        <xdr:cNvSpPr/>
      </xdr:nvSpPr>
      <xdr:spPr>
        <a:xfrm>
          <a:off x="248551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29">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636905</xdr:colOff>
      <xdr:row>0</xdr:row>
      <xdr:rowOff>624205</xdr:rowOff>
    </xdr:to>
    <xdr:sp>
      <xdr:nvSpPr>
        <xdr:cNvPr id="4" name="圆角矩形 14"/>
        <xdr:cNvSpPr/>
      </xdr:nvSpPr>
      <xdr:spPr>
        <a:xfrm>
          <a:off x="1118235" y="127000"/>
          <a:ext cx="247980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29">
      <xdr:nvSpPr>
        <xdr:cNvPr id="24" name="圆角矩形 23"/>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4445</xdr:colOff>
      <xdr:row>4</xdr:row>
      <xdr:rowOff>103505</xdr:rowOff>
    </xdr:from>
    <xdr:to>
      <xdr:col>13</xdr:col>
      <xdr:colOff>342900</xdr:colOff>
      <xdr:row>15</xdr:row>
      <xdr:rowOff>105410</xdr:rowOff>
    </xdr:to>
    <xdr:graphicFrame>
      <xdr:nvGraphicFramePr>
        <xdr:cNvPr id="26" name="图表 25"/>
        <xdr:cNvGraphicFramePr/>
      </xdr:nvGraphicFramePr>
      <xdr:xfrm>
        <a:off x="6309995" y="2009140"/>
        <a:ext cx="4910455" cy="28098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7" name="图表 26"/>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47625</xdr:colOff>
      <xdr:row>0</xdr:row>
      <xdr:rowOff>198120</xdr:rowOff>
    </xdr:from>
    <xdr:to>
      <xdr:col>21</xdr:col>
      <xdr:colOff>179705</xdr:colOff>
      <xdr:row>0</xdr:row>
      <xdr:rowOff>552450</xdr:rowOff>
    </xdr:to>
    <xdr:sp macro="[0]!asht18">
      <xdr:nvSpPr>
        <xdr:cNvPr id="3" name="12">
          <a:hlinkClick xmlns:r="http://schemas.openxmlformats.org/officeDocument/2006/relationships" r:id="rId3"/>
        </xdr:cNvPr>
        <xdr:cNvSpPr/>
      </xdr:nvSpPr>
      <xdr:spPr>
        <a:xfrm>
          <a:off x="1572577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198120</xdr:rowOff>
    </xdr:from>
    <xdr:to>
      <xdr:col>22</xdr:col>
      <xdr:colOff>285750</xdr:colOff>
      <xdr:row>0</xdr:row>
      <xdr:rowOff>552450</xdr:rowOff>
    </xdr:to>
    <xdr:sp macro="[0]!asht18">
      <xdr:nvSpPr>
        <xdr:cNvPr id="23" name="12">
          <a:hlinkClick xmlns:r="http://schemas.openxmlformats.org/officeDocument/2006/relationships" r:id="rId4"/>
        </xdr:cNvPr>
        <xdr:cNvSpPr/>
      </xdr:nvSpPr>
      <xdr:spPr>
        <a:xfrm>
          <a:off x="16517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198120</xdr:rowOff>
    </xdr:from>
    <xdr:to>
      <xdr:col>23</xdr:col>
      <xdr:colOff>419100</xdr:colOff>
      <xdr:row>0</xdr:row>
      <xdr:rowOff>552450</xdr:rowOff>
    </xdr:to>
    <xdr:sp macro="[0]!asht18">
      <xdr:nvSpPr>
        <xdr:cNvPr id="25" name="12">
          <a:hlinkClick xmlns:r="http://schemas.openxmlformats.org/officeDocument/2006/relationships" r:id="rId5"/>
        </xdr:cNvPr>
        <xdr:cNvSpPr/>
      </xdr:nvSpPr>
      <xdr:spPr>
        <a:xfrm>
          <a:off x="17336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198120</xdr:rowOff>
    </xdr:from>
    <xdr:to>
      <xdr:col>24</xdr:col>
      <xdr:colOff>504825</xdr:colOff>
      <xdr:row>0</xdr:row>
      <xdr:rowOff>552450</xdr:rowOff>
    </xdr:to>
    <xdr:sp macro="[0]!asht18">
      <xdr:nvSpPr>
        <xdr:cNvPr id="28" name="12">
          <a:hlinkClick xmlns:r="http://schemas.openxmlformats.org/officeDocument/2006/relationships" r:id="rId6"/>
        </xdr:cNvPr>
        <xdr:cNvSpPr/>
      </xdr:nvSpPr>
      <xdr:spPr>
        <a:xfrm>
          <a:off x="18108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198120</xdr:rowOff>
    </xdr:from>
    <xdr:to>
      <xdr:col>25</xdr:col>
      <xdr:colOff>609600</xdr:colOff>
      <xdr:row>0</xdr:row>
      <xdr:rowOff>552450</xdr:rowOff>
    </xdr:to>
    <xdr:sp macro="[0]!asht18">
      <xdr:nvSpPr>
        <xdr:cNvPr id="29" name="12">
          <a:hlinkClick xmlns:r="http://schemas.openxmlformats.org/officeDocument/2006/relationships" r:id="rId7"/>
        </xdr:cNvPr>
        <xdr:cNvSpPr/>
      </xdr:nvSpPr>
      <xdr:spPr>
        <a:xfrm>
          <a:off x="18898870" y="198120"/>
          <a:ext cx="817880" cy="354330"/>
        </a:xfrm>
        <a:prstGeom prst="rect">
          <a:avLst/>
        </a:prstGeom>
      </xdr:spPr>
      <xdr:style>
        <a:lnRef idx="0">
          <a:srgbClr val="FFFFFF"/>
        </a:lnRef>
        <a:fillRef idx="1">
          <a:schemeClr val="accent1"/>
        </a:fillRef>
        <a:effectRef idx="0">
          <a:srgbClr val="FFFFFF"/>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198120</xdr:rowOff>
    </xdr:from>
    <xdr:to>
      <xdr:col>27</xdr:col>
      <xdr:colOff>114300</xdr:colOff>
      <xdr:row>0</xdr:row>
      <xdr:rowOff>552450</xdr:rowOff>
    </xdr:to>
    <xdr:sp macro="[0]!asht18">
      <xdr:nvSpPr>
        <xdr:cNvPr id="30" name="12">
          <a:hlinkClick xmlns:r="http://schemas.openxmlformats.org/officeDocument/2006/relationships" r:id="rId8"/>
        </xdr:cNvPr>
        <xdr:cNvSpPr/>
      </xdr:nvSpPr>
      <xdr:spPr>
        <a:xfrm>
          <a:off x="19775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198120</xdr:rowOff>
    </xdr:from>
    <xdr:to>
      <xdr:col>28</xdr:col>
      <xdr:colOff>285750</xdr:colOff>
      <xdr:row>0</xdr:row>
      <xdr:rowOff>552450</xdr:rowOff>
    </xdr:to>
    <xdr:sp macro="[0]!asht18">
      <xdr:nvSpPr>
        <xdr:cNvPr id="31" name="12">
          <a:hlinkClick xmlns:r="http://schemas.openxmlformats.org/officeDocument/2006/relationships" r:id="rId9"/>
        </xdr:cNvPr>
        <xdr:cNvSpPr/>
      </xdr:nvSpPr>
      <xdr:spPr>
        <a:xfrm>
          <a:off x="20632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198120</xdr:rowOff>
    </xdr:from>
    <xdr:to>
      <xdr:col>29</xdr:col>
      <xdr:colOff>504825</xdr:colOff>
      <xdr:row>0</xdr:row>
      <xdr:rowOff>552450</xdr:rowOff>
    </xdr:to>
    <xdr:sp macro="[0]!asht18">
      <xdr:nvSpPr>
        <xdr:cNvPr id="32" name="12">
          <a:hlinkClick xmlns:r="http://schemas.openxmlformats.org/officeDocument/2006/relationships" r:id="rId10"/>
        </xdr:cNvPr>
        <xdr:cNvSpPr/>
      </xdr:nvSpPr>
      <xdr:spPr>
        <a:xfrm>
          <a:off x="21537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198120</xdr:rowOff>
    </xdr:from>
    <xdr:to>
      <xdr:col>30</xdr:col>
      <xdr:colOff>609600</xdr:colOff>
      <xdr:row>0</xdr:row>
      <xdr:rowOff>552450</xdr:rowOff>
    </xdr:to>
    <xdr:sp macro="[0]!asht18">
      <xdr:nvSpPr>
        <xdr:cNvPr id="33" name="12">
          <a:hlinkClick xmlns:r="http://schemas.openxmlformats.org/officeDocument/2006/relationships" r:id="rId11"/>
        </xdr:cNvPr>
        <xdr:cNvSpPr/>
      </xdr:nvSpPr>
      <xdr:spPr>
        <a:xfrm>
          <a:off x="223278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198120</xdr:rowOff>
    </xdr:from>
    <xdr:to>
      <xdr:col>32</xdr:col>
      <xdr:colOff>161925</xdr:colOff>
      <xdr:row>0</xdr:row>
      <xdr:rowOff>552450</xdr:rowOff>
    </xdr:to>
    <xdr:sp macro="[0]!asht18">
      <xdr:nvSpPr>
        <xdr:cNvPr id="34" name="12">
          <a:hlinkClick xmlns:r="http://schemas.openxmlformats.org/officeDocument/2006/relationships" r:id="rId12"/>
        </xdr:cNvPr>
        <xdr:cNvSpPr/>
      </xdr:nvSpPr>
      <xdr:spPr>
        <a:xfrm>
          <a:off x="232517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198120</xdr:rowOff>
    </xdr:from>
    <xdr:to>
      <xdr:col>33</xdr:col>
      <xdr:colOff>295275</xdr:colOff>
      <xdr:row>0</xdr:row>
      <xdr:rowOff>552450</xdr:rowOff>
    </xdr:to>
    <xdr:sp macro="[0]!asht18">
      <xdr:nvSpPr>
        <xdr:cNvPr id="35" name="12">
          <a:hlinkClick xmlns:r="http://schemas.openxmlformats.org/officeDocument/2006/relationships" r:id="rId13"/>
        </xdr:cNvPr>
        <xdr:cNvSpPr/>
      </xdr:nvSpPr>
      <xdr:spPr>
        <a:xfrm>
          <a:off x="240709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198120</xdr:rowOff>
    </xdr:from>
    <xdr:to>
      <xdr:col>34</xdr:col>
      <xdr:colOff>431800</xdr:colOff>
      <xdr:row>0</xdr:row>
      <xdr:rowOff>552450</xdr:rowOff>
    </xdr:to>
    <xdr:sp macro="[0]!asht18">
      <xdr:nvSpPr>
        <xdr:cNvPr id="36" name="12">
          <a:hlinkClick xmlns:r="http://schemas.openxmlformats.org/officeDocument/2006/relationships" r:id="rId14"/>
        </xdr:cNvPr>
        <xdr:cNvSpPr/>
      </xdr:nvSpPr>
      <xdr:spPr>
        <a:xfrm>
          <a:off x="24893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0">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664845</xdr:colOff>
      <xdr:row>0</xdr:row>
      <xdr:rowOff>624205</xdr:rowOff>
    </xdr:to>
    <xdr:sp>
      <xdr:nvSpPr>
        <xdr:cNvPr id="3" name="圆角矩形 14"/>
        <xdr:cNvSpPr/>
      </xdr:nvSpPr>
      <xdr:spPr>
        <a:xfrm>
          <a:off x="1118235" y="127000"/>
          <a:ext cx="248259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0">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38100</xdr:colOff>
      <xdr:row>0</xdr:row>
      <xdr:rowOff>198120</xdr:rowOff>
    </xdr:from>
    <xdr:to>
      <xdr:col>21</xdr:col>
      <xdr:colOff>170180</xdr:colOff>
      <xdr:row>0</xdr:row>
      <xdr:rowOff>552450</xdr:rowOff>
    </xdr:to>
    <xdr:sp macro="[0]!asht18">
      <xdr:nvSpPr>
        <xdr:cNvPr id="25" name="12">
          <a:hlinkClick xmlns:r="http://schemas.openxmlformats.org/officeDocument/2006/relationships" r:id="rId3"/>
        </xdr:cNvPr>
        <xdr:cNvSpPr/>
      </xdr:nvSpPr>
      <xdr:spPr>
        <a:xfrm>
          <a:off x="157162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144145</xdr:colOff>
      <xdr:row>0</xdr:row>
      <xdr:rowOff>198120</xdr:rowOff>
    </xdr:from>
    <xdr:to>
      <xdr:col>22</xdr:col>
      <xdr:colOff>276225</xdr:colOff>
      <xdr:row>0</xdr:row>
      <xdr:rowOff>552450</xdr:rowOff>
    </xdr:to>
    <xdr:sp macro="[0]!asht18">
      <xdr:nvSpPr>
        <xdr:cNvPr id="26" name="12">
          <a:hlinkClick xmlns:r="http://schemas.openxmlformats.org/officeDocument/2006/relationships" r:id="rId4"/>
        </xdr:cNvPr>
        <xdr:cNvSpPr/>
      </xdr:nvSpPr>
      <xdr:spPr>
        <a:xfrm>
          <a:off x="165080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277495</xdr:colOff>
      <xdr:row>0</xdr:row>
      <xdr:rowOff>198120</xdr:rowOff>
    </xdr:from>
    <xdr:to>
      <xdr:col>23</xdr:col>
      <xdr:colOff>409575</xdr:colOff>
      <xdr:row>0</xdr:row>
      <xdr:rowOff>552450</xdr:rowOff>
    </xdr:to>
    <xdr:sp macro="[0]!asht18">
      <xdr:nvSpPr>
        <xdr:cNvPr id="27" name="12">
          <a:hlinkClick xmlns:r="http://schemas.openxmlformats.org/officeDocument/2006/relationships" r:id="rId5"/>
        </xdr:cNvPr>
        <xdr:cNvSpPr/>
      </xdr:nvSpPr>
      <xdr:spPr>
        <a:xfrm>
          <a:off x="173272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363220</xdr:colOff>
      <xdr:row>0</xdr:row>
      <xdr:rowOff>198120</xdr:rowOff>
    </xdr:from>
    <xdr:to>
      <xdr:col>24</xdr:col>
      <xdr:colOff>495300</xdr:colOff>
      <xdr:row>0</xdr:row>
      <xdr:rowOff>552450</xdr:rowOff>
    </xdr:to>
    <xdr:sp macro="[0]!asht18">
      <xdr:nvSpPr>
        <xdr:cNvPr id="28" name="12">
          <a:hlinkClick xmlns:r="http://schemas.openxmlformats.org/officeDocument/2006/relationships" r:id="rId6"/>
        </xdr:cNvPr>
        <xdr:cNvSpPr/>
      </xdr:nvSpPr>
      <xdr:spPr>
        <a:xfrm>
          <a:off x="18098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467995</xdr:colOff>
      <xdr:row>0</xdr:row>
      <xdr:rowOff>198120</xdr:rowOff>
    </xdr:from>
    <xdr:to>
      <xdr:col>25</xdr:col>
      <xdr:colOff>600075</xdr:colOff>
      <xdr:row>0</xdr:row>
      <xdr:rowOff>552450</xdr:rowOff>
    </xdr:to>
    <xdr:sp macro="[0]!asht18">
      <xdr:nvSpPr>
        <xdr:cNvPr id="29" name="12">
          <a:hlinkClick xmlns:r="http://schemas.openxmlformats.org/officeDocument/2006/relationships" r:id="rId7"/>
        </xdr:cNvPr>
        <xdr:cNvSpPr/>
      </xdr:nvSpPr>
      <xdr:spPr>
        <a:xfrm>
          <a:off x="18889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658495</xdr:colOff>
      <xdr:row>0</xdr:row>
      <xdr:rowOff>198120</xdr:rowOff>
    </xdr:from>
    <xdr:to>
      <xdr:col>27</xdr:col>
      <xdr:colOff>104775</xdr:colOff>
      <xdr:row>0</xdr:row>
      <xdr:rowOff>552450</xdr:rowOff>
    </xdr:to>
    <xdr:sp macro="[0]!asht18">
      <xdr:nvSpPr>
        <xdr:cNvPr id="30" name="12">
          <a:hlinkClick xmlns:r="http://schemas.openxmlformats.org/officeDocument/2006/relationships" r:id="rId8"/>
        </xdr:cNvPr>
        <xdr:cNvSpPr/>
      </xdr:nvSpPr>
      <xdr:spPr>
        <a:xfrm>
          <a:off x="19765645" y="19812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144145</xdr:colOff>
      <xdr:row>0</xdr:row>
      <xdr:rowOff>198120</xdr:rowOff>
    </xdr:from>
    <xdr:to>
      <xdr:col>28</xdr:col>
      <xdr:colOff>276225</xdr:colOff>
      <xdr:row>0</xdr:row>
      <xdr:rowOff>552450</xdr:rowOff>
    </xdr:to>
    <xdr:sp macro="[0]!asht18">
      <xdr:nvSpPr>
        <xdr:cNvPr id="31" name="12">
          <a:hlinkClick xmlns:r="http://schemas.openxmlformats.org/officeDocument/2006/relationships" r:id="rId9"/>
        </xdr:cNvPr>
        <xdr:cNvSpPr/>
      </xdr:nvSpPr>
      <xdr:spPr>
        <a:xfrm>
          <a:off x="20622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363220</xdr:colOff>
      <xdr:row>0</xdr:row>
      <xdr:rowOff>198120</xdr:rowOff>
    </xdr:from>
    <xdr:to>
      <xdr:col>29</xdr:col>
      <xdr:colOff>495300</xdr:colOff>
      <xdr:row>0</xdr:row>
      <xdr:rowOff>552450</xdr:rowOff>
    </xdr:to>
    <xdr:sp macro="[0]!asht18">
      <xdr:nvSpPr>
        <xdr:cNvPr id="32" name="12">
          <a:hlinkClick xmlns:r="http://schemas.openxmlformats.org/officeDocument/2006/relationships" r:id="rId10"/>
        </xdr:cNvPr>
        <xdr:cNvSpPr/>
      </xdr:nvSpPr>
      <xdr:spPr>
        <a:xfrm>
          <a:off x="21527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198120</xdr:rowOff>
    </xdr:from>
    <xdr:to>
      <xdr:col>30</xdr:col>
      <xdr:colOff>600075</xdr:colOff>
      <xdr:row>0</xdr:row>
      <xdr:rowOff>552450</xdr:rowOff>
    </xdr:to>
    <xdr:sp macro="[0]!asht18">
      <xdr:nvSpPr>
        <xdr:cNvPr id="33" name="12">
          <a:hlinkClick xmlns:r="http://schemas.openxmlformats.org/officeDocument/2006/relationships" r:id="rId11"/>
        </xdr:cNvPr>
        <xdr:cNvSpPr/>
      </xdr:nvSpPr>
      <xdr:spPr>
        <a:xfrm>
          <a:off x="22318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20320</xdr:colOff>
      <xdr:row>0</xdr:row>
      <xdr:rowOff>198120</xdr:rowOff>
    </xdr:from>
    <xdr:to>
      <xdr:col>32</xdr:col>
      <xdr:colOff>152400</xdr:colOff>
      <xdr:row>0</xdr:row>
      <xdr:rowOff>552450</xdr:rowOff>
    </xdr:to>
    <xdr:sp macro="[0]!asht18">
      <xdr:nvSpPr>
        <xdr:cNvPr id="34" name="12">
          <a:hlinkClick xmlns:r="http://schemas.openxmlformats.org/officeDocument/2006/relationships" r:id="rId12"/>
        </xdr:cNvPr>
        <xdr:cNvSpPr/>
      </xdr:nvSpPr>
      <xdr:spPr>
        <a:xfrm>
          <a:off x="23242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153670</xdr:colOff>
      <xdr:row>0</xdr:row>
      <xdr:rowOff>198120</xdr:rowOff>
    </xdr:from>
    <xdr:to>
      <xdr:col>33</xdr:col>
      <xdr:colOff>285750</xdr:colOff>
      <xdr:row>0</xdr:row>
      <xdr:rowOff>552450</xdr:rowOff>
    </xdr:to>
    <xdr:sp macro="[0]!asht18">
      <xdr:nvSpPr>
        <xdr:cNvPr id="35" name="12">
          <a:hlinkClick xmlns:r="http://schemas.openxmlformats.org/officeDocument/2006/relationships" r:id="rId13"/>
        </xdr:cNvPr>
        <xdr:cNvSpPr/>
      </xdr:nvSpPr>
      <xdr:spPr>
        <a:xfrm>
          <a:off x="24061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290195</xdr:colOff>
      <xdr:row>0</xdr:row>
      <xdr:rowOff>198120</xdr:rowOff>
    </xdr:from>
    <xdr:to>
      <xdr:col>34</xdr:col>
      <xdr:colOff>422275</xdr:colOff>
      <xdr:row>0</xdr:row>
      <xdr:rowOff>552450</xdr:rowOff>
    </xdr:to>
    <xdr:sp macro="[0]!asht18">
      <xdr:nvSpPr>
        <xdr:cNvPr id="36" name="12">
          <a:hlinkClick xmlns:r="http://schemas.openxmlformats.org/officeDocument/2006/relationships" r:id="rId14"/>
        </xdr:cNvPr>
        <xdr:cNvSpPr/>
      </xdr:nvSpPr>
      <xdr:spPr>
        <a:xfrm>
          <a:off x="248837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1">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645795</xdr:colOff>
      <xdr:row>0</xdr:row>
      <xdr:rowOff>624205</xdr:rowOff>
    </xdr:to>
    <xdr:sp>
      <xdr:nvSpPr>
        <xdr:cNvPr id="3" name="圆角矩形 14"/>
        <xdr:cNvSpPr/>
      </xdr:nvSpPr>
      <xdr:spPr>
        <a:xfrm>
          <a:off x="1118235" y="127000"/>
          <a:ext cx="248069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进出明细统计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1">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0</xdr:colOff>
      <xdr:row>0</xdr:row>
      <xdr:rowOff>217170</xdr:rowOff>
    </xdr:from>
    <xdr:to>
      <xdr:col>21</xdr:col>
      <xdr:colOff>132080</xdr:colOff>
      <xdr:row>0</xdr:row>
      <xdr:rowOff>571500</xdr:rowOff>
    </xdr:to>
    <xdr:sp macro="[0]!asht18">
      <xdr:nvSpPr>
        <xdr:cNvPr id="25" name="12">
          <a:hlinkClick xmlns:r="http://schemas.openxmlformats.org/officeDocument/2006/relationships" r:id="rId3"/>
        </xdr:cNvPr>
        <xdr:cNvSpPr/>
      </xdr:nvSpPr>
      <xdr:spPr>
        <a:xfrm>
          <a:off x="1567815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106045</xdr:colOff>
      <xdr:row>0</xdr:row>
      <xdr:rowOff>217170</xdr:rowOff>
    </xdr:from>
    <xdr:to>
      <xdr:col>22</xdr:col>
      <xdr:colOff>238125</xdr:colOff>
      <xdr:row>0</xdr:row>
      <xdr:rowOff>571500</xdr:rowOff>
    </xdr:to>
    <xdr:sp macro="[0]!asht18">
      <xdr:nvSpPr>
        <xdr:cNvPr id="26" name="12">
          <a:hlinkClick xmlns:r="http://schemas.openxmlformats.org/officeDocument/2006/relationships" r:id="rId4"/>
        </xdr:cNvPr>
        <xdr:cNvSpPr/>
      </xdr:nvSpPr>
      <xdr:spPr>
        <a:xfrm>
          <a:off x="164699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0]!asht18">
      <xdr:nvSpPr>
        <xdr:cNvPr id="27" name="12">
          <a:hlinkClick xmlns:r="http://schemas.openxmlformats.org/officeDocument/2006/relationships" r:id="rId5"/>
        </xdr:cNvPr>
        <xdr:cNvSpPr/>
      </xdr:nvSpPr>
      <xdr:spPr>
        <a:xfrm>
          <a:off x="172891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325120</xdr:colOff>
      <xdr:row>0</xdr:row>
      <xdr:rowOff>217170</xdr:rowOff>
    </xdr:from>
    <xdr:to>
      <xdr:col>24</xdr:col>
      <xdr:colOff>457200</xdr:colOff>
      <xdr:row>0</xdr:row>
      <xdr:rowOff>571500</xdr:rowOff>
    </xdr:to>
    <xdr:sp macro="[0]!asht18">
      <xdr:nvSpPr>
        <xdr:cNvPr id="28" name="12">
          <a:hlinkClick xmlns:r="http://schemas.openxmlformats.org/officeDocument/2006/relationships" r:id="rId6"/>
        </xdr:cNvPr>
        <xdr:cNvSpPr/>
      </xdr:nvSpPr>
      <xdr:spPr>
        <a:xfrm>
          <a:off x="18060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429895</xdr:colOff>
      <xdr:row>0</xdr:row>
      <xdr:rowOff>217170</xdr:rowOff>
    </xdr:from>
    <xdr:to>
      <xdr:col>25</xdr:col>
      <xdr:colOff>561975</xdr:colOff>
      <xdr:row>0</xdr:row>
      <xdr:rowOff>571500</xdr:rowOff>
    </xdr:to>
    <xdr:sp macro="[0]!asht18">
      <xdr:nvSpPr>
        <xdr:cNvPr id="29" name="12">
          <a:hlinkClick xmlns:r="http://schemas.openxmlformats.org/officeDocument/2006/relationships" r:id="rId7"/>
        </xdr:cNvPr>
        <xdr:cNvSpPr/>
      </xdr:nvSpPr>
      <xdr:spPr>
        <a:xfrm>
          <a:off x="18851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620395</xdr:colOff>
      <xdr:row>0</xdr:row>
      <xdr:rowOff>217170</xdr:rowOff>
    </xdr:from>
    <xdr:to>
      <xdr:col>27</xdr:col>
      <xdr:colOff>66675</xdr:colOff>
      <xdr:row>0</xdr:row>
      <xdr:rowOff>571500</xdr:rowOff>
    </xdr:to>
    <xdr:sp macro="[0]!asht18">
      <xdr:nvSpPr>
        <xdr:cNvPr id="30" name="12">
          <a:hlinkClick xmlns:r="http://schemas.openxmlformats.org/officeDocument/2006/relationships" r:id="rId8"/>
        </xdr:cNvPr>
        <xdr:cNvSpPr/>
      </xdr:nvSpPr>
      <xdr:spPr>
        <a:xfrm>
          <a:off x="197275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106045</xdr:colOff>
      <xdr:row>0</xdr:row>
      <xdr:rowOff>217170</xdr:rowOff>
    </xdr:from>
    <xdr:to>
      <xdr:col>28</xdr:col>
      <xdr:colOff>238125</xdr:colOff>
      <xdr:row>0</xdr:row>
      <xdr:rowOff>571500</xdr:rowOff>
    </xdr:to>
    <xdr:sp macro="[0]!asht18">
      <xdr:nvSpPr>
        <xdr:cNvPr id="31" name="12">
          <a:hlinkClick xmlns:r="http://schemas.openxmlformats.org/officeDocument/2006/relationships" r:id="rId9"/>
        </xdr:cNvPr>
        <xdr:cNvSpPr/>
      </xdr:nvSpPr>
      <xdr:spPr>
        <a:xfrm>
          <a:off x="20584795" y="21717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进出明细统计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28</xdr:col>
      <xdr:colOff>325120</xdr:colOff>
      <xdr:row>0</xdr:row>
      <xdr:rowOff>217170</xdr:rowOff>
    </xdr:from>
    <xdr:to>
      <xdr:col>29</xdr:col>
      <xdr:colOff>457200</xdr:colOff>
      <xdr:row>0</xdr:row>
      <xdr:rowOff>571500</xdr:rowOff>
    </xdr:to>
    <xdr:sp macro="[0]!asht18">
      <xdr:nvSpPr>
        <xdr:cNvPr id="32" name="12">
          <a:hlinkClick xmlns:r="http://schemas.openxmlformats.org/officeDocument/2006/relationships" r:id="rId10"/>
        </xdr:cNvPr>
        <xdr:cNvSpPr/>
      </xdr:nvSpPr>
      <xdr:spPr>
        <a:xfrm>
          <a:off x="21489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217170</xdr:rowOff>
    </xdr:from>
    <xdr:to>
      <xdr:col>30</xdr:col>
      <xdr:colOff>561975</xdr:colOff>
      <xdr:row>0</xdr:row>
      <xdr:rowOff>571500</xdr:rowOff>
    </xdr:to>
    <xdr:sp macro="[0]!asht18">
      <xdr:nvSpPr>
        <xdr:cNvPr id="33" name="12">
          <a:hlinkClick xmlns:r="http://schemas.openxmlformats.org/officeDocument/2006/relationships" r:id="rId11"/>
        </xdr:cNvPr>
        <xdr:cNvSpPr/>
      </xdr:nvSpPr>
      <xdr:spPr>
        <a:xfrm>
          <a:off x="22280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668020</xdr:colOff>
      <xdr:row>0</xdr:row>
      <xdr:rowOff>217170</xdr:rowOff>
    </xdr:from>
    <xdr:to>
      <xdr:col>32</xdr:col>
      <xdr:colOff>114300</xdr:colOff>
      <xdr:row>0</xdr:row>
      <xdr:rowOff>571500</xdr:rowOff>
    </xdr:to>
    <xdr:sp macro="[0]!asht18">
      <xdr:nvSpPr>
        <xdr:cNvPr id="34" name="12">
          <a:hlinkClick xmlns:r="http://schemas.openxmlformats.org/officeDocument/2006/relationships" r:id="rId12"/>
        </xdr:cNvPr>
        <xdr:cNvSpPr/>
      </xdr:nvSpPr>
      <xdr:spPr>
        <a:xfrm>
          <a:off x="232041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115570</xdr:colOff>
      <xdr:row>0</xdr:row>
      <xdr:rowOff>217170</xdr:rowOff>
    </xdr:from>
    <xdr:to>
      <xdr:col>33</xdr:col>
      <xdr:colOff>247650</xdr:colOff>
      <xdr:row>0</xdr:row>
      <xdr:rowOff>571500</xdr:rowOff>
    </xdr:to>
    <xdr:sp macro="[0]!asht18">
      <xdr:nvSpPr>
        <xdr:cNvPr id="35" name="12">
          <a:hlinkClick xmlns:r="http://schemas.openxmlformats.org/officeDocument/2006/relationships" r:id="rId13"/>
        </xdr:cNvPr>
        <xdr:cNvSpPr/>
      </xdr:nvSpPr>
      <xdr:spPr>
        <a:xfrm>
          <a:off x="240233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252095</xdr:colOff>
      <xdr:row>0</xdr:row>
      <xdr:rowOff>217170</xdr:rowOff>
    </xdr:from>
    <xdr:to>
      <xdr:col>34</xdr:col>
      <xdr:colOff>384175</xdr:colOff>
      <xdr:row>0</xdr:row>
      <xdr:rowOff>571500</xdr:rowOff>
    </xdr:to>
    <xdr:sp macro="[0]!asht18">
      <xdr:nvSpPr>
        <xdr:cNvPr id="36" name="12">
          <a:hlinkClick xmlns:r="http://schemas.openxmlformats.org/officeDocument/2006/relationships" r:id="rId14"/>
        </xdr:cNvPr>
        <xdr:cNvSpPr/>
      </xdr:nvSpPr>
      <xdr:spPr>
        <a:xfrm>
          <a:off x="248456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5">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379730</xdr:colOff>
      <xdr:row>0</xdr:row>
      <xdr:rowOff>624205</xdr:rowOff>
    </xdr:to>
    <xdr:sp>
      <xdr:nvSpPr>
        <xdr:cNvPr id="4"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5">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226695</xdr:rowOff>
    </xdr:from>
    <xdr:to>
      <xdr:col>18</xdr:col>
      <xdr:colOff>551180</xdr:colOff>
      <xdr:row>0</xdr:row>
      <xdr:rowOff>581025</xdr:rowOff>
    </xdr:to>
    <xdr:sp macro="[0]!asht18">
      <xdr:nvSpPr>
        <xdr:cNvPr id="24" name="12">
          <a:hlinkClick xmlns:r="http://schemas.openxmlformats.org/officeDocument/2006/relationships" r:id="rId1"/>
        </xdr:cNvPr>
        <xdr:cNvSpPr/>
      </xdr:nvSpPr>
      <xdr:spPr>
        <a:xfrm>
          <a:off x="1568767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226695</xdr:rowOff>
    </xdr:from>
    <xdr:to>
      <xdr:col>19</xdr:col>
      <xdr:colOff>657225</xdr:colOff>
      <xdr:row>0</xdr:row>
      <xdr:rowOff>581025</xdr:rowOff>
    </xdr:to>
    <xdr:sp macro="[0]!asht18">
      <xdr:nvSpPr>
        <xdr:cNvPr id="25" name="12">
          <a:hlinkClick xmlns:r="http://schemas.openxmlformats.org/officeDocument/2006/relationships" r:id="rId2"/>
        </xdr:cNvPr>
        <xdr:cNvSpPr/>
      </xdr:nvSpPr>
      <xdr:spPr>
        <a:xfrm>
          <a:off x="164795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226695</xdr:rowOff>
    </xdr:from>
    <xdr:to>
      <xdr:col>21</xdr:col>
      <xdr:colOff>104775</xdr:colOff>
      <xdr:row>0</xdr:row>
      <xdr:rowOff>581025</xdr:rowOff>
    </xdr:to>
    <xdr:sp macro="[0]!asht18">
      <xdr:nvSpPr>
        <xdr:cNvPr id="26" name="12">
          <a:hlinkClick xmlns:r="http://schemas.openxmlformats.org/officeDocument/2006/relationships" r:id="rId3"/>
        </xdr:cNvPr>
        <xdr:cNvSpPr/>
      </xdr:nvSpPr>
      <xdr:spPr>
        <a:xfrm>
          <a:off x="172986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226695</xdr:rowOff>
    </xdr:from>
    <xdr:to>
      <xdr:col>22</xdr:col>
      <xdr:colOff>190500</xdr:colOff>
      <xdr:row>0</xdr:row>
      <xdr:rowOff>581025</xdr:rowOff>
    </xdr:to>
    <xdr:sp macro="[0]!asht18">
      <xdr:nvSpPr>
        <xdr:cNvPr id="27" name="12">
          <a:hlinkClick xmlns:r="http://schemas.openxmlformats.org/officeDocument/2006/relationships" r:id="rId4"/>
        </xdr:cNvPr>
        <xdr:cNvSpPr/>
      </xdr:nvSpPr>
      <xdr:spPr>
        <a:xfrm>
          <a:off x="18070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226695</xdr:rowOff>
    </xdr:from>
    <xdr:to>
      <xdr:col>23</xdr:col>
      <xdr:colOff>295275</xdr:colOff>
      <xdr:row>0</xdr:row>
      <xdr:rowOff>581025</xdr:rowOff>
    </xdr:to>
    <xdr:sp macro="[0]!asht18">
      <xdr:nvSpPr>
        <xdr:cNvPr id="28" name="12">
          <a:hlinkClick xmlns:r="http://schemas.openxmlformats.org/officeDocument/2006/relationships" r:id="rId5"/>
        </xdr:cNvPr>
        <xdr:cNvSpPr/>
      </xdr:nvSpPr>
      <xdr:spPr>
        <a:xfrm>
          <a:off x="18860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226695</xdr:rowOff>
    </xdr:from>
    <xdr:to>
      <xdr:col>24</xdr:col>
      <xdr:colOff>485775</xdr:colOff>
      <xdr:row>0</xdr:row>
      <xdr:rowOff>581025</xdr:rowOff>
    </xdr:to>
    <xdr:sp macro="[0]!asht18">
      <xdr:nvSpPr>
        <xdr:cNvPr id="29" name="12">
          <a:hlinkClick xmlns:r="http://schemas.openxmlformats.org/officeDocument/2006/relationships" r:id="rId6"/>
        </xdr:cNvPr>
        <xdr:cNvSpPr/>
      </xdr:nvSpPr>
      <xdr:spPr>
        <a:xfrm>
          <a:off x="197370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226695</xdr:rowOff>
    </xdr:from>
    <xdr:to>
      <xdr:col>25</xdr:col>
      <xdr:colOff>657225</xdr:colOff>
      <xdr:row>0</xdr:row>
      <xdr:rowOff>581025</xdr:rowOff>
    </xdr:to>
    <xdr:sp macro="[0]!asht18">
      <xdr:nvSpPr>
        <xdr:cNvPr id="30" name="12">
          <a:hlinkClick xmlns:r="http://schemas.openxmlformats.org/officeDocument/2006/relationships" r:id="rId7"/>
        </xdr:cNvPr>
        <xdr:cNvSpPr/>
      </xdr:nvSpPr>
      <xdr:spPr>
        <a:xfrm>
          <a:off x="205943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226695</xdr:rowOff>
    </xdr:from>
    <xdr:to>
      <xdr:col>27</xdr:col>
      <xdr:colOff>190500</xdr:colOff>
      <xdr:row>0</xdr:row>
      <xdr:rowOff>581025</xdr:rowOff>
    </xdr:to>
    <xdr:sp macro="[0]!asht18">
      <xdr:nvSpPr>
        <xdr:cNvPr id="31" name="12">
          <a:hlinkClick xmlns:r="http://schemas.openxmlformats.org/officeDocument/2006/relationships" r:id="rId8"/>
        </xdr:cNvPr>
        <xdr:cNvSpPr/>
      </xdr:nvSpPr>
      <xdr:spPr>
        <a:xfrm>
          <a:off x="21499195" y="226695"/>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采购单</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226695</xdr:rowOff>
    </xdr:from>
    <xdr:to>
      <xdr:col>28</xdr:col>
      <xdr:colOff>295275</xdr:colOff>
      <xdr:row>0</xdr:row>
      <xdr:rowOff>581025</xdr:rowOff>
    </xdr:to>
    <xdr:sp macro="[0]!asht18">
      <xdr:nvSpPr>
        <xdr:cNvPr id="32" name="12">
          <a:hlinkClick xmlns:r="http://schemas.openxmlformats.org/officeDocument/2006/relationships" r:id="rId9"/>
        </xdr:cNvPr>
        <xdr:cNvSpPr/>
      </xdr:nvSpPr>
      <xdr:spPr>
        <a:xfrm>
          <a:off x="22289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226695</xdr:rowOff>
    </xdr:from>
    <xdr:to>
      <xdr:col>29</xdr:col>
      <xdr:colOff>533400</xdr:colOff>
      <xdr:row>0</xdr:row>
      <xdr:rowOff>581025</xdr:rowOff>
    </xdr:to>
    <xdr:sp macro="[0]!asht18">
      <xdr:nvSpPr>
        <xdr:cNvPr id="33" name="12">
          <a:hlinkClick xmlns:r="http://schemas.openxmlformats.org/officeDocument/2006/relationships" r:id="rId10"/>
        </xdr:cNvPr>
        <xdr:cNvSpPr/>
      </xdr:nvSpPr>
      <xdr:spPr>
        <a:xfrm>
          <a:off x="232136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226695</xdr:rowOff>
    </xdr:from>
    <xdr:to>
      <xdr:col>30</xdr:col>
      <xdr:colOff>666750</xdr:colOff>
      <xdr:row>0</xdr:row>
      <xdr:rowOff>581025</xdr:rowOff>
    </xdr:to>
    <xdr:sp macro="[0]!asht18">
      <xdr:nvSpPr>
        <xdr:cNvPr id="34" name="12">
          <a:hlinkClick xmlns:r="http://schemas.openxmlformats.org/officeDocument/2006/relationships" r:id="rId11"/>
        </xdr:cNvPr>
        <xdr:cNvSpPr/>
      </xdr:nvSpPr>
      <xdr:spPr>
        <a:xfrm>
          <a:off x="240328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226695</xdr:rowOff>
    </xdr:from>
    <xdr:to>
      <xdr:col>32</xdr:col>
      <xdr:colOff>117475</xdr:colOff>
      <xdr:row>0</xdr:row>
      <xdr:rowOff>581025</xdr:rowOff>
    </xdr:to>
    <xdr:sp macro="[0]!asht18">
      <xdr:nvSpPr>
        <xdr:cNvPr id="35" name="12">
          <a:hlinkClick xmlns:r="http://schemas.openxmlformats.org/officeDocument/2006/relationships" r:id="rId12"/>
        </xdr:cNvPr>
        <xdr:cNvSpPr/>
      </xdr:nvSpPr>
      <xdr:spPr>
        <a:xfrm>
          <a:off x="248551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26">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2">
      <xdr:nvSpPr>
        <xdr:cNvPr id="3" name="圆角矩形 2"/>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26_query">
      <xdr:nvSpPr>
        <xdr:cNvPr id="4" name="圆角矩形 3"/>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26">
      <xdr:nvSpPr>
        <xdr:cNvPr id="5" name="圆角矩形 4"/>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447040</xdr:colOff>
      <xdr:row>0</xdr:row>
      <xdr:rowOff>624205</xdr:rowOff>
    </xdr:to>
    <xdr:sp>
      <xdr:nvSpPr>
        <xdr:cNvPr id="7" name="圆角矩形 14"/>
        <xdr:cNvSpPr/>
      </xdr:nvSpPr>
      <xdr:spPr>
        <a:xfrm>
          <a:off x="1118235" y="127000"/>
          <a:ext cx="247986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8"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9"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10"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11"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12"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13"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14"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15" name="8"/>
        <xdr:cNvSpPr/>
      </xdr:nvSpPr>
      <xdr:spPr>
        <a:xfrm>
          <a:off x="7158355" y="203200"/>
          <a:ext cx="815340" cy="354330"/>
        </a:xfrm>
        <a:prstGeom prst="rect">
          <a:avLst/>
        </a:prstGeom>
        <a:ln>
          <a:noFill/>
        </a:ln>
        <a:extLst>
          <a:ext uri="{909E8E84-426E-40DD-AFC4-6F175D3DCCD1}">
            <a14:hiddenFill xmlns:a14="http://schemas.microsoft.com/office/drawing/2010/main">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14:hiddenFill>
          </a:ext>
        </a:extLst>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16"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17"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18"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19"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20" name="文本框 19"/>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采购未入库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21"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22"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23"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24"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25"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304800</xdr:colOff>
      <xdr:row>1</xdr:row>
      <xdr:rowOff>50800</xdr:rowOff>
    </xdr:from>
    <xdr:to>
      <xdr:col>8</xdr:col>
      <xdr:colOff>227965</xdr:colOff>
      <xdr:row>1</xdr:row>
      <xdr:rowOff>441325</xdr:rowOff>
    </xdr:to>
    <xdr:sp macro="[0]!qrcode26">
      <xdr:nvSpPr>
        <xdr:cNvPr id="26" name="圆角矩形 25"/>
        <xdr:cNvSpPr/>
      </xdr:nvSpPr>
      <xdr:spPr>
        <a:xfrm>
          <a:off x="6229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8</xdr:col>
      <xdr:colOff>495300</xdr:colOff>
      <xdr:row>1</xdr:row>
      <xdr:rowOff>50800</xdr:rowOff>
    </xdr:from>
    <xdr:to>
      <xdr:col>9</xdr:col>
      <xdr:colOff>418465</xdr:colOff>
      <xdr:row>1</xdr:row>
      <xdr:rowOff>441325</xdr:rowOff>
    </xdr:to>
    <xdr:sp macro="[0]!barcode26">
      <xdr:nvSpPr>
        <xdr:cNvPr id="27" name="圆角矩形 26"/>
        <xdr:cNvSpPr/>
      </xdr:nvSpPr>
      <xdr:spPr>
        <a:xfrm>
          <a:off x="77057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514350</xdr:colOff>
      <xdr:row>0</xdr:row>
      <xdr:rowOff>207645</xdr:rowOff>
    </xdr:from>
    <xdr:to>
      <xdr:col>16</xdr:col>
      <xdr:colOff>646430</xdr:colOff>
      <xdr:row>0</xdr:row>
      <xdr:rowOff>561975</xdr:rowOff>
    </xdr:to>
    <xdr:sp macro="[0]!asht18">
      <xdr:nvSpPr>
        <xdr:cNvPr id="6" name="12">
          <a:hlinkClick xmlns:r="http://schemas.openxmlformats.org/officeDocument/2006/relationships" r:id="rId1"/>
        </xdr:cNvPr>
        <xdr:cNvSpPr/>
      </xdr:nvSpPr>
      <xdr:spPr>
        <a:xfrm>
          <a:off x="156972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620395</xdr:colOff>
      <xdr:row>0</xdr:row>
      <xdr:rowOff>207645</xdr:rowOff>
    </xdr:from>
    <xdr:to>
      <xdr:col>18</xdr:col>
      <xdr:colOff>66675</xdr:colOff>
      <xdr:row>0</xdr:row>
      <xdr:rowOff>561975</xdr:rowOff>
    </xdr:to>
    <xdr:sp macro="[0]!asht18">
      <xdr:nvSpPr>
        <xdr:cNvPr id="28" name="12">
          <a:hlinkClick xmlns:r="http://schemas.openxmlformats.org/officeDocument/2006/relationships" r:id="rId2"/>
        </xdr:cNvPr>
        <xdr:cNvSpPr/>
      </xdr:nvSpPr>
      <xdr:spPr>
        <a:xfrm>
          <a:off x="164890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67945</xdr:colOff>
      <xdr:row>0</xdr:row>
      <xdr:rowOff>207645</xdr:rowOff>
    </xdr:from>
    <xdr:to>
      <xdr:col>19</xdr:col>
      <xdr:colOff>200025</xdr:colOff>
      <xdr:row>0</xdr:row>
      <xdr:rowOff>561975</xdr:rowOff>
    </xdr:to>
    <xdr:sp macro="[0]!asht18">
      <xdr:nvSpPr>
        <xdr:cNvPr id="29" name="12">
          <a:hlinkClick xmlns:r="http://schemas.openxmlformats.org/officeDocument/2006/relationships" r:id="rId3"/>
        </xdr:cNvPr>
        <xdr:cNvSpPr/>
      </xdr:nvSpPr>
      <xdr:spPr>
        <a:xfrm>
          <a:off x="17308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207645</xdr:rowOff>
    </xdr:from>
    <xdr:to>
      <xdr:col>20</xdr:col>
      <xdr:colOff>285750</xdr:colOff>
      <xdr:row>0</xdr:row>
      <xdr:rowOff>561975</xdr:rowOff>
    </xdr:to>
    <xdr:sp macro="[0]!asht18">
      <xdr:nvSpPr>
        <xdr:cNvPr id="30" name="12">
          <a:hlinkClick xmlns:r="http://schemas.openxmlformats.org/officeDocument/2006/relationships" r:id="rId4"/>
        </xdr:cNvPr>
        <xdr:cNvSpPr/>
      </xdr:nvSpPr>
      <xdr:spPr>
        <a:xfrm>
          <a:off x="18079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258445</xdr:colOff>
      <xdr:row>0</xdr:row>
      <xdr:rowOff>207645</xdr:rowOff>
    </xdr:from>
    <xdr:to>
      <xdr:col>21</xdr:col>
      <xdr:colOff>390525</xdr:colOff>
      <xdr:row>0</xdr:row>
      <xdr:rowOff>561975</xdr:rowOff>
    </xdr:to>
    <xdr:sp macro="[0]!asht18">
      <xdr:nvSpPr>
        <xdr:cNvPr id="31" name="12">
          <a:hlinkClick xmlns:r="http://schemas.openxmlformats.org/officeDocument/2006/relationships" r:id="rId5"/>
        </xdr:cNvPr>
        <xdr:cNvSpPr/>
      </xdr:nvSpPr>
      <xdr:spPr>
        <a:xfrm>
          <a:off x="18870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448945</xdr:colOff>
      <xdr:row>0</xdr:row>
      <xdr:rowOff>207645</xdr:rowOff>
    </xdr:from>
    <xdr:to>
      <xdr:col>22</xdr:col>
      <xdr:colOff>581025</xdr:colOff>
      <xdr:row>0</xdr:row>
      <xdr:rowOff>561975</xdr:rowOff>
    </xdr:to>
    <xdr:sp macro="[0]!asht18">
      <xdr:nvSpPr>
        <xdr:cNvPr id="32" name="12">
          <a:hlinkClick xmlns:r="http://schemas.openxmlformats.org/officeDocument/2006/relationships" r:id="rId6"/>
        </xdr:cNvPr>
        <xdr:cNvSpPr/>
      </xdr:nvSpPr>
      <xdr:spPr>
        <a:xfrm>
          <a:off x="1974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620395</xdr:colOff>
      <xdr:row>0</xdr:row>
      <xdr:rowOff>207645</xdr:rowOff>
    </xdr:from>
    <xdr:to>
      <xdr:col>24</xdr:col>
      <xdr:colOff>66675</xdr:colOff>
      <xdr:row>0</xdr:row>
      <xdr:rowOff>561975</xdr:rowOff>
    </xdr:to>
    <xdr:sp macro="[0]!asht18">
      <xdr:nvSpPr>
        <xdr:cNvPr id="33" name="12">
          <a:hlinkClick xmlns:r="http://schemas.openxmlformats.org/officeDocument/2006/relationships" r:id="rId7"/>
        </xdr:cNvPr>
        <xdr:cNvSpPr/>
      </xdr:nvSpPr>
      <xdr:spPr>
        <a:xfrm>
          <a:off x="20603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207645</xdr:rowOff>
    </xdr:from>
    <xdr:to>
      <xdr:col>25</xdr:col>
      <xdr:colOff>285750</xdr:colOff>
      <xdr:row>0</xdr:row>
      <xdr:rowOff>561975</xdr:rowOff>
    </xdr:to>
    <xdr:sp macro="[0]!asht18">
      <xdr:nvSpPr>
        <xdr:cNvPr id="34" name="12">
          <a:hlinkClick xmlns:r="http://schemas.openxmlformats.org/officeDocument/2006/relationships" r:id="rId8"/>
        </xdr:cNvPr>
        <xdr:cNvSpPr/>
      </xdr:nvSpPr>
      <xdr:spPr>
        <a:xfrm>
          <a:off x="21508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258445</xdr:colOff>
      <xdr:row>0</xdr:row>
      <xdr:rowOff>207645</xdr:rowOff>
    </xdr:from>
    <xdr:to>
      <xdr:col>26</xdr:col>
      <xdr:colOff>390525</xdr:colOff>
      <xdr:row>0</xdr:row>
      <xdr:rowOff>561975</xdr:rowOff>
    </xdr:to>
    <xdr:sp macro="[0]!asht18">
      <xdr:nvSpPr>
        <xdr:cNvPr id="35" name="12">
          <a:hlinkClick xmlns:r="http://schemas.openxmlformats.org/officeDocument/2006/relationships" r:id="rId9"/>
        </xdr:cNvPr>
        <xdr:cNvSpPr/>
      </xdr:nvSpPr>
      <xdr:spPr>
        <a:xfrm>
          <a:off x="22299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496570</xdr:colOff>
      <xdr:row>0</xdr:row>
      <xdr:rowOff>207645</xdr:rowOff>
    </xdr:from>
    <xdr:to>
      <xdr:col>27</xdr:col>
      <xdr:colOff>628650</xdr:colOff>
      <xdr:row>0</xdr:row>
      <xdr:rowOff>561975</xdr:rowOff>
    </xdr:to>
    <xdr:sp macro="[0]!asht18">
      <xdr:nvSpPr>
        <xdr:cNvPr id="36" name="12">
          <a:hlinkClick xmlns:r="http://schemas.openxmlformats.org/officeDocument/2006/relationships" r:id="rId10"/>
        </xdr:cNvPr>
        <xdr:cNvSpPr/>
      </xdr:nvSpPr>
      <xdr:spPr>
        <a:xfrm>
          <a:off x="232232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629920</xdr:colOff>
      <xdr:row>0</xdr:row>
      <xdr:rowOff>207645</xdr:rowOff>
    </xdr:from>
    <xdr:to>
      <xdr:col>29</xdr:col>
      <xdr:colOff>76200</xdr:colOff>
      <xdr:row>0</xdr:row>
      <xdr:rowOff>561975</xdr:rowOff>
    </xdr:to>
    <xdr:sp macro="[0]!asht18">
      <xdr:nvSpPr>
        <xdr:cNvPr id="37" name="12">
          <a:hlinkClick xmlns:r="http://schemas.openxmlformats.org/officeDocument/2006/relationships" r:id="rId11"/>
        </xdr:cNvPr>
        <xdr:cNvSpPr/>
      </xdr:nvSpPr>
      <xdr:spPr>
        <a:xfrm>
          <a:off x="240423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80645</xdr:colOff>
      <xdr:row>0</xdr:row>
      <xdr:rowOff>207645</xdr:rowOff>
    </xdr:from>
    <xdr:to>
      <xdr:col>30</xdr:col>
      <xdr:colOff>212725</xdr:colOff>
      <xdr:row>0</xdr:row>
      <xdr:rowOff>561975</xdr:rowOff>
    </xdr:to>
    <xdr:sp macro="[0]!asht18">
      <xdr:nvSpPr>
        <xdr:cNvPr id="38" name="12">
          <a:hlinkClick xmlns:r="http://schemas.openxmlformats.org/officeDocument/2006/relationships" r:id="rId12"/>
        </xdr:cNvPr>
        <xdr:cNvSpPr/>
      </xdr:nvSpPr>
      <xdr:spPr>
        <a:xfrm>
          <a:off x="24864695"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采购未入库明细</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3" name="圆角矩形 2"/>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636905</xdr:colOff>
      <xdr:row>0</xdr:row>
      <xdr:rowOff>624205</xdr:rowOff>
    </xdr:to>
    <xdr:sp>
      <xdr:nvSpPr>
        <xdr:cNvPr id="4" name="圆角矩形 14"/>
        <xdr:cNvSpPr/>
      </xdr:nvSpPr>
      <xdr:spPr>
        <a:xfrm>
          <a:off x="1118235" y="127000"/>
          <a:ext cx="249027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8"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单据</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200025</xdr:rowOff>
    </xdr:from>
    <xdr:to>
      <xdr:col>18</xdr:col>
      <xdr:colOff>46355</xdr:colOff>
      <xdr:row>0</xdr:row>
      <xdr:rowOff>554355</xdr:rowOff>
    </xdr:to>
    <xdr:sp macro="[0]!asht18">
      <xdr:nvSpPr>
        <xdr:cNvPr id="23" name="12">
          <a:hlinkClick xmlns:r="http://schemas.openxmlformats.org/officeDocument/2006/relationships" r:id="rId1"/>
        </xdr:cNvPr>
        <xdr:cNvSpPr/>
      </xdr:nvSpPr>
      <xdr:spPr>
        <a:xfrm>
          <a:off x="1569720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200025</xdr:rowOff>
    </xdr:from>
    <xdr:to>
      <xdr:col>19</xdr:col>
      <xdr:colOff>152400</xdr:colOff>
      <xdr:row>0</xdr:row>
      <xdr:rowOff>554355</xdr:rowOff>
    </xdr:to>
    <xdr:sp macro="[0]!asht18">
      <xdr:nvSpPr>
        <xdr:cNvPr id="24" name="12">
          <a:hlinkClick xmlns:r="http://schemas.openxmlformats.org/officeDocument/2006/relationships" r:id="rId2"/>
        </xdr:cNvPr>
        <xdr:cNvSpPr/>
      </xdr:nvSpPr>
      <xdr:spPr>
        <a:xfrm>
          <a:off x="164890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200025</xdr:rowOff>
    </xdr:from>
    <xdr:to>
      <xdr:col>20</xdr:col>
      <xdr:colOff>285750</xdr:colOff>
      <xdr:row>0</xdr:row>
      <xdr:rowOff>554355</xdr:rowOff>
    </xdr:to>
    <xdr:sp macro="[0]!asht18">
      <xdr:nvSpPr>
        <xdr:cNvPr id="25" name="12">
          <a:hlinkClick xmlns:r="http://schemas.openxmlformats.org/officeDocument/2006/relationships" r:id="rId3"/>
        </xdr:cNvPr>
        <xdr:cNvSpPr/>
      </xdr:nvSpPr>
      <xdr:spPr>
        <a:xfrm>
          <a:off x="17308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200025</xdr:rowOff>
    </xdr:from>
    <xdr:to>
      <xdr:col>21</xdr:col>
      <xdr:colOff>371475</xdr:colOff>
      <xdr:row>0</xdr:row>
      <xdr:rowOff>554355</xdr:rowOff>
    </xdr:to>
    <xdr:sp macro="[0]!asht18">
      <xdr:nvSpPr>
        <xdr:cNvPr id="26" name="12">
          <a:hlinkClick xmlns:r="http://schemas.openxmlformats.org/officeDocument/2006/relationships" r:id="rId4"/>
        </xdr:cNvPr>
        <xdr:cNvSpPr/>
      </xdr:nvSpPr>
      <xdr:spPr>
        <a:xfrm>
          <a:off x="18079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200025</xdr:rowOff>
    </xdr:from>
    <xdr:to>
      <xdr:col>22</xdr:col>
      <xdr:colOff>476250</xdr:colOff>
      <xdr:row>0</xdr:row>
      <xdr:rowOff>554355</xdr:rowOff>
    </xdr:to>
    <xdr:sp macro="[0]!asht18">
      <xdr:nvSpPr>
        <xdr:cNvPr id="27" name="12">
          <a:hlinkClick xmlns:r="http://schemas.openxmlformats.org/officeDocument/2006/relationships" r:id="rId5"/>
        </xdr:cNvPr>
        <xdr:cNvSpPr/>
      </xdr:nvSpPr>
      <xdr:spPr>
        <a:xfrm>
          <a:off x="18870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200025</xdr:rowOff>
    </xdr:from>
    <xdr:to>
      <xdr:col>23</xdr:col>
      <xdr:colOff>666750</xdr:colOff>
      <xdr:row>0</xdr:row>
      <xdr:rowOff>554355</xdr:rowOff>
    </xdr:to>
    <xdr:sp macro="[0]!asht18">
      <xdr:nvSpPr>
        <xdr:cNvPr id="28" name="12">
          <a:hlinkClick xmlns:r="http://schemas.openxmlformats.org/officeDocument/2006/relationships" r:id="rId6"/>
        </xdr:cNvPr>
        <xdr:cNvSpPr/>
      </xdr:nvSpPr>
      <xdr:spPr>
        <a:xfrm>
          <a:off x="197465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200025</xdr:rowOff>
    </xdr:from>
    <xdr:to>
      <xdr:col>25</xdr:col>
      <xdr:colOff>152400</xdr:colOff>
      <xdr:row>0</xdr:row>
      <xdr:rowOff>554355</xdr:rowOff>
    </xdr:to>
    <xdr:sp macro="[0]!asht18">
      <xdr:nvSpPr>
        <xdr:cNvPr id="29" name="12">
          <a:hlinkClick xmlns:r="http://schemas.openxmlformats.org/officeDocument/2006/relationships" r:id="rId7"/>
        </xdr:cNvPr>
        <xdr:cNvSpPr/>
      </xdr:nvSpPr>
      <xdr:spPr>
        <a:xfrm>
          <a:off x="20603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200025</xdr:rowOff>
    </xdr:from>
    <xdr:to>
      <xdr:col>26</xdr:col>
      <xdr:colOff>371475</xdr:colOff>
      <xdr:row>0</xdr:row>
      <xdr:rowOff>554355</xdr:rowOff>
    </xdr:to>
    <xdr:sp macro="[0]!asht18">
      <xdr:nvSpPr>
        <xdr:cNvPr id="30" name="12">
          <a:hlinkClick xmlns:r="http://schemas.openxmlformats.org/officeDocument/2006/relationships" r:id="rId8"/>
        </xdr:cNvPr>
        <xdr:cNvSpPr/>
      </xdr:nvSpPr>
      <xdr:spPr>
        <a:xfrm>
          <a:off x="21508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200025</xdr:rowOff>
    </xdr:from>
    <xdr:to>
      <xdr:col>27</xdr:col>
      <xdr:colOff>476250</xdr:colOff>
      <xdr:row>0</xdr:row>
      <xdr:rowOff>554355</xdr:rowOff>
    </xdr:to>
    <xdr:sp macro="[0]!asht18">
      <xdr:nvSpPr>
        <xdr:cNvPr id="31" name="12">
          <a:hlinkClick xmlns:r="http://schemas.openxmlformats.org/officeDocument/2006/relationships" r:id="rId9"/>
        </xdr:cNvPr>
        <xdr:cNvSpPr/>
      </xdr:nvSpPr>
      <xdr:spPr>
        <a:xfrm>
          <a:off x="22299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200025</xdr:rowOff>
    </xdr:from>
    <xdr:to>
      <xdr:col>29</xdr:col>
      <xdr:colOff>28575</xdr:colOff>
      <xdr:row>0</xdr:row>
      <xdr:rowOff>554355</xdr:rowOff>
    </xdr:to>
    <xdr:sp macro="[0]!asht18">
      <xdr:nvSpPr>
        <xdr:cNvPr id="32" name="12">
          <a:hlinkClick xmlns:r="http://schemas.openxmlformats.org/officeDocument/2006/relationships" r:id="rId10"/>
        </xdr:cNvPr>
        <xdr:cNvSpPr/>
      </xdr:nvSpPr>
      <xdr:spPr>
        <a:xfrm>
          <a:off x="232232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200025</xdr:rowOff>
    </xdr:from>
    <xdr:to>
      <xdr:col>30</xdr:col>
      <xdr:colOff>161925</xdr:colOff>
      <xdr:row>0</xdr:row>
      <xdr:rowOff>554355</xdr:rowOff>
    </xdr:to>
    <xdr:sp macro="[0]!asht18">
      <xdr:nvSpPr>
        <xdr:cNvPr id="33" name="12">
          <a:hlinkClick xmlns:r="http://schemas.openxmlformats.org/officeDocument/2006/relationships" r:id="rId11"/>
        </xdr:cNvPr>
        <xdr:cNvSpPr/>
      </xdr:nvSpPr>
      <xdr:spPr>
        <a:xfrm>
          <a:off x="240423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200025</xdr:rowOff>
    </xdr:from>
    <xdr:to>
      <xdr:col>31</xdr:col>
      <xdr:colOff>298450</xdr:colOff>
      <xdr:row>0</xdr:row>
      <xdr:rowOff>554355</xdr:rowOff>
    </xdr:to>
    <xdr:sp macro="[0]!asht18">
      <xdr:nvSpPr>
        <xdr:cNvPr id="34" name="12">
          <a:hlinkClick xmlns:r="http://schemas.openxmlformats.org/officeDocument/2006/relationships" r:id="rId12"/>
        </xdr:cNvPr>
        <xdr:cNvSpPr/>
      </xdr:nvSpPr>
      <xdr:spPr>
        <a:xfrm>
          <a:off x="24864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561340</xdr:colOff>
      <xdr:row>0</xdr:row>
      <xdr:rowOff>624205</xdr:rowOff>
    </xdr:to>
    <xdr:sp>
      <xdr:nvSpPr>
        <xdr:cNvPr id="22" name="圆角矩形 14"/>
        <xdr:cNvSpPr/>
      </xdr:nvSpPr>
      <xdr:spPr>
        <a:xfrm>
          <a:off x="1118235" y="127000"/>
          <a:ext cx="2482723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184150</xdr:rowOff>
    </xdr:from>
    <xdr:to>
      <xdr:col>18</xdr:col>
      <xdr:colOff>46355</xdr:colOff>
      <xdr:row>0</xdr:row>
      <xdr:rowOff>538480</xdr:rowOff>
    </xdr:to>
    <xdr:sp macro="[0]!asht18">
      <xdr:nvSpPr>
        <xdr:cNvPr id="2" name="12">
          <a:hlinkClick xmlns:r="http://schemas.openxmlformats.org/officeDocument/2006/relationships" r:id="rId1"/>
        </xdr:cNvPr>
        <xdr:cNvSpPr/>
      </xdr:nvSpPr>
      <xdr:spPr>
        <a:xfrm>
          <a:off x="1569720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184150</xdr:rowOff>
    </xdr:from>
    <xdr:to>
      <xdr:col>19</xdr:col>
      <xdr:colOff>152400</xdr:colOff>
      <xdr:row>0</xdr:row>
      <xdr:rowOff>538480</xdr:rowOff>
    </xdr:to>
    <xdr:sp macro="[0]!asht18">
      <xdr:nvSpPr>
        <xdr:cNvPr id="3" name="12">
          <a:hlinkClick xmlns:r="http://schemas.openxmlformats.org/officeDocument/2006/relationships" r:id="rId2"/>
        </xdr:cNvPr>
        <xdr:cNvSpPr/>
      </xdr:nvSpPr>
      <xdr:spPr>
        <a:xfrm>
          <a:off x="1648904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184150</xdr:rowOff>
    </xdr:from>
    <xdr:to>
      <xdr:col>20</xdr:col>
      <xdr:colOff>285750</xdr:colOff>
      <xdr:row>0</xdr:row>
      <xdr:rowOff>538480</xdr:rowOff>
    </xdr:to>
    <xdr:sp macro="[0]!asht18">
      <xdr:nvSpPr>
        <xdr:cNvPr id="4" name="12">
          <a:hlinkClick xmlns:r="http://schemas.openxmlformats.org/officeDocument/2006/relationships" r:id="rId3"/>
        </xdr:cNvPr>
        <xdr:cNvSpPr/>
      </xdr:nvSpPr>
      <xdr:spPr>
        <a:xfrm>
          <a:off x="173081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184150</xdr:rowOff>
    </xdr:from>
    <xdr:to>
      <xdr:col>21</xdr:col>
      <xdr:colOff>371475</xdr:colOff>
      <xdr:row>0</xdr:row>
      <xdr:rowOff>538480</xdr:rowOff>
    </xdr:to>
    <xdr:sp macro="[0]!asht18">
      <xdr:nvSpPr>
        <xdr:cNvPr id="5" name="12">
          <a:hlinkClick xmlns:r="http://schemas.openxmlformats.org/officeDocument/2006/relationships" r:id="rId4"/>
        </xdr:cNvPr>
        <xdr:cNvSpPr/>
      </xdr:nvSpPr>
      <xdr:spPr>
        <a:xfrm>
          <a:off x="180797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184150</xdr:rowOff>
    </xdr:from>
    <xdr:to>
      <xdr:col>22</xdr:col>
      <xdr:colOff>476250</xdr:colOff>
      <xdr:row>0</xdr:row>
      <xdr:rowOff>538480</xdr:rowOff>
    </xdr:to>
    <xdr:sp macro="[0]!asht18">
      <xdr:nvSpPr>
        <xdr:cNvPr id="6" name="12">
          <a:hlinkClick xmlns:r="http://schemas.openxmlformats.org/officeDocument/2006/relationships" r:id="rId5"/>
        </xdr:cNvPr>
        <xdr:cNvSpPr/>
      </xdr:nvSpPr>
      <xdr:spPr>
        <a:xfrm>
          <a:off x="188702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184150</xdr:rowOff>
    </xdr:from>
    <xdr:to>
      <xdr:col>23</xdr:col>
      <xdr:colOff>666750</xdr:colOff>
      <xdr:row>0</xdr:row>
      <xdr:rowOff>538480</xdr:rowOff>
    </xdr:to>
    <xdr:sp macro="[0]!asht18">
      <xdr:nvSpPr>
        <xdr:cNvPr id="7" name="12">
          <a:hlinkClick xmlns:r="http://schemas.openxmlformats.org/officeDocument/2006/relationships" r:id="rId6"/>
        </xdr:cNvPr>
        <xdr:cNvSpPr/>
      </xdr:nvSpPr>
      <xdr:spPr>
        <a:xfrm>
          <a:off x="197465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184150</xdr:rowOff>
    </xdr:from>
    <xdr:to>
      <xdr:col>25</xdr:col>
      <xdr:colOff>152400</xdr:colOff>
      <xdr:row>0</xdr:row>
      <xdr:rowOff>538480</xdr:rowOff>
    </xdr:to>
    <xdr:sp macro="[0]!asht18">
      <xdr:nvSpPr>
        <xdr:cNvPr id="8" name="12">
          <a:hlinkClick xmlns:r="http://schemas.openxmlformats.org/officeDocument/2006/relationships" r:id="rId7"/>
        </xdr:cNvPr>
        <xdr:cNvSpPr/>
      </xdr:nvSpPr>
      <xdr:spPr>
        <a:xfrm>
          <a:off x="2060384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184150</xdr:rowOff>
    </xdr:from>
    <xdr:to>
      <xdr:col>26</xdr:col>
      <xdr:colOff>371475</xdr:colOff>
      <xdr:row>0</xdr:row>
      <xdr:rowOff>538480</xdr:rowOff>
    </xdr:to>
    <xdr:sp macro="[0]!asht18">
      <xdr:nvSpPr>
        <xdr:cNvPr id="9" name="12">
          <a:hlinkClick xmlns:r="http://schemas.openxmlformats.org/officeDocument/2006/relationships" r:id="rId8"/>
        </xdr:cNvPr>
        <xdr:cNvSpPr/>
      </xdr:nvSpPr>
      <xdr:spPr>
        <a:xfrm>
          <a:off x="215087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184150</xdr:rowOff>
    </xdr:from>
    <xdr:to>
      <xdr:col>27</xdr:col>
      <xdr:colOff>476250</xdr:colOff>
      <xdr:row>0</xdr:row>
      <xdr:rowOff>538480</xdr:rowOff>
    </xdr:to>
    <xdr:sp macro="[0]!asht18">
      <xdr:nvSpPr>
        <xdr:cNvPr id="10" name="12">
          <a:hlinkClick xmlns:r="http://schemas.openxmlformats.org/officeDocument/2006/relationships" r:id="rId9"/>
        </xdr:cNvPr>
        <xdr:cNvSpPr/>
      </xdr:nvSpPr>
      <xdr:spPr>
        <a:xfrm>
          <a:off x="222992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184150</xdr:rowOff>
    </xdr:from>
    <xdr:to>
      <xdr:col>29</xdr:col>
      <xdr:colOff>28575</xdr:colOff>
      <xdr:row>0</xdr:row>
      <xdr:rowOff>538480</xdr:rowOff>
    </xdr:to>
    <xdr:sp macro="[0]!asht18">
      <xdr:nvSpPr>
        <xdr:cNvPr id="11" name="12">
          <a:hlinkClick xmlns:r="http://schemas.openxmlformats.org/officeDocument/2006/relationships" r:id="rId10"/>
        </xdr:cNvPr>
        <xdr:cNvSpPr/>
      </xdr:nvSpPr>
      <xdr:spPr>
        <a:xfrm>
          <a:off x="232232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184150</xdr:rowOff>
    </xdr:from>
    <xdr:to>
      <xdr:col>30</xdr:col>
      <xdr:colOff>161925</xdr:colOff>
      <xdr:row>0</xdr:row>
      <xdr:rowOff>538480</xdr:rowOff>
    </xdr:to>
    <xdr:sp macro="[0]!asht18">
      <xdr:nvSpPr>
        <xdr:cNvPr id="12" name="12">
          <a:hlinkClick xmlns:r="http://schemas.openxmlformats.org/officeDocument/2006/relationships" r:id="rId11"/>
        </xdr:cNvPr>
        <xdr:cNvSpPr/>
      </xdr:nvSpPr>
      <xdr:spPr>
        <a:xfrm>
          <a:off x="2404237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184150</xdr:rowOff>
    </xdr:from>
    <xdr:to>
      <xdr:col>31</xdr:col>
      <xdr:colOff>298450</xdr:colOff>
      <xdr:row>0</xdr:row>
      <xdr:rowOff>538480</xdr:rowOff>
    </xdr:to>
    <xdr:sp macro="[0]!asht18">
      <xdr:nvSpPr>
        <xdr:cNvPr id="13" name="12">
          <a:hlinkClick xmlns:r="http://schemas.openxmlformats.org/officeDocument/2006/relationships" r:id="rId12"/>
        </xdr:cNvPr>
        <xdr:cNvSpPr/>
      </xdr:nvSpPr>
      <xdr:spPr>
        <a:xfrm>
          <a:off x="248646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494030</xdr:colOff>
      <xdr:row>0</xdr:row>
      <xdr:rowOff>624205</xdr:rowOff>
    </xdr:to>
    <xdr:sp>
      <xdr:nvSpPr>
        <xdr:cNvPr id="22" name="圆角矩形 14"/>
        <xdr:cNvSpPr/>
      </xdr:nvSpPr>
      <xdr:spPr>
        <a:xfrm>
          <a:off x="1118235" y="127000"/>
          <a:ext cx="247599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180975</xdr:rowOff>
    </xdr:from>
    <xdr:to>
      <xdr:col>18</xdr:col>
      <xdr:colOff>46355</xdr:colOff>
      <xdr:row>0</xdr:row>
      <xdr:rowOff>535305</xdr:rowOff>
    </xdr:to>
    <xdr:sp macro="[0]!asht18">
      <xdr:nvSpPr>
        <xdr:cNvPr id="2" name="12">
          <a:hlinkClick xmlns:r="http://schemas.openxmlformats.org/officeDocument/2006/relationships" r:id="rId1"/>
        </xdr:cNvPr>
        <xdr:cNvSpPr/>
      </xdr:nvSpPr>
      <xdr:spPr>
        <a:xfrm>
          <a:off x="1569720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180975</xdr:rowOff>
    </xdr:from>
    <xdr:to>
      <xdr:col>19</xdr:col>
      <xdr:colOff>152400</xdr:colOff>
      <xdr:row>0</xdr:row>
      <xdr:rowOff>535305</xdr:rowOff>
    </xdr:to>
    <xdr:sp macro="[0]!asht18">
      <xdr:nvSpPr>
        <xdr:cNvPr id="3" name="12">
          <a:hlinkClick xmlns:r="http://schemas.openxmlformats.org/officeDocument/2006/relationships" r:id="rId2"/>
        </xdr:cNvPr>
        <xdr:cNvSpPr/>
      </xdr:nvSpPr>
      <xdr:spPr>
        <a:xfrm>
          <a:off x="1648904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180975</xdr:rowOff>
    </xdr:from>
    <xdr:to>
      <xdr:col>20</xdr:col>
      <xdr:colOff>285750</xdr:colOff>
      <xdr:row>0</xdr:row>
      <xdr:rowOff>535305</xdr:rowOff>
    </xdr:to>
    <xdr:sp macro="[0]!asht18">
      <xdr:nvSpPr>
        <xdr:cNvPr id="4" name="12">
          <a:hlinkClick xmlns:r="http://schemas.openxmlformats.org/officeDocument/2006/relationships" r:id="rId3"/>
        </xdr:cNvPr>
        <xdr:cNvSpPr/>
      </xdr:nvSpPr>
      <xdr:spPr>
        <a:xfrm>
          <a:off x="173081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180975</xdr:rowOff>
    </xdr:from>
    <xdr:to>
      <xdr:col>21</xdr:col>
      <xdr:colOff>371475</xdr:colOff>
      <xdr:row>0</xdr:row>
      <xdr:rowOff>535305</xdr:rowOff>
    </xdr:to>
    <xdr:sp macro="[0]!asht18">
      <xdr:nvSpPr>
        <xdr:cNvPr id="5" name="12">
          <a:hlinkClick xmlns:r="http://schemas.openxmlformats.org/officeDocument/2006/relationships" r:id="rId4"/>
        </xdr:cNvPr>
        <xdr:cNvSpPr/>
      </xdr:nvSpPr>
      <xdr:spPr>
        <a:xfrm>
          <a:off x="180797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180975</xdr:rowOff>
    </xdr:from>
    <xdr:to>
      <xdr:col>22</xdr:col>
      <xdr:colOff>476250</xdr:colOff>
      <xdr:row>0</xdr:row>
      <xdr:rowOff>535305</xdr:rowOff>
    </xdr:to>
    <xdr:sp macro="[0]!asht18">
      <xdr:nvSpPr>
        <xdr:cNvPr id="6" name="12">
          <a:hlinkClick xmlns:r="http://schemas.openxmlformats.org/officeDocument/2006/relationships" r:id="rId5"/>
        </xdr:cNvPr>
        <xdr:cNvSpPr/>
      </xdr:nvSpPr>
      <xdr:spPr>
        <a:xfrm>
          <a:off x="188702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180975</xdr:rowOff>
    </xdr:from>
    <xdr:to>
      <xdr:col>23</xdr:col>
      <xdr:colOff>666750</xdr:colOff>
      <xdr:row>0</xdr:row>
      <xdr:rowOff>535305</xdr:rowOff>
    </xdr:to>
    <xdr:sp macro="[0]!asht18">
      <xdr:nvSpPr>
        <xdr:cNvPr id="7" name="12">
          <a:hlinkClick xmlns:r="http://schemas.openxmlformats.org/officeDocument/2006/relationships" r:id="rId6"/>
        </xdr:cNvPr>
        <xdr:cNvSpPr/>
      </xdr:nvSpPr>
      <xdr:spPr>
        <a:xfrm>
          <a:off x="197465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180975</xdr:rowOff>
    </xdr:from>
    <xdr:to>
      <xdr:col>25</xdr:col>
      <xdr:colOff>152400</xdr:colOff>
      <xdr:row>0</xdr:row>
      <xdr:rowOff>535305</xdr:rowOff>
    </xdr:to>
    <xdr:sp macro="[0]!asht18">
      <xdr:nvSpPr>
        <xdr:cNvPr id="8" name="12">
          <a:hlinkClick xmlns:r="http://schemas.openxmlformats.org/officeDocument/2006/relationships" r:id="rId7"/>
        </xdr:cNvPr>
        <xdr:cNvSpPr/>
      </xdr:nvSpPr>
      <xdr:spPr>
        <a:xfrm>
          <a:off x="2060384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180975</xdr:rowOff>
    </xdr:from>
    <xdr:to>
      <xdr:col>26</xdr:col>
      <xdr:colOff>371475</xdr:colOff>
      <xdr:row>0</xdr:row>
      <xdr:rowOff>535305</xdr:rowOff>
    </xdr:to>
    <xdr:sp macro="[0]!asht18">
      <xdr:nvSpPr>
        <xdr:cNvPr id="9" name="12">
          <a:hlinkClick xmlns:r="http://schemas.openxmlformats.org/officeDocument/2006/relationships" r:id="rId8"/>
        </xdr:cNvPr>
        <xdr:cNvSpPr/>
      </xdr:nvSpPr>
      <xdr:spPr>
        <a:xfrm>
          <a:off x="215087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180975</xdr:rowOff>
    </xdr:from>
    <xdr:to>
      <xdr:col>27</xdr:col>
      <xdr:colOff>476250</xdr:colOff>
      <xdr:row>0</xdr:row>
      <xdr:rowOff>535305</xdr:rowOff>
    </xdr:to>
    <xdr:sp macro="[0]!asht18">
      <xdr:nvSpPr>
        <xdr:cNvPr id="10" name="12">
          <a:hlinkClick xmlns:r="http://schemas.openxmlformats.org/officeDocument/2006/relationships" r:id="rId9"/>
        </xdr:cNvPr>
        <xdr:cNvSpPr/>
      </xdr:nvSpPr>
      <xdr:spPr>
        <a:xfrm>
          <a:off x="222992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180975</xdr:rowOff>
    </xdr:from>
    <xdr:to>
      <xdr:col>29</xdr:col>
      <xdr:colOff>28575</xdr:colOff>
      <xdr:row>0</xdr:row>
      <xdr:rowOff>535305</xdr:rowOff>
    </xdr:to>
    <xdr:sp macro="[0]!asht18">
      <xdr:nvSpPr>
        <xdr:cNvPr id="11" name="12">
          <a:hlinkClick xmlns:r="http://schemas.openxmlformats.org/officeDocument/2006/relationships" r:id="rId10"/>
        </xdr:cNvPr>
        <xdr:cNvSpPr/>
      </xdr:nvSpPr>
      <xdr:spPr>
        <a:xfrm>
          <a:off x="232232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180975</xdr:rowOff>
    </xdr:from>
    <xdr:to>
      <xdr:col>30</xdr:col>
      <xdr:colOff>161925</xdr:colOff>
      <xdr:row>0</xdr:row>
      <xdr:rowOff>535305</xdr:rowOff>
    </xdr:to>
    <xdr:sp macro="[0]!asht18">
      <xdr:nvSpPr>
        <xdr:cNvPr id="12" name="12">
          <a:hlinkClick xmlns:r="http://schemas.openxmlformats.org/officeDocument/2006/relationships" r:id="rId11"/>
        </xdr:cNvPr>
        <xdr:cNvSpPr/>
      </xdr:nvSpPr>
      <xdr:spPr>
        <a:xfrm>
          <a:off x="2404237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180975</xdr:rowOff>
    </xdr:from>
    <xdr:to>
      <xdr:col>31</xdr:col>
      <xdr:colOff>298450</xdr:colOff>
      <xdr:row>0</xdr:row>
      <xdr:rowOff>535305</xdr:rowOff>
    </xdr:to>
    <xdr:sp macro="[0]!asht18">
      <xdr:nvSpPr>
        <xdr:cNvPr id="13" name="12">
          <a:hlinkClick xmlns:r="http://schemas.openxmlformats.org/officeDocument/2006/relationships" r:id="rId12"/>
        </xdr:cNvPr>
        <xdr:cNvSpPr/>
      </xdr:nvSpPr>
      <xdr:spPr>
        <a:xfrm>
          <a:off x="248646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35</xdr:col>
      <xdr:colOff>351790</xdr:colOff>
      <xdr:row>0</xdr:row>
      <xdr:rowOff>624205</xdr:rowOff>
    </xdr:to>
    <xdr:sp>
      <xdr:nvSpPr>
        <xdr:cNvPr id="20" name="圆角矩形 14"/>
        <xdr:cNvSpPr/>
      </xdr:nvSpPr>
      <xdr:spPr>
        <a:xfrm>
          <a:off x="1118235" y="127000"/>
          <a:ext cx="248748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428625</xdr:colOff>
      <xdr:row>0</xdr:row>
      <xdr:rowOff>212090</xdr:rowOff>
    </xdr:from>
    <xdr:to>
      <xdr:col>21</xdr:col>
      <xdr:colOff>560705</xdr:colOff>
      <xdr:row>0</xdr:row>
      <xdr:rowOff>566420</xdr:rowOff>
    </xdr:to>
    <xdr:sp macro="[0]!asht18">
      <xdr:nvSpPr>
        <xdr:cNvPr id="2" name="12">
          <a:hlinkClick xmlns:r="http://schemas.openxmlformats.org/officeDocument/2006/relationships" r:id="rId1"/>
        </xdr:cNvPr>
        <xdr:cNvSpPr/>
      </xdr:nvSpPr>
      <xdr:spPr>
        <a:xfrm>
          <a:off x="1578292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534670</xdr:colOff>
      <xdr:row>0</xdr:row>
      <xdr:rowOff>212090</xdr:rowOff>
    </xdr:from>
    <xdr:to>
      <xdr:col>22</xdr:col>
      <xdr:colOff>666750</xdr:colOff>
      <xdr:row>0</xdr:row>
      <xdr:rowOff>566420</xdr:rowOff>
    </xdr:to>
    <xdr:sp macro="[0]!asht18">
      <xdr:nvSpPr>
        <xdr:cNvPr id="3" name="12">
          <a:hlinkClick xmlns:r="http://schemas.openxmlformats.org/officeDocument/2006/relationships" r:id="rId2"/>
        </xdr:cNvPr>
        <xdr:cNvSpPr/>
      </xdr:nvSpPr>
      <xdr:spPr>
        <a:xfrm>
          <a:off x="165747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668020</xdr:colOff>
      <xdr:row>0</xdr:row>
      <xdr:rowOff>212090</xdr:rowOff>
    </xdr:from>
    <xdr:to>
      <xdr:col>24</xdr:col>
      <xdr:colOff>114300</xdr:colOff>
      <xdr:row>0</xdr:row>
      <xdr:rowOff>566420</xdr:rowOff>
    </xdr:to>
    <xdr:sp macro="[0]!asht18">
      <xdr:nvSpPr>
        <xdr:cNvPr id="4" name="12">
          <a:hlinkClick xmlns:r="http://schemas.openxmlformats.org/officeDocument/2006/relationships" r:id="rId3"/>
        </xdr:cNvPr>
        <xdr:cNvSpPr/>
      </xdr:nvSpPr>
      <xdr:spPr>
        <a:xfrm>
          <a:off x="173939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67945</xdr:colOff>
      <xdr:row>0</xdr:row>
      <xdr:rowOff>212090</xdr:rowOff>
    </xdr:from>
    <xdr:to>
      <xdr:col>25</xdr:col>
      <xdr:colOff>200025</xdr:colOff>
      <xdr:row>0</xdr:row>
      <xdr:rowOff>566420</xdr:rowOff>
    </xdr:to>
    <xdr:sp macro="[0]!asht18">
      <xdr:nvSpPr>
        <xdr:cNvPr id="5" name="12">
          <a:hlinkClick xmlns:r="http://schemas.openxmlformats.org/officeDocument/2006/relationships" r:id="rId4"/>
        </xdr:cNvPr>
        <xdr:cNvSpPr/>
      </xdr:nvSpPr>
      <xdr:spPr>
        <a:xfrm>
          <a:off x="18165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172720</xdr:colOff>
      <xdr:row>0</xdr:row>
      <xdr:rowOff>212090</xdr:rowOff>
    </xdr:from>
    <xdr:to>
      <xdr:col>26</xdr:col>
      <xdr:colOff>304800</xdr:colOff>
      <xdr:row>0</xdr:row>
      <xdr:rowOff>566420</xdr:rowOff>
    </xdr:to>
    <xdr:sp macro="[0]!asht18">
      <xdr:nvSpPr>
        <xdr:cNvPr id="6" name="12">
          <a:hlinkClick xmlns:r="http://schemas.openxmlformats.org/officeDocument/2006/relationships" r:id="rId5"/>
        </xdr:cNvPr>
        <xdr:cNvSpPr/>
      </xdr:nvSpPr>
      <xdr:spPr>
        <a:xfrm>
          <a:off x="18956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363220</xdr:colOff>
      <xdr:row>0</xdr:row>
      <xdr:rowOff>212090</xdr:rowOff>
    </xdr:from>
    <xdr:to>
      <xdr:col>27</xdr:col>
      <xdr:colOff>495300</xdr:colOff>
      <xdr:row>0</xdr:row>
      <xdr:rowOff>566420</xdr:rowOff>
    </xdr:to>
    <xdr:sp macro="[0]!asht18">
      <xdr:nvSpPr>
        <xdr:cNvPr id="7" name="12">
          <a:hlinkClick xmlns:r="http://schemas.openxmlformats.org/officeDocument/2006/relationships" r:id="rId6"/>
        </xdr:cNvPr>
        <xdr:cNvSpPr/>
      </xdr:nvSpPr>
      <xdr:spPr>
        <a:xfrm>
          <a:off x="198323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534670</xdr:colOff>
      <xdr:row>0</xdr:row>
      <xdr:rowOff>212090</xdr:rowOff>
    </xdr:from>
    <xdr:to>
      <xdr:col>28</xdr:col>
      <xdr:colOff>666750</xdr:colOff>
      <xdr:row>0</xdr:row>
      <xdr:rowOff>566420</xdr:rowOff>
    </xdr:to>
    <xdr:sp macro="[0]!asht18">
      <xdr:nvSpPr>
        <xdr:cNvPr id="8" name="12">
          <a:hlinkClick xmlns:r="http://schemas.openxmlformats.org/officeDocument/2006/relationships" r:id="rId7"/>
        </xdr:cNvPr>
        <xdr:cNvSpPr/>
      </xdr:nvSpPr>
      <xdr:spPr>
        <a:xfrm>
          <a:off x="206895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67945</xdr:colOff>
      <xdr:row>0</xdr:row>
      <xdr:rowOff>212090</xdr:rowOff>
    </xdr:from>
    <xdr:to>
      <xdr:col>30</xdr:col>
      <xdr:colOff>200025</xdr:colOff>
      <xdr:row>0</xdr:row>
      <xdr:rowOff>566420</xdr:rowOff>
    </xdr:to>
    <xdr:sp macro="[0]!asht18">
      <xdr:nvSpPr>
        <xdr:cNvPr id="9" name="12">
          <a:hlinkClick xmlns:r="http://schemas.openxmlformats.org/officeDocument/2006/relationships" r:id="rId8"/>
        </xdr:cNvPr>
        <xdr:cNvSpPr/>
      </xdr:nvSpPr>
      <xdr:spPr>
        <a:xfrm>
          <a:off x="21594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212090</xdr:rowOff>
    </xdr:from>
    <xdr:to>
      <xdr:col>31</xdr:col>
      <xdr:colOff>304800</xdr:colOff>
      <xdr:row>0</xdr:row>
      <xdr:rowOff>566420</xdr:rowOff>
    </xdr:to>
    <xdr:sp macro="[0]!asht18">
      <xdr:nvSpPr>
        <xdr:cNvPr id="10" name="12">
          <a:hlinkClick xmlns:r="http://schemas.openxmlformats.org/officeDocument/2006/relationships" r:id="rId9"/>
        </xdr:cNvPr>
        <xdr:cNvSpPr/>
      </xdr:nvSpPr>
      <xdr:spPr>
        <a:xfrm>
          <a:off x="22385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410845</xdr:colOff>
      <xdr:row>0</xdr:row>
      <xdr:rowOff>212090</xdr:rowOff>
    </xdr:from>
    <xdr:to>
      <xdr:col>32</xdr:col>
      <xdr:colOff>542925</xdr:colOff>
      <xdr:row>0</xdr:row>
      <xdr:rowOff>566420</xdr:rowOff>
    </xdr:to>
    <xdr:sp macro="[0]!asht18">
      <xdr:nvSpPr>
        <xdr:cNvPr id="11" name="12">
          <a:hlinkClick xmlns:r="http://schemas.openxmlformats.org/officeDocument/2006/relationships" r:id="rId10"/>
        </xdr:cNvPr>
        <xdr:cNvSpPr/>
      </xdr:nvSpPr>
      <xdr:spPr>
        <a:xfrm>
          <a:off x="233089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544195</xdr:colOff>
      <xdr:row>0</xdr:row>
      <xdr:rowOff>212090</xdr:rowOff>
    </xdr:from>
    <xdr:to>
      <xdr:col>33</xdr:col>
      <xdr:colOff>676275</xdr:colOff>
      <xdr:row>0</xdr:row>
      <xdr:rowOff>566420</xdr:rowOff>
    </xdr:to>
    <xdr:sp macro="[0]!asht18">
      <xdr:nvSpPr>
        <xdr:cNvPr id="12" name="12">
          <a:hlinkClick xmlns:r="http://schemas.openxmlformats.org/officeDocument/2006/relationships" r:id="rId11"/>
        </xdr:cNvPr>
        <xdr:cNvSpPr/>
      </xdr:nvSpPr>
      <xdr:spPr>
        <a:xfrm>
          <a:off x="2412809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680720</xdr:colOff>
      <xdr:row>0</xdr:row>
      <xdr:rowOff>212090</xdr:rowOff>
    </xdr:from>
    <xdr:to>
      <xdr:col>35</xdr:col>
      <xdr:colOff>127000</xdr:colOff>
      <xdr:row>0</xdr:row>
      <xdr:rowOff>566420</xdr:rowOff>
    </xdr:to>
    <xdr:sp macro="[0]!asht18">
      <xdr:nvSpPr>
        <xdr:cNvPr id="13" name="12">
          <a:hlinkClick xmlns:r="http://schemas.openxmlformats.org/officeDocument/2006/relationships" r:id="rId12"/>
        </xdr:cNvPr>
        <xdr:cNvSpPr/>
      </xdr:nvSpPr>
      <xdr:spPr>
        <a:xfrm>
          <a:off x="249504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7">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7_show">
      <xdr:nvSpPr>
        <xdr:cNvPr id="5" name="圆角矩形 4"/>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646430</xdr:colOff>
      <xdr:row>0</xdr:row>
      <xdr:rowOff>624205</xdr:rowOff>
    </xdr:to>
    <xdr:sp>
      <xdr:nvSpPr>
        <xdr:cNvPr id="6"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3"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4"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期末数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13</xdr:col>
      <xdr:colOff>89535</xdr:colOff>
      <xdr:row>0</xdr:row>
      <xdr:rowOff>557530</xdr:rowOff>
    </xdr:to>
    <xdr:sp macro="[0]!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128905</xdr:colOff>
      <xdr:row>0</xdr:row>
      <xdr:rowOff>203200</xdr:rowOff>
    </xdr:from>
    <xdr:to>
      <xdr:col>14</xdr:col>
      <xdr:colOff>260985</xdr:colOff>
      <xdr:row>0</xdr:row>
      <xdr:rowOff>557530</xdr:rowOff>
    </xdr:to>
    <xdr:sp macro="[0]!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300355</xdr:colOff>
      <xdr:row>0</xdr:row>
      <xdr:rowOff>203200</xdr:rowOff>
    </xdr:from>
    <xdr:to>
      <xdr:col>15</xdr:col>
      <xdr:colOff>432435</xdr:colOff>
      <xdr:row>0</xdr:row>
      <xdr:rowOff>557530</xdr:rowOff>
    </xdr:to>
    <xdr:sp macro="[0]!asht12">
      <xdr:nvSpPr>
        <xdr:cNvPr id="22"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471805</xdr:colOff>
      <xdr:row>0</xdr:row>
      <xdr:rowOff>203200</xdr:rowOff>
    </xdr:from>
    <xdr:to>
      <xdr:col>16</xdr:col>
      <xdr:colOff>603885</xdr:colOff>
      <xdr:row>0</xdr:row>
      <xdr:rowOff>557530</xdr:rowOff>
    </xdr:to>
    <xdr:sp macro="[0]!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643255</xdr:colOff>
      <xdr:row>0</xdr:row>
      <xdr:rowOff>203200</xdr:rowOff>
    </xdr:from>
    <xdr:to>
      <xdr:col>18</xdr:col>
      <xdr:colOff>89535</xdr:colOff>
      <xdr:row>0</xdr:row>
      <xdr:rowOff>557530</xdr:rowOff>
    </xdr:to>
    <xdr:sp macro="[0]!asht18">
      <xdr:nvSpPr>
        <xdr:cNvPr id="24"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57150</xdr:colOff>
      <xdr:row>0</xdr:row>
      <xdr:rowOff>245745</xdr:rowOff>
    </xdr:from>
    <xdr:to>
      <xdr:col>19</xdr:col>
      <xdr:colOff>189230</xdr:colOff>
      <xdr:row>0</xdr:row>
      <xdr:rowOff>600075</xdr:rowOff>
    </xdr:to>
    <xdr:sp macro="[0]!asht18">
      <xdr:nvSpPr>
        <xdr:cNvPr id="3" name="12">
          <a:hlinkClick xmlns:r="http://schemas.openxmlformats.org/officeDocument/2006/relationships" r:id="rId1"/>
        </xdr:cNvPr>
        <xdr:cNvSpPr/>
      </xdr:nvSpPr>
      <xdr:spPr>
        <a:xfrm>
          <a:off x="1564957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163195</xdr:colOff>
      <xdr:row>0</xdr:row>
      <xdr:rowOff>245745</xdr:rowOff>
    </xdr:from>
    <xdr:to>
      <xdr:col>20</xdr:col>
      <xdr:colOff>295275</xdr:colOff>
      <xdr:row>0</xdr:row>
      <xdr:rowOff>600075</xdr:rowOff>
    </xdr:to>
    <xdr:sp macro="[0]!asht18">
      <xdr:nvSpPr>
        <xdr:cNvPr id="4" name="12">
          <a:hlinkClick xmlns:r="http://schemas.openxmlformats.org/officeDocument/2006/relationships" r:id="rId2"/>
        </xdr:cNvPr>
        <xdr:cNvSpPr/>
      </xdr:nvSpPr>
      <xdr:spPr>
        <a:xfrm>
          <a:off x="164414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296545</xdr:colOff>
      <xdr:row>0</xdr:row>
      <xdr:rowOff>245745</xdr:rowOff>
    </xdr:from>
    <xdr:to>
      <xdr:col>21</xdr:col>
      <xdr:colOff>428625</xdr:colOff>
      <xdr:row>0</xdr:row>
      <xdr:rowOff>600075</xdr:rowOff>
    </xdr:to>
    <xdr:sp macro="[0]!asht18">
      <xdr:nvSpPr>
        <xdr:cNvPr id="25" name="12">
          <a:hlinkClick xmlns:r="http://schemas.openxmlformats.org/officeDocument/2006/relationships" r:id="rId3"/>
        </xdr:cNvPr>
        <xdr:cNvSpPr/>
      </xdr:nvSpPr>
      <xdr:spPr>
        <a:xfrm>
          <a:off x="172605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245745</xdr:rowOff>
    </xdr:from>
    <xdr:to>
      <xdr:col>22</xdr:col>
      <xdr:colOff>514350</xdr:colOff>
      <xdr:row>0</xdr:row>
      <xdr:rowOff>600075</xdr:rowOff>
    </xdr:to>
    <xdr:sp macro="[0]!asht18">
      <xdr:nvSpPr>
        <xdr:cNvPr id="26" name="12">
          <a:hlinkClick xmlns:r="http://schemas.openxmlformats.org/officeDocument/2006/relationships" r:id="rId4"/>
        </xdr:cNvPr>
        <xdr:cNvSpPr/>
      </xdr:nvSpPr>
      <xdr:spPr>
        <a:xfrm>
          <a:off x="18032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487045</xdr:colOff>
      <xdr:row>0</xdr:row>
      <xdr:rowOff>245745</xdr:rowOff>
    </xdr:from>
    <xdr:to>
      <xdr:col>23</xdr:col>
      <xdr:colOff>619125</xdr:colOff>
      <xdr:row>0</xdr:row>
      <xdr:rowOff>600075</xdr:rowOff>
    </xdr:to>
    <xdr:sp macro="[0]!asht18">
      <xdr:nvSpPr>
        <xdr:cNvPr id="27" name="12">
          <a:hlinkClick xmlns:r="http://schemas.openxmlformats.org/officeDocument/2006/relationships" r:id="rId5"/>
        </xdr:cNvPr>
        <xdr:cNvSpPr/>
      </xdr:nvSpPr>
      <xdr:spPr>
        <a:xfrm>
          <a:off x="18822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677545</xdr:colOff>
      <xdr:row>0</xdr:row>
      <xdr:rowOff>245745</xdr:rowOff>
    </xdr:from>
    <xdr:to>
      <xdr:col>25</xdr:col>
      <xdr:colOff>123825</xdr:colOff>
      <xdr:row>0</xdr:row>
      <xdr:rowOff>600075</xdr:rowOff>
    </xdr:to>
    <xdr:sp macro="[0]!asht18">
      <xdr:nvSpPr>
        <xdr:cNvPr id="28" name="12">
          <a:hlinkClick xmlns:r="http://schemas.openxmlformats.org/officeDocument/2006/relationships" r:id="rId6"/>
        </xdr:cNvPr>
        <xdr:cNvSpPr/>
      </xdr:nvSpPr>
      <xdr:spPr>
        <a:xfrm>
          <a:off x="196989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163195</xdr:colOff>
      <xdr:row>0</xdr:row>
      <xdr:rowOff>245745</xdr:rowOff>
    </xdr:from>
    <xdr:to>
      <xdr:col>26</xdr:col>
      <xdr:colOff>295275</xdr:colOff>
      <xdr:row>0</xdr:row>
      <xdr:rowOff>600075</xdr:rowOff>
    </xdr:to>
    <xdr:sp macro="[0]!asht18">
      <xdr:nvSpPr>
        <xdr:cNvPr id="29" name="12">
          <a:hlinkClick xmlns:r="http://schemas.openxmlformats.org/officeDocument/2006/relationships" r:id="rId7"/>
        </xdr:cNvPr>
        <xdr:cNvSpPr/>
      </xdr:nvSpPr>
      <xdr:spPr>
        <a:xfrm>
          <a:off x="205562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382270</xdr:colOff>
      <xdr:row>0</xdr:row>
      <xdr:rowOff>245745</xdr:rowOff>
    </xdr:from>
    <xdr:to>
      <xdr:col>27</xdr:col>
      <xdr:colOff>514350</xdr:colOff>
      <xdr:row>0</xdr:row>
      <xdr:rowOff>600075</xdr:rowOff>
    </xdr:to>
    <xdr:sp macro="[0]!asht18">
      <xdr:nvSpPr>
        <xdr:cNvPr id="30" name="12">
          <a:hlinkClick xmlns:r="http://schemas.openxmlformats.org/officeDocument/2006/relationships" r:id="rId8"/>
        </xdr:cNvPr>
        <xdr:cNvSpPr/>
      </xdr:nvSpPr>
      <xdr:spPr>
        <a:xfrm>
          <a:off x="21461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487045</xdr:colOff>
      <xdr:row>0</xdr:row>
      <xdr:rowOff>245745</xdr:rowOff>
    </xdr:from>
    <xdr:to>
      <xdr:col>28</xdr:col>
      <xdr:colOff>619125</xdr:colOff>
      <xdr:row>0</xdr:row>
      <xdr:rowOff>600075</xdr:rowOff>
    </xdr:to>
    <xdr:sp macro="[0]!asht18">
      <xdr:nvSpPr>
        <xdr:cNvPr id="31" name="12">
          <a:hlinkClick xmlns:r="http://schemas.openxmlformats.org/officeDocument/2006/relationships" r:id="rId9"/>
        </xdr:cNvPr>
        <xdr:cNvSpPr/>
      </xdr:nvSpPr>
      <xdr:spPr>
        <a:xfrm>
          <a:off x="22251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39370</xdr:colOff>
      <xdr:row>0</xdr:row>
      <xdr:rowOff>245745</xdr:rowOff>
    </xdr:from>
    <xdr:to>
      <xdr:col>30</xdr:col>
      <xdr:colOff>171450</xdr:colOff>
      <xdr:row>0</xdr:row>
      <xdr:rowOff>600075</xdr:rowOff>
    </xdr:to>
    <xdr:sp macro="[0]!asht18">
      <xdr:nvSpPr>
        <xdr:cNvPr id="32" name="12">
          <a:hlinkClick xmlns:r="http://schemas.openxmlformats.org/officeDocument/2006/relationships" r:id="rId10"/>
        </xdr:cNvPr>
        <xdr:cNvSpPr/>
      </xdr:nvSpPr>
      <xdr:spPr>
        <a:xfrm>
          <a:off x="23175595" y="2457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期末数</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245745</xdr:rowOff>
    </xdr:from>
    <xdr:to>
      <xdr:col>31</xdr:col>
      <xdr:colOff>304800</xdr:colOff>
      <xdr:row>0</xdr:row>
      <xdr:rowOff>600075</xdr:rowOff>
    </xdr:to>
    <xdr:sp macro="[0]!asht18">
      <xdr:nvSpPr>
        <xdr:cNvPr id="33" name="12">
          <a:hlinkClick xmlns:r="http://schemas.openxmlformats.org/officeDocument/2006/relationships" r:id="rId11"/>
        </xdr:cNvPr>
        <xdr:cNvSpPr/>
      </xdr:nvSpPr>
      <xdr:spPr>
        <a:xfrm>
          <a:off x="2399474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309245</xdr:colOff>
      <xdr:row>0</xdr:row>
      <xdr:rowOff>245745</xdr:rowOff>
    </xdr:from>
    <xdr:to>
      <xdr:col>32</xdr:col>
      <xdr:colOff>441325</xdr:colOff>
      <xdr:row>0</xdr:row>
      <xdr:rowOff>600075</xdr:rowOff>
    </xdr:to>
    <xdr:sp macro="[0]!asht18">
      <xdr:nvSpPr>
        <xdr:cNvPr id="34" name="12">
          <a:hlinkClick xmlns:r="http://schemas.openxmlformats.org/officeDocument/2006/relationships" r:id="rId12"/>
        </xdr:cNvPr>
        <xdr:cNvSpPr/>
      </xdr:nvSpPr>
      <xdr:spPr>
        <a:xfrm>
          <a:off x="248170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8">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8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34</xdr:col>
      <xdr:colOff>579755</xdr:colOff>
      <xdr:row>0</xdr:row>
      <xdr:rowOff>624205</xdr:rowOff>
    </xdr:to>
    <xdr:sp>
      <xdr:nvSpPr>
        <xdr:cNvPr id="4" name="圆角矩形 14"/>
        <xdr:cNvSpPr/>
      </xdr:nvSpPr>
      <xdr:spPr>
        <a:xfrm>
          <a:off x="1118235" y="127000"/>
          <a:ext cx="248265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9</xdr:col>
      <xdr:colOff>247015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286385</xdr:colOff>
      <xdr:row>0</xdr:row>
      <xdr:rowOff>203200</xdr:rowOff>
    </xdr:from>
    <xdr:to>
      <xdr:col>11</xdr:col>
      <xdr:colOff>92075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131445</xdr:colOff>
      <xdr:row>0</xdr:row>
      <xdr:rowOff>203200</xdr:rowOff>
    </xdr:from>
    <xdr:to>
      <xdr:col>12</xdr:col>
      <xdr:colOff>260985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300355</xdr:colOff>
      <xdr:row>0</xdr:row>
      <xdr:rowOff>203200</xdr:rowOff>
    </xdr:from>
    <xdr:to>
      <xdr:col>13</xdr:col>
      <xdr:colOff>432435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库存积压统计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471805</xdr:colOff>
      <xdr:row>0</xdr:row>
      <xdr:rowOff>203200</xdr:rowOff>
    </xdr:from>
    <xdr:to>
      <xdr:col>14</xdr:col>
      <xdr:colOff>603885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643255</xdr:colOff>
      <xdr:row>0</xdr:row>
      <xdr:rowOff>203200</xdr:rowOff>
    </xdr:from>
    <xdr:to>
      <xdr:col>16</xdr:col>
      <xdr:colOff>89535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128905</xdr:colOff>
      <xdr:row>0</xdr:row>
      <xdr:rowOff>203200</xdr:rowOff>
    </xdr:from>
    <xdr:to>
      <xdr:col>17</xdr:col>
      <xdr:colOff>260985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300355</xdr:colOff>
      <xdr:row>0</xdr:row>
      <xdr:rowOff>203200</xdr:rowOff>
    </xdr:from>
    <xdr:to>
      <xdr:col>18</xdr:col>
      <xdr:colOff>432435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471805</xdr:colOff>
      <xdr:row>0</xdr:row>
      <xdr:rowOff>203200</xdr:rowOff>
    </xdr:from>
    <xdr:to>
      <xdr:col>19</xdr:col>
      <xdr:colOff>603885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28575</xdr:colOff>
      <xdr:row>0</xdr:row>
      <xdr:rowOff>231140</xdr:rowOff>
    </xdr:from>
    <xdr:to>
      <xdr:col>21</xdr:col>
      <xdr:colOff>160655</xdr:colOff>
      <xdr:row>0</xdr:row>
      <xdr:rowOff>585470</xdr:rowOff>
    </xdr:to>
    <xdr:sp macro="[0]!asht18">
      <xdr:nvSpPr>
        <xdr:cNvPr id="23" name="12">
          <a:hlinkClick xmlns:r="http://schemas.openxmlformats.org/officeDocument/2006/relationships" r:id="rId1"/>
        </xdr:cNvPr>
        <xdr:cNvSpPr/>
      </xdr:nvSpPr>
      <xdr:spPr>
        <a:xfrm>
          <a:off x="1579245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134620</xdr:colOff>
      <xdr:row>0</xdr:row>
      <xdr:rowOff>231140</xdr:rowOff>
    </xdr:from>
    <xdr:to>
      <xdr:col>22</xdr:col>
      <xdr:colOff>266700</xdr:colOff>
      <xdr:row>0</xdr:row>
      <xdr:rowOff>585470</xdr:rowOff>
    </xdr:to>
    <xdr:sp macro="[0]!asht18">
      <xdr:nvSpPr>
        <xdr:cNvPr id="24" name="12">
          <a:hlinkClick xmlns:r="http://schemas.openxmlformats.org/officeDocument/2006/relationships" r:id="rId2"/>
        </xdr:cNvPr>
        <xdr:cNvSpPr/>
      </xdr:nvSpPr>
      <xdr:spPr>
        <a:xfrm>
          <a:off x="165842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267970</xdr:colOff>
      <xdr:row>0</xdr:row>
      <xdr:rowOff>231140</xdr:rowOff>
    </xdr:from>
    <xdr:to>
      <xdr:col>23</xdr:col>
      <xdr:colOff>400050</xdr:colOff>
      <xdr:row>0</xdr:row>
      <xdr:rowOff>585470</xdr:rowOff>
    </xdr:to>
    <xdr:sp macro="[0]!asht18">
      <xdr:nvSpPr>
        <xdr:cNvPr id="25" name="12">
          <a:hlinkClick xmlns:r="http://schemas.openxmlformats.org/officeDocument/2006/relationships" r:id="rId3"/>
        </xdr:cNvPr>
        <xdr:cNvSpPr/>
      </xdr:nvSpPr>
      <xdr:spPr>
        <a:xfrm>
          <a:off x="174034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231140</xdr:rowOff>
    </xdr:from>
    <xdr:to>
      <xdr:col>24</xdr:col>
      <xdr:colOff>485775</xdr:colOff>
      <xdr:row>0</xdr:row>
      <xdr:rowOff>585470</xdr:rowOff>
    </xdr:to>
    <xdr:sp macro="[0]!asht18">
      <xdr:nvSpPr>
        <xdr:cNvPr id="26" name="12">
          <a:hlinkClick xmlns:r="http://schemas.openxmlformats.org/officeDocument/2006/relationships" r:id="rId4"/>
        </xdr:cNvPr>
        <xdr:cNvSpPr/>
      </xdr:nvSpPr>
      <xdr:spPr>
        <a:xfrm>
          <a:off x="18174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231140</xdr:rowOff>
    </xdr:from>
    <xdr:to>
      <xdr:col>25</xdr:col>
      <xdr:colOff>590550</xdr:colOff>
      <xdr:row>0</xdr:row>
      <xdr:rowOff>585470</xdr:rowOff>
    </xdr:to>
    <xdr:sp macro="[0]!asht18">
      <xdr:nvSpPr>
        <xdr:cNvPr id="27" name="12">
          <a:hlinkClick xmlns:r="http://schemas.openxmlformats.org/officeDocument/2006/relationships" r:id="rId5"/>
        </xdr:cNvPr>
        <xdr:cNvSpPr/>
      </xdr:nvSpPr>
      <xdr:spPr>
        <a:xfrm>
          <a:off x="189655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648970</xdr:colOff>
      <xdr:row>0</xdr:row>
      <xdr:rowOff>231140</xdr:rowOff>
    </xdr:from>
    <xdr:to>
      <xdr:col>27</xdr:col>
      <xdr:colOff>95250</xdr:colOff>
      <xdr:row>0</xdr:row>
      <xdr:rowOff>585470</xdr:rowOff>
    </xdr:to>
    <xdr:sp macro="[0]!asht18">
      <xdr:nvSpPr>
        <xdr:cNvPr id="28" name="12">
          <a:hlinkClick xmlns:r="http://schemas.openxmlformats.org/officeDocument/2006/relationships" r:id="rId6"/>
        </xdr:cNvPr>
        <xdr:cNvSpPr/>
      </xdr:nvSpPr>
      <xdr:spPr>
        <a:xfrm>
          <a:off x="198418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231140</xdr:rowOff>
    </xdr:from>
    <xdr:to>
      <xdr:col>28</xdr:col>
      <xdr:colOff>266700</xdr:colOff>
      <xdr:row>0</xdr:row>
      <xdr:rowOff>585470</xdr:rowOff>
    </xdr:to>
    <xdr:sp macro="[0]!asht18">
      <xdr:nvSpPr>
        <xdr:cNvPr id="29" name="12">
          <a:hlinkClick xmlns:r="http://schemas.openxmlformats.org/officeDocument/2006/relationships" r:id="rId7"/>
        </xdr:cNvPr>
        <xdr:cNvSpPr/>
      </xdr:nvSpPr>
      <xdr:spPr>
        <a:xfrm>
          <a:off x="206990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353695</xdr:colOff>
      <xdr:row>0</xdr:row>
      <xdr:rowOff>231140</xdr:rowOff>
    </xdr:from>
    <xdr:to>
      <xdr:col>29</xdr:col>
      <xdr:colOff>485775</xdr:colOff>
      <xdr:row>0</xdr:row>
      <xdr:rowOff>585470</xdr:rowOff>
    </xdr:to>
    <xdr:sp macro="[0]!asht18">
      <xdr:nvSpPr>
        <xdr:cNvPr id="30" name="12">
          <a:hlinkClick xmlns:r="http://schemas.openxmlformats.org/officeDocument/2006/relationships" r:id="rId8"/>
        </xdr:cNvPr>
        <xdr:cNvSpPr/>
      </xdr:nvSpPr>
      <xdr:spPr>
        <a:xfrm>
          <a:off x="21603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458470</xdr:colOff>
      <xdr:row>0</xdr:row>
      <xdr:rowOff>231140</xdr:rowOff>
    </xdr:from>
    <xdr:to>
      <xdr:col>30</xdr:col>
      <xdr:colOff>590550</xdr:colOff>
      <xdr:row>0</xdr:row>
      <xdr:rowOff>585470</xdr:rowOff>
    </xdr:to>
    <xdr:sp macro="[0]!asht18">
      <xdr:nvSpPr>
        <xdr:cNvPr id="31" name="12">
          <a:hlinkClick xmlns:r="http://schemas.openxmlformats.org/officeDocument/2006/relationships" r:id="rId9"/>
        </xdr:cNvPr>
        <xdr:cNvSpPr/>
      </xdr:nvSpPr>
      <xdr:spPr>
        <a:xfrm>
          <a:off x="22394545" y="231140"/>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库存积压统计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31</xdr:col>
      <xdr:colOff>10795</xdr:colOff>
      <xdr:row>0</xdr:row>
      <xdr:rowOff>231140</xdr:rowOff>
    </xdr:from>
    <xdr:to>
      <xdr:col>32</xdr:col>
      <xdr:colOff>142875</xdr:colOff>
      <xdr:row>0</xdr:row>
      <xdr:rowOff>585470</xdr:rowOff>
    </xdr:to>
    <xdr:sp macro="[0]!asht18">
      <xdr:nvSpPr>
        <xdr:cNvPr id="32" name="12">
          <a:hlinkClick xmlns:r="http://schemas.openxmlformats.org/officeDocument/2006/relationships" r:id="rId10"/>
        </xdr:cNvPr>
        <xdr:cNvSpPr/>
      </xdr:nvSpPr>
      <xdr:spPr>
        <a:xfrm>
          <a:off x="233184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144145</xdr:colOff>
      <xdr:row>0</xdr:row>
      <xdr:rowOff>231140</xdr:rowOff>
    </xdr:from>
    <xdr:to>
      <xdr:col>33</xdr:col>
      <xdr:colOff>276225</xdr:colOff>
      <xdr:row>0</xdr:row>
      <xdr:rowOff>585470</xdr:rowOff>
    </xdr:to>
    <xdr:sp macro="[0]!asht18">
      <xdr:nvSpPr>
        <xdr:cNvPr id="33" name="12">
          <a:hlinkClick xmlns:r="http://schemas.openxmlformats.org/officeDocument/2006/relationships" r:id="rId11"/>
        </xdr:cNvPr>
        <xdr:cNvSpPr/>
      </xdr:nvSpPr>
      <xdr:spPr>
        <a:xfrm>
          <a:off x="2413762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280670</xdr:colOff>
      <xdr:row>0</xdr:row>
      <xdr:rowOff>231140</xdr:rowOff>
    </xdr:from>
    <xdr:to>
      <xdr:col>34</xdr:col>
      <xdr:colOff>412750</xdr:colOff>
      <xdr:row>0</xdr:row>
      <xdr:rowOff>585470</xdr:rowOff>
    </xdr:to>
    <xdr:sp macro="[0]!asht18">
      <xdr:nvSpPr>
        <xdr:cNvPr id="34" name="12">
          <a:hlinkClick xmlns:r="http://schemas.openxmlformats.org/officeDocument/2006/relationships" r:id="rId12"/>
        </xdr:cNvPr>
        <xdr:cNvSpPr/>
      </xdr:nvSpPr>
      <xdr:spPr>
        <a:xfrm>
          <a:off x="249599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351790</xdr:colOff>
      <xdr:row>1</xdr:row>
      <xdr:rowOff>50800</xdr:rowOff>
    </xdr:from>
    <xdr:to>
      <xdr:col>8</xdr:col>
      <xdr:colOff>132715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368300</xdr:colOff>
      <xdr:row>0</xdr:row>
      <xdr:rowOff>624205</xdr:rowOff>
    </xdr:to>
    <xdr:sp>
      <xdr:nvSpPr>
        <xdr:cNvPr id="2" name="圆角矩形 14"/>
        <xdr:cNvSpPr/>
      </xdr:nvSpPr>
      <xdr:spPr>
        <a:xfrm>
          <a:off x="1118235" y="127000"/>
          <a:ext cx="2471991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542925</xdr:colOff>
      <xdr:row>1</xdr:row>
      <xdr:rowOff>50800</xdr:rowOff>
    </xdr:from>
    <xdr:to>
      <xdr:col>9</xdr:col>
      <xdr:colOff>466090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923925</xdr:colOff>
      <xdr:row>1</xdr:row>
      <xdr:rowOff>50800</xdr:rowOff>
    </xdr:from>
    <xdr:to>
      <xdr:col>10</xdr:col>
      <xdr:colOff>847090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447675</xdr:colOff>
      <xdr:row>0</xdr:row>
      <xdr:rowOff>198120</xdr:rowOff>
    </xdr:from>
    <xdr:to>
      <xdr:col>16</xdr:col>
      <xdr:colOff>579755</xdr:colOff>
      <xdr:row>0</xdr:row>
      <xdr:rowOff>552450</xdr:rowOff>
    </xdr:to>
    <xdr:sp macro="[0]!asht18">
      <xdr:nvSpPr>
        <xdr:cNvPr id="17" name="12">
          <a:hlinkClick xmlns:r="http://schemas.openxmlformats.org/officeDocument/2006/relationships" r:id="rId1"/>
        </xdr:cNvPr>
        <xdr:cNvSpPr/>
      </xdr:nvSpPr>
      <xdr:spPr>
        <a:xfrm>
          <a:off x="1563052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553720</xdr:colOff>
      <xdr:row>0</xdr:row>
      <xdr:rowOff>198120</xdr:rowOff>
    </xdr:from>
    <xdr:to>
      <xdr:col>18</xdr:col>
      <xdr:colOff>0</xdr:colOff>
      <xdr:row>0</xdr:row>
      <xdr:rowOff>552450</xdr:rowOff>
    </xdr:to>
    <xdr:sp macro="[0]!asht18">
      <xdr:nvSpPr>
        <xdr:cNvPr id="18" name="12">
          <a:hlinkClick xmlns:r="http://schemas.openxmlformats.org/officeDocument/2006/relationships" r:id="rId2"/>
        </xdr:cNvPr>
        <xdr:cNvSpPr/>
      </xdr:nvSpPr>
      <xdr:spPr>
        <a:xfrm>
          <a:off x="164223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1270</xdr:colOff>
      <xdr:row>0</xdr:row>
      <xdr:rowOff>198120</xdr:rowOff>
    </xdr:from>
    <xdr:to>
      <xdr:col>19</xdr:col>
      <xdr:colOff>133350</xdr:colOff>
      <xdr:row>0</xdr:row>
      <xdr:rowOff>552450</xdr:rowOff>
    </xdr:to>
    <xdr:sp macro="[0]!asht18">
      <xdr:nvSpPr>
        <xdr:cNvPr id="19" name="12">
          <a:hlinkClick xmlns:r="http://schemas.openxmlformats.org/officeDocument/2006/relationships" r:id="rId3"/>
        </xdr:cNvPr>
        <xdr:cNvSpPr/>
      </xdr:nvSpPr>
      <xdr:spPr>
        <a:xfrm>
          <a:off x="172415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86995</xdr:colOff>
      <xdr:row>0</xdr:row>
      <xdr:rowOff>198120</xdr:rowOff>
    </xdr:from>
    <xdr:to>
      <xdr:col>20</xdr:col>
      <xdr:colOff>219075</xdr:colOff>
      <xdr:row>0</xdr:row>
      <xdr:rowOff>552450</xdr:rowOff>
    </xdr:to>
    <xdr:sp macro="[0]!asht18">
      <xdr:nvSpPr>
        <xdr:cNvPr id="20" name="12">
          <a:hlinkClick xmlns:r="http://schemas.openxmlformats.org/officeDocument/2006/relationships" r:id="rId4"/>
        </xdr:cNvPr>
        <xdr:cNvSpPr/>
      </xdr:nvSpPr>
      <xdr:spPr>
        <a:xfrm>
          <a:off x="18013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191770</xdr:colOff>
      <xdr:row>0</xdr:row>
      <xdr:rowOff>198120</xdr:rowOff>
    </xdr:from>
    <xdr:to>
      <xdr:col>21</xdr:col>
      <xdr:colOff>323850</xdr:colOff>
      <xdr:row>0</xdr:row>
      <xdr:rowOff>552450</xdr:rowOff>
    </xdr:to>
    <xdr:sp macro="[0]!asht18">
      <xdr:nvSpPr>
        <xdr:cNvPr id="44" name="12">
          <a:hlinkClick xmlns:r="http://schemas.openxmlformats.org/officeDocument/2006/relationships" r:id="rId5"/>
        </xdr:cNvPr>
        <xdr:cNvSpPr/>
      </xdr:nvSpPr>
      <xdr:spPr>
        <a:xfrm>
          <a:off x="18803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198120</xdr:rowOff>
    </xdr:from>
    <xdr:to>
      <xdr:col>22</xdr:col>
      <xdr:colOff>514350</xdr:colOff>
      <xdr:row>0</xdr:row>
      <xdr:rowOff>552450</xdr:rowOff>
    </xdr:to>
    <xdr:sp macro="[0]!asht18">
      <xdr:nvSpPr>
        <xdr:cNvPr id="45" name="12">
          <a:hlinkClick xmlns:r="http://schemas.openxmlformats.org/officeDocument/2006/relationships" r:id="rId6"/>
        </xdr:cNvPr>
        <xdr:cNvSpPr/>
      </xdr:nvSpPr>
      <xdr:spPr>
        <a:xfrm>
          <a:off x="196799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553720</xdr:colOff>
      <xdr:row>0</xdr:row>
      <xdr:rowOff>198120</xdr:rowOff>
    </xdr:from>
    <xdr:to>
      <xdr:col>24</xdr:col>
      <xdr:colOff>0</xdr:colOff>
      <xdr:row>0</xdr:row>
      <xdr:rowOff>552450</xdr:rowOff>
    </xdr:to>
    <xdr:sp macro="[0]!asht18">
      <xdr:nvSpPr>
        <xdr:cNvPr id="46" name="12">
          <a:hlinkClick xmlns:r="http://schemas.openxmlformats.org/officeDocument/2006/relationships" r:id="rId7"/>
        </xdr:cNvPr>
        <xdr:cNvSpPr/>
      </xdr:nvSpPr>
      <xdr:spPr>
        <a:xfrm>
          <a:off x="20537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86995</xdr:colOff>
      <xdr:row>0</xdr:row>
      <xdr:rowOff>198120</xdr:rowOff>
    </xdr:from>
    <xdr:to>
      <xdr:col>25</xdr:col>
      <xdr:colOff>219075</xdr:colOff>
      <xdr:row>0</xdr:row>
      <xdr:rowOff>552450</xdr:rowOff>
    </xdr:to>
    <xdr:sp macro="[0]!asht18">
      <xdr:nvSpPr>
        <xdr:cNvPr id="47" name="12">
          <a:hlinkClick xmlns:r="http://schemas.openxmlformats.org/officeDocument/2006/relationships" r:id="rId8"/>
        </xdr:cNvPr>
        <xdr:cNvSpPr/>
      </xdr:nvSpPr>
      <xdr:spPr>
        <a:xfrm>
          <a:off x="21442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191770</xdr:colOff>
      <xdr:row>0</xdr:row>
      <xdr:rowOff>198120</xdr:rowOff>
    </xdr:from>
    <xdr:to>
      <xdr:col>26</xdr:col>
      <xdr:colOff>323850</xdr:colOff>
      <xdr:row>0</xdr:row>
      <xdr:rowOff>552450</xdr:rowOff>
    </xdr:to>
    <xdr:sp macro="[0]!asht18">
      <xdr:nvSpPr>
        <xdr:cNvPr id="48" name="12">
          <a:hlinkClick xmlns:r="http://schemas.openxmlformats.org/officeDocument/2006/relationships" r:id="rId9"/>
        </xdr:cNvPr>
        <xdr:cNvSpPr/>
      </xdr:nvSpPr>
      <xdr:spPr>
        <a:xfrm>
          <a:off x="22232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429895</xdr:colOff>
      <xdr:row>0</xdr:row>
      <xdr:rowOff>198120</xdr:rowOff>
    </xdr:from>
    <xdr:to>
      <xdr:col>27</xdr:col>
      <xdr:colOff>561975</xdr:colOff>
      <xdr:row>0</xdr:row>
      <xdr:rowOff>552450</xdr:rowOff>
    </xdr:to>
    <xdr:sp macro="[0]!asht18">
      <xdr:nvSpPr>
        <xdr:cNvPr id="49" name="12">
          <a:hlinkClick xmlns:r="http://schemas.openxmlformats.org/officeDocument/2006/relationships" r:id="rId10"/>
        </xdr:cNvPr>
        <xdr:cNvSpPr/>
      </xdr:nvSpPr>
      <xdr:spPr>
        <a:xfrm>
          <a:off x="231565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563245</xdr:colOff>
      <xdr:row>0</xdr:row>
      <xdr:rowOff>198120</xdr:rowOff>
    </xdr:from>
    <xdr:to>
      <xdr:col>29</xdr:col>
      <xdr:colOff>9525</xdr:colOff>
      <xdr:row>0</xdr:row>
      <xdr:rowOff>552450</xdr:rowOff>
    </xdr:to>
    <xdr:sp macro="[0]!asht18">
      <xdr:nvSpPr>
        <xdr:cNvPr id="50" name="12">
          <a:hlinkClick xmlns:r="http://schemas.openxmlformats.org/officeDocument/2006/relationships" r:id="rId11"/>
        </xdr:cNvPr>
        <xdr:cNvSpPr/>
      </xdr:nvSpPr>
      <xdr:spPr>
        <a:xfrm>
          <a:off x="239756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13970</xdr:colOff>
      <xdr:row>0</xdr:row>
      <xdr:rowOff>198120</xdr:rowOff>
    </xdr:from>
    <xdr:to>
      <xdr:col>30</xdr:col>
      <xdr:colOff>146050</xdr:colOff>
      <xdr:row>0</xdr:row>
      <xdr:rowOff>552450</xdr:rowOff>
    </xdr:to>
    <xdr:sp macro="[0]!asht18">
      <xdr:nvSpPr>
        <xdr:cNvPr id="51" name="12">
          <a:hlinkClick xmlns:r="http://schemas.openxmlformats.org/officeDocument/2006/relationships" r:id="rId12"/>
        </xdr:cNvPr>
        <xdr:cNvSpPr/>
      </xdr:nvSpPr>
      <xdr:spPr>
        <a:xfrm>
          <a:off x="247980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29</xdr:col>
      <xdr:colOff>675005</xdr:colOff>
      <xdr:row>0</xdr:row>
      <xdr:rowOff>624205</xdr:rowOff>
    </xdr:to>
    <xdr:sp>
      <xdr:nvSpPr>
        <xdr:cNvPr id="23" name="圆角矩形 14"/>
        <xdr:cNvSpPr/>
      </xdr:nvSpPr>
      <xdr:spPr>
        <a:xfrm>
          <a:off x="1118235" y="127000"/>
          <a:ext cx="246837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904875</xdr:colOff>
      <xdr:row>0</xdr:row>
      <xdr:rowOff>217170</xdr:rowOff>
    </xdr:from>
    <xdr:to>
      <xdr:col>15</xdr:col>
      <xdr:colOff>436880</xdr:colOff>
      <xdr:row>0</xdr:row>
      <xdr:rowOff>571500</xdr:rowOff>
    </xdr:to>
    <xdr:sp macro="[0]!asht18">
      <xdr:nvSpPr>
        <xdr:cNvPr id="2" name="12">
          <a:hlinkClick xmlns:r="http://schemas.openxmlformats.org/officeDocument/2006/relationships" r:id="rId1"/>
        </xdr:cNvPr>
        <xdr:cNvSpPr/>
      </xdr:nvSpPr>
      <xdr:spPr>
        <a:xfrm>
          <a:off x="1565910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410845</xdr:colOff>
      <xdr:row>0</xdr:row>
      <xdr:rowOff>217170</xdr:rowOff>
    </xdr:from>
    <xdr:to>
      <xdr:col>15</xdr:col>
      <xdr:colOff>1228725</xdr:colOff>
      <xdr:row>0</xdr:row>
      <xdr:rowOff>571500</xdr:rowOff>
    </xdr:to>
    <xdr:sp macro="[0]!asht18">
      <xdr:nvSpPr>
        <xdr:cNvPr id="3" name="12">
          <a:hlinkClick xmlns:r="http://schemas.openxmlformats.org/officeDocument/2006/relationships" r:id="rId2"/>
        </xdr:cNvPr>
        <xdr:cNvSpPr/>
      </xdr:nvSpPr>
      <xdr:spPr>
        <a:xfrm>
          <a:off x="164509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1229995</xdr:colOff>
      <xdr:row>0</xdr:row>
      <xdr:rowOff>217170</xdr:rowOff>
    </xdr:from>
    <xdr:to>
      <xdr:col>18</xdr:col>
      <xdr:colOff>504825</xdr:colOff>
      <xdr:row>0</xdr:row>
      <xdr:rowOff>571500</xdr:rowOff>
    </xdr:to>
    <xdr:sp macro="[0]!asht18">
      <xdr:nvSpPr>
        <xdr:cNvPr id="4" name="12">
          <a:hlinkClick xmlns:r="http://schemas.openxmlformats.org/officeDocument/2006/relationships" r:id="rId3"/>
        </xdr:cNvPr>
        <xdr:cNvSpPr/>
      </xdr:nvSpPr>
      <xdr:spPr>
        <a:xfrm>
          <a:off x="172700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458470</xdr:colOff>
      <xdr:row>0</xdr:row>
      <xdr:rowOff>217170</xdr:rowOff>
    </xdr:from>
    <xdr:to>
      <xdr:col>19</xdr:col>
      <xdr:colOff>590550</xdr:colOff>
      <xdr:row>0</xdr:row>
      <xdr:rowOff>571500</xdr:rowOff>
    </xdr:to>
    <xdr:sp macro="[0]!asht18">
      <xdr:nvSpPr>
        <xdr:cNvPr id="5" name="12">
          <a:hlinkClick xmlns:r="http://schemas.openxmlformats.org/officeDocument/2006/relationships" r:id="rId4"/>
        </xdr:cNvPr>
        <xdr:cNvSpPr/>
      </xdr:nvSpPr>
      <xdr:spPr>
        <a:xfrm>
          <a:off x="180416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563245</xdr:colOff>
      <xdr:row>0</xdr:row>
      <xdr:rowOff>217170</xdr:rowOff>
    </xdr:from>
    <xdr:to>
      <xdr:col>21</xdr:col>
      <xdr:colOff>9525</xdr:colOff>
      <xdr:row>0</xdr:row>
      <xdr:rowOff>571500</xdr:rowOff>
    </xdr:to>
    <xdr:sp macro="[0]!asht18">
      <xdr:nvSpPr>
        <xdr:cNvPr id="6" name="12">
          <a:hlinkClick xmlns:r="http://schemas.openxmlformats.org/officeDocument/2006/relationships" r:id="rId5"/>
        </xdr:cNvPr>
        <xdr:cNvSpPr/>
      </xdr:nvSpPr>
      <xdr:spPr>
        <a:xfrm>
          <a:off x="188321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67945</xdr:colOff>
      <xdr:row>0</xdr:row>
      <xdr:rowOff>217170</xdr:rowOff>
    </xdr:from>
    <xdr:to>
      <xdr:col>22</xdr:col>
      <xdr:colOff>200025</xdr:colOff>
      <xdr:row>0</xdr:row>
      <xdr:rowOff>571500</xdr:rowOff>
    </xdr:to>
    <xdr:sp macro="[0]!asht18">
      <xdr:nvSpPr>
        <xdr:cNvPr id="7" name="12">
          <a:hlinkClick xmlns:r="http://schemas.openxmlformats.org/officeDocument/2006/relationships" r:id="rId6"/>
        </xdr:cNvPr>
        <xdr:cNvSpPr/>
      </xdr:nvSpPr>
      <xdr:spPr>
        <a:xfrm>
          <a:off x="197084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0]!asht18">
      <xdr:nvSpPr>
        <xdr:cNvPr id="8" name="12">
          <a:hlinkClick xmlns:r="http://schemas.openxmlformats.org/officeDocument/2006/relationships" r:id="rId7"/>
        </xdr:cNvPr>
        <xdr:cNvSpPr/>
      </xdr:nvSpPr>
      <xdr:spPr>
        <a:xfrm>
          <a:off x="205657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458470</xdr:colOff>
      <xdr:row>0</xdr:row>
      <xdr:rowOff>217170</xdr:rowOff>
    </xdr:from>
    <xdr:to>
      <xdr:col>24</xdr:col>
      <xdr:colOff>590550</xdr:colOff>
      <xdr:row>0</xdr:row>
      <xdr:rowOff>571500</xdr:rowOff>
    </xdr:to>
    <xdr:sp macro="[0]!asht18">
      <xdr:nvSpPr>
        <xdr:cNvPr id="9" name="12">
          <a:hlinkClick xmlns:r="http://schemas.openxmlformats.org/officeDocument/2006/relationships" r:id="rId8"/>
        </xdr:cNvPr>
        <xdr:cNvSpPr/>
      </xdr:nvSpPr>
      <xdr:spPr>
        <a:xfrm>
          <a:off x="214706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563245</xdr:colOff>
      <xdr:row>0</xdr:row>
      <xdr:rowOff>217170</xdr:rowOff>
    </xdr:from>
    <xdr:to>
      <xdr:col>26</xdr:col>
      <xdr:colOff>9525</xdr:colOff>
      <xdr:row>0</xdr:row>
      <xdr:rowOff>571500</xdr:rowOff>
    </xdr:to>
    <xdr:sp macro="[0]!asht18">
      <xdr:nvSpPr>
        <xdr:cNvPr id="10" name="12">
          <a:hlinkClick xmlns:r="http://schemas.openxmlformats.org/officeDocument/2006/relationships" r:id="rId9"/>
        </xdr:cNvPr>
        <xdr:cNvSpPr/>
      </xdr:nvSpPr>
      <xdr:spPr>
        <a:xfrm>
          <a:off x="222611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115570</xdr:colOff>
      <xdr:row>0</xdr:row>
      <xdr:rowOff>217170</xdr:rowOff>
    </xdr:from>
    <xdr:to>
      <xdr:col>27</xdr:col>
      <xdr:colOff>247650</xdr:colOff>
      <xdr:row>0</xdr:row>
      <xdr:rowOff>571500</xdr:rowOff>
    </xdr:to>
    <xdr:sp macro="[0]!asht18">
      <xdr:nvSpPr>
        <xdr:cNvPr id="11" name="12">
          <a:hlinkClick xmlns:r="http://schemas.openxmlformats.org/officeDocument/2006/relationships" r:id="rId10"/>
        </xdr:cNvPr>
        <xdr:cNvSpPr/>
      </xdr:nvSpPr>
      <xdr:spPr>
        <a:xfrm>
          <a:off x="231851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248920</xdr:colOff>
      <xdr:row>0</xdr:row>
      <xdr:rowOff>217170</xdr:rowOff>
    </xdr:from>
    <xdr:to>
      <xdr:col>28</xdr:col>
      <xdr:colOff>381000</xdr:colOff>
      <xdr:row>0</xdr:row>
      <xdr:rowOff>571500</xdr:rowOff>
    </xdr:to>
    <xdr:sp macro="[0]!asht18">
      <xdr:nvSpPr>
        <xdr:cNvPr id="12" name="12">
          <a:hlinkClick xmlns:r="http://schemas.openxmlformats.org/officeDocument/2006/relationships" r:id="rId11"/>
        </xdr:cNvPr>
        <xdr:cNvSpPr/>
      </xdr:nvSpPr>
      <xdr:spPr>
        <a:xfrm>
          <a:off x="240042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385445</xdr:colOff>
      <xdr:row>0</xdr:row>
      <xdr:rowOff>217170</xdr:rowOff>
    </xdr:from>
    <xdr:to>
      <xdr:col>29</xdr:col>
      <xdr:colOff>517525</xdr:colOff>
      <xdr:row>0</xdr:row>
      <xdr:rowOff>571500</xdr:rowOff>
    </xdr:to>
    <xdr:sp macro="[0]!asht18">
      <xdr:nvSpPr>
        <xdr:cNvPr id="13" name="12">
          <a:hlinkClick xmlns:r="http://schemas.openxmlformats.org/officeDocument/2006/relationships" r:id="rId12"/>
        </xdr:cNvPr>
        <xdr:cNvSpPr/>
      </xdr:nvSpPr>
      <xdr:spPr>
        <a:xfrm>
          <a:off x="248265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2">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34</xdr:col>
      <xdr:colOff>46355</xdr:colOff>
      <xdr:row>0</xdr:row>
      <xdr:rowOff>624205</xdr:rowOff>
    </xdr:to>
    <xdr:sp>
      <xdr:nvSpPr>
        <xdr:cNvPr id="41"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133350</xdr:colOff>
      <xdr:row>0</xdr:row>
      <xdr:rowOff>193040</xdr:rowOff>
    </xdr:from>
    <xdr:to>
      <xdr:col>20</xdr:col>
      <xdr:colOff>265430</xdr:colOff>
      <xdr:row>0</xdr:row>
      <xdr:rowOff>547370</xdr:rowOff>
    </xdr:to>
    <xdr:sp macro="[0]!asht18">
      <xdr:nvSpPr>
        <xdr:cNvPr id="2" name="12">
          <a:hlinkClick xmlns:r="http://schemas.openxmlformats.org/officeDocument/2006/relationships" r:id="rId1"/>
        </xdr:cNvPr>
        <xdr:cNvSpPr/>
      </xdr:nvSpPr>
      <xdr:spPr>
        <a:xfrm>
          <a:off x="1564005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193040</xdr:rowOff>
    </xdr:from>
    <xdr:to>
      <xdr:col>21</xdr:col>
      <xdr:colOff>371475</xdr:colOff>
      <xdr:row>0</xdr:row>
      <xdr:rowOff>547370</xdr:rowOff>
    </xdr:to>
    <xdr:sp macro="[0]!asht18">
      <xdr:nvSpPr>
        <xdr:cNvPr id="4" name="12">
          <a:hlinkClick xmlns:r="http://schemas.openxmlformats.org/officeDocument/2006/relationships" r:id="rId2"/>
        </xdr:cNvPr>
        <xdr:cNvSpPr/>
      </xdr:nvSpPr>
      <xdr:spPr>
        <a:xfrm>
          <a:off x="164318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372745</xdr:colOff>
      <xdr:row>0</xdr:row>
      <xdr:rowOff>193040</xdr:rowOff>
    </xdr:from>
    <xdr:to>
      <xdr:col>22</xdr:col>
      <xdr:colOff>504825</xdr:colOff>
      <xdr:row>0</xdr:row>
      <xdr:rowOff>547370</xdr:rowOff>
    </xdr:to>
    <xdr:sp macro="[0]!asht18">
      <xdr:nvSpPr>
        <xdr:cNvPr id="5" name="12">
          <a:hlinkClick xmlns:r="http://schemas.openxmlformats.org/officeDocument/2006/relationships" r:id="rId3"/>
        </xdr:cNvPr>
        <xdr:cNvSpPr/>
      </xdr:nvSpPr>
      <xdr:spPr>
        <a:xfrm>
          <a:off x="172510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458470</xdr:colOff>
      <xdr:row>0</xdr:row>
      <xdr:rowOff>193040</xdr:rowOff>
    </xdr:from>
    <xdr:to>
      <xdr:col>23</xdr:col>
      <xdr:colOff>590550</xdr:colOff>
      <xdr:row>0</xdr:row>
      <xdr:rowOff>547370</xdr:rowOff>
    </xdr:to>
    <xdr:sp macro="[0]!asht18">
      <xdr:nvSpPr>
        <xdr:cNvPr id="6" name="12">
          <a:hlinkClick xmlns:r="http://schemas.openxmlformats.org/officeDocument/2006/relationships" r:id="rId4"/>
        </xdr:cNvPr>
        <xdr:cNvSpPr/>
      </xdr:nvSpPr>
      <xdr:spPr>
        <a:xfrm>
          <a:off x="18022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563245</xdr:colOff>
      <xdr:row>0</xdr:row>
      <xdr:rowOff>193040</xdr:rowOff>
    </xdr:from>
    <xdr:to>
      <xdr:col>25</xdr:col>
      <xdr:colOff>9525</xdr:colOff>
      <xdr:row>0</xdr:row>
      <xdr:rowOff>547370</xdr:rowOff>
    </xdr:to>
    <xdr:sp macro="[0]!asht18">
      <xdr:nvSpPr>
        <xdr:cNvPr id="7" name="12">
          <a:hlinkClick xmlns:r="http://schemas.openxmlformats.org/officeDocument/2006/relationships" r:id="rId5"/>
        </xdr:cNvPr>
        <xdr:cNvSpPr/>
      </xdr:nvSpPr>
      <xdr:spPr>
        <a:xfrm>
          <a:off x="18813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67945</xdr:colOff>
      <xdr:row>0</xdr:row>
      <xdr:rowOff>193040</xdr:rowOff>
    </xdr:from>
    <xdr:to>
      <xdr:col>26</xdr:col>
      <xdr:colOff>200025</xdr:colOff>
      <xdr:row>0</xdr:row>
      <xdr:rowOff>547370</xdr:rowOff>
    </xdr:to>
    <xdr:sp macro="[0]!asht18">
      <xdr:nvSpPr>
        <xdr:cNvPr id="8" name="12">
          <a:hlinkClick xmlns:r="http://schemas.openxmlformats.org/officeDocument/2006/relationships" r:id="rId6"/>
        </xdr:cNvPr>
        <xdr:cNvSpPr/>
      </xdr:nvSpPr>
      <xdr:spPr>
        <a:xfrm>
          <a:off x="196894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239395</xdr:colOff>
      <xdr:row>0</xdr:row>
      <xdr:rowOff>193040</xdr:rowOff>
    </xdr:from>
    <xdr:to>
      <xdr:col>27</xdr:col>
      <xdr:colOff>371475</xdr:colOff>
      <xdr:row>0</xdr:row>
      <xdr:rowOff>547370</xdr:rowOff>
    </xdr:to>
    <xdr:sp macro="[0]!asht18">
      <xdr:nvSpPr>
        <xdr:cNvPr id="9" name="12">
          <a:hlinkClick xmlns:r="http://schemas.openxmlformats.org/officeDocument/2006/relationships" r:id="rId7"/>
        </xdr:cNvPr>
        <xdr:cNvSpPr/>
      </xdr:nvSpPr>
      <xdr:spPr>
        <a:xfrm>
          <a:off x="205466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458470</xdr:colOff>
      <xdr:row>0</xdr:row>
      <xdr:rowOff>193040</xdr:rowOff>
    </xdr:from>
    <xdr:to>
      <xdr:col>28</xdr:col>
      <xdr:colOff>590550</xdr:colOff>
      <xdr:row>0</xdr:row>
      <xdr:rowOff>547370</xdr:rowOff>
    </xdr:to>
    <xdr:sp macro="[0]!asht18">
      <xdr:nvSpPr>
        <xdr:cNvPr id="10" name="12">
          <a:hlinkClick xmlns:r="http://schemas.openxmlformats.org/officeDocument/2006/relationships" r:id="rId8"/>
        </xdr:cNvPr>
        <xdr:cNvSpPr/>
      </xdr:nvSpPr>
      <xdr:spPr>
        <a:xfrm>
          <a:off x="21451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563245</xdr:colOff>
      <xdr:row>0</xdr:row>
      <xdr:rowOff>193040</xdr:rowOff>
    </xdr:from>
    <xdr:to>
      <xdr:col>30</xdr:col>
      <xdr:colOff>9525</xdr:colOff>
      <xdr:row>0</xdr:row>
      <xdr:rowOff>547370</xdr:rowOff>
    </xdr:to>
    <xdr:sp macro="[0]!asht18">
      <xdr:nvSpPr>
        <xdr:cNvPr id="11" name="12">
          <a:hlinkClick xmlns:r="http://schemas.openxmlformats.org/officeDocument/2006/relationships" r:id="rId9"/>
        </xdr:cNvPr>
        <xdr:cNvSpPr/>
      </xdr:nvSpPr>
      <xdr:spPr>
        <a:xfrm>
          <a:off x="22242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115570</xdr:colOff>
      <xdr:row>0</xdr:row>
      <xdr:rowOff>193040</xdr:rowOff>
    </xdr:from>
    <xdr:to>
      <xdr:col>31</xdr:col>
      <xdr:colOff>247650</xdr:colOff>
      <xdr:row>0</xdr:row>
      <xdr:rowOff>547370</xdr:rowOff>
    </xdr:to>
    <xdr:sp macro="[0]!asht18">
      <xdr:nvSpPr>
        <xdr:cNvPr id="12" name="12">
          <a:hlinkClick xmlns:r="http://schemas.openxmlformats.org/officeDocument/2006/relationships" r:id="rId10"/>
        </xdr:cNvPr>
        <xdr:cNvSpPr/>
      </xdr:nvSpPr>
      <xdr:spPr>
        <a:xfrm>
          <a:off x="231660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248920</xdr:colOff>
      <xdr:row>0</xdr:row>
      <xdr:rowOff>193040</xdr:rowOff>
    </xdr:from>
    <xdr:to>
      <xdr:col>32</xdr:col>
      <xdr:colOff>381000</xdr:colOff>
      <xdr:row>0</xdr:row>
      <xdr:rowOff>547370</xdr:rowOff>
    </xdr:to>
    <xdr:sp macro="[0]!asht18">
      <xdr:nvSpPr>
        <xdr:cNvPr id="13" name="12">
          <a:hlinkClick xmlns:r="http://schemas.openxmlformats.org/officeDocument/2006/relationships" r:id="rId11"/>
        </xdr:cNvPr>
        <xdr:cNvSpPr/>
      </xdr:nvSpPr>
      <xdr:spPr>
        <a:xfrm>
          <a:off x="2398522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385445</xdr:colOff>
      <xdr:row>0</xdr:row>
      <xdr:rowOff>193040</xdr:rowOff>
    </xdr:from>
    <xdr:to>
      <xdr:col>33</xdr:col>
      <xdr:colOff>517525</xdr:colOff>
      <xdr:row>0</xdr:row>
      <xdr:rowOff>547370</xdr:rowOff>
    </xdr:to>
    <xdr:sp macro="[0]!asht18">
      <xdr:nvSpPr>
        <xdr:cNvPr id="14" name="12">
          <a:hlinkClick xmlns:r="http://schemas.openxmlformats.org/officeDocument/2006/relationships" r:id="rId12"/>
        </xdr:cNvPr>
        <xdr:cNvSpPr/>
      </xdr:nvSpPr>
      <xdr:spPr>
        <a:xfrm>
          <a:off x="248075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4</xdr:col>
      <xdr:colOff>0</xdr:colOff>
      <xdr:row>1</xdr:row>
      <xdr:rowOff>50800</xdr:rowOff>
    </xdr:from>
    <xdr:to>
      <xdr:col>4</xdr:col>
      <xdr:colOff>1066800</xdr:colOff>
      <xdr:row>1</xdr:row>
      <xdr:rowOff>441325</xdr:rowOff>
    </xdr:to>
    <xdr:sp macro="[0]!print_out1">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34</xdr:col>
      <xdr:colOff>646430</xdr:colOff>
      <xdr:row>0</xdr:row>
      <xdr:rowOff>624205</xdr:rowOff>
    </xdr:to>
    <xdr:sp>
      <xdr:nvSpPr>
        <xdr:cNvPr id="4"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10</xdr:col>
      <xdr:colOff>94615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471805</xdr:colOff>
      <xdr:row>0</xdr:row>
      <xdr:rowOff>203200</xdr:rowOff>
    </xdr:from>
    <xdr:to>
      <xdr:col>13</xdr:col>
      <xdr:colOff>603885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客户|供应</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643255</xdr:colOff>
      <xdr:row>0</xdr:row>
      <xdr:rowOff>203200</xdr:rowOff>
    </xdr:from>
    <xdr:to>
      <xdr:col>15</xdr:col>
      <xdr:colOff>89535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128905</xdr:colOff>
      <xdr:row>0</xdr:row>
      <xdr:rowOff>203200</xdr:rowOff>
    </xdr:from>
    <xdr:to>
      <xdr:col>16</xdr:col>
      <xdr:colOff>260985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300355</xdr:colOff>
      <xdr:row>0</xdr:row>
      <xdr:rowOff>203200</xdr:rowOff>
    </xdr:from>
    <xdr:to>
      <xdr:col>17</xdr:col>
      <xdr:colOff>432435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471805</xdr:colOff>
      <xdr:row>0</xdr:row>
      <xdr:rowOff>203200</xdr:rowOff>
    </xdr:from>
    <xdr:to>
      <xdr:col>18</xdr:col>
      <xdr:colOff>603885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643255</xdr:colOff>
      <xdr:row>0</xdr:row>
      <xdr:rowOff>203200</xdr:rowOff>
    </xdr:from>
    <xdr:to>
      <xdr:col>20</xdr:col>
      <xdr:colOff>89535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47625</xdr:colOff>
      <xdr:row>0</xdr:row>
      <xdr:rowOff>193040</xdr:rowOff>
    </xdr:from>
    <xdr:to>
      <xdr:col>21</xdr:col>
      <xdr:colOff>179705</xdr:colOff>
      <xdr:row>0</xdr:row>
      <xdr:rowOff>547370</xdr:rowOff>
    </xdr:to>
    <xdr:sp macro="[0]!asht18">
      <xdr:nvSpPr>
        <xdr:cNvPr id="23" name="12">
          <a:hlinkClick xmlns:r="http://schemas.openxmlformats.org/officeDocument/2006/relationships" r:id="rId1"/>
        </xdr:cNvPr>
        <xdr:cNvSpPr/>
      </xdr:nvSpPr>
      <xdr:spPr>
        <a:xfrm>
          <a:off x="1564005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193040</xdr:rowOff>
    </xdr:from>
    <xdr:to>
      <xdr:col>22</xdr:col>
      <xdr:colOff>285750</xdr:colOff>
      <xdr:row>0</xdr:row>
      <xdr:rowOff>547370</xdr:rowOff>
    </xdr:to>
    <xdr:sp macro="[0]!asht18">
      <xdr:nvSpPr>
        <xdr:cNvPr id="24" name="12">
          <a:hlinkClick xmlns:r="http://schemas.openxmlformats.org/officeDocument/2006/relationships" r:id="rId2"/>
        </xdr:cNvPr>
        <xdr:cNvSpPr/>
      </xdr:nvSpPr>
      <xdr:spPr>
        <a:xfrm>
          <a:off x="164318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193040</xdr:rowOff>
    </xdr:from>
    <xdr:to>
      <xdr:col>23</xdr:col>
      <xdr:colOff>419100</xdr:colOff>
      <xdr:row>0</xdr:row>
      <xdr:rowOff>547370</xdr:rowOff>
    </xdr:to>
    <xdr:sp macro="[0]!asht18">
      <xdr:nvSpPr>
        <xdr:cNvPr id="25" name="12">
          <a:hlinkClick xmlns:r="http://schemas.openxmlformats.org/officeDocument/2006/relationships" r:id="rId3"/>
        </xdr:cNvPr>
        <xdr:cNvSpPr/>
      </xdr:nvSpPr>
      <xdr:spPr>
        <a:xfrm>
          <a:off x="172510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193040</xdr:rowOff>
    </xdr:from>
    <xdr:to>
      <xdr:col>24</xdr:col>
      <xdr:colOff>504825</xdr:colOff>
      <xdr:row>0</xdr:row>
      <xdr:rowOff>547370</xdr:rowOff>
    </xdr:to>
    <xdr:sp macro="[0]!asht18">
      <xdr:nvSpPr>
        <xdr:cNvPr id="26" name="12">
          <a:hlinkClick xmlns:r="http://schemas.openxmlformats.org/officeDocument/2006/relationships" r:id="rId4"/>
        </xdr:cNvPr>
        <xdr:cNvSpPr/>
      </xdr:nvSpPr>
      <xdr:spPr>
        <a:xfrm>
          <a:off x="18022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193040</xdr:rowOff>
    </xdr:from>
    <xdr:to>
      <xdr:col>25</xdr:col>
      <xdr:colOff>609600</xdr:colOff>
      <xdr:row>0</xdr:row>
      <xdr:rowOff>547370</xdr:rowOff>
    </xdr:to>
    <xdr:sp macro="[0]!asht18">
      <xdr:nvSpPr>
        <xdr:cNvPr id="27" name="12">
          <a:hlinkClick xmlns:r="http://schemas.openxmlformats.org/officeDocument/2006/relationships" r:id="rId5"/>
        </xdr:cNvPr>
        <xdr:cNvSpPr/>
      </xdr:nvSpPr>
      <xdr:spPr>
        <a:xfrm>
          <a:off x="18813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193040</xdr:rowOff>
    </xdr:from>
    <xdr:to>
      <xdr:col>27</xdr:col>
      <xdr:colOff>114300</xdr:colOff>
      <xdr:row>0</xdr:row>
      <xdr:rowOff>547370</xdr:rowOff>
    </xdr:to>
    <xdr:sp macro="[0]!asht18">
      <xdr:nvSpPr>
        <xdr:cNvPr id="28" name="12">
          <a:hlinkClick xmlns:r="http://schemas.openxmlformats.org/officeDocument/2006/relationships" r:id="rId6"/>
        </xdr:cNvPr>
        <xdr:cNvSpPr/>
      </xdr:nvSpPr>
      <xdr:spPr>
        <a:xfrm>
          <a:off x="196894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193040</xdr:rowOff>
    </xdr:from>
    <xdr:to>
      <xdr:col>28</xdr:col>
      <xdr:colOff>285750</xdr:colOff>
      <xdr:row>0</xdr:row>
      <xdr:rowOff>547370</xdr:rowOff>
    </xdr:to>
    <xdr:sp macro="[0]!asht18">
      <xdr:nvSpPr>
        <xdr:cNvPr id="29" name="12">
          <a:hlinkClick xmlns:r="http://schemas.openxmlformats.org/officeDocument/2006/relationships" r:id="rId7"/>
        </xdr:cNvPr>
        <xdr:cNvSpPr/>
      </xdr:nvSpPr>
      <xdr:spPr>
        <a:xfrm>
          <a:off x="205466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193040</xdr:rowOff>
    </xdr:from>
    <xdr:to>
      <xdr:col>29</xdr:col>
      <xdr:colOff>504825</xdr:colOff>
      <xdr:row>0</xdr:row>
      <xdr:rowOff>547370</xdr:rowOff>
    </xdr:to>
    <xdr:sp macro="[0]!asht18">
      <xdr:nvSpPr>
        <xdr:cNvPr id="30" name="12">
          <a:hlinkClick xmlns:r="http://schemas.openxmlformats.org/officeDocument/2006/relationships" r:id="rId8"/>
        </xdr:cNvPr>
        <xdr:cNvSpPr/>
      </xdr:nvSpPr>
      <xdr:spPr>
        <a:xfrm>
          <a:off x="21451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193040</xdr:rowOff>
    </xdr:from>
    <xdr:to>
      <xdr:col>30</xdr:col>
      <xdr:colOff>609600</xdr:colOff>
      <xdr:row>0</xdr:row>
      <xdr:rowOff>547370</xdr:rowOff>
    </xdr:to>
    <xdr:sp macro="[0]!asht18">
      <xdr:nvSpPr>
        <xdr:cNvPr id="31" name="12">
          <a:hlinkClick xmlns:r="http://schemas.openxmlformats.org/officeDocument/2006/relationships" r:id="rId9"/>
        </xdr:cNvPr>
        <xdr:cNvSpPr/>
      </xdr:nvSpPr>
      <xdr:spPr>
        <a:xfrm>
          <a:off x="22242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193040</xdr:rowOff>
    </xdr:from>
    <xdr:to>
      <xdr:col>32</xdr:col>
      <xdr:colOff>161925</xdr:colOff>
      <xdr:row>0</xdr:row>
      <xdr:rowOff>547370</xdr:rowOff>
    </xdr:to>
    <xdr:sp macro="[0]!asht18">
      <xdr:nvSpPr>
        <xdr:cNvPr id="32" name="12">
          <a:hlinkClick xmlns:r="http://schemas.openxmlformats.org/officeDocument/2006/relationships" r:id="rId10"/>
        </xdr:cNvPr>
        <xdr:cNvSpPr/>
      </xdr:nvSpPr>
      <xdr:spPr>
        <a:xfrm>
          <a:off x="231660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193040</xdr:rowOff>
    </xdr:from>
    <xdr:to>
      <xdr:col>33</xdr:col>
      <xdr:colOff>295275</xdr:colOff>
      <xdr:row>0</xdr:row>
      <xdr:rowOff>547370</xdr:rowOff>
    </xdr:to>
    <xdr:sp macro="[0]!asht18">
      <xdr:nvSpPr>
        <xdr:cNvPr id="33" name="12">
          <a:hlinkClick xmlns:r="http://schemas.openxmlformats.org/officeDocument/2006/relationships" r:id="rId11"/>
        </xdr:cNvPr>
        <xdr:cNvSpPr/>
      </xdr:nvSpPr>
      <xdr:spPr>
        <a:xfrm>
          <a:off x="2398522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193040</xdr:rowOff>
    </xdr:from>
    <xdr:to>
      <xdr:col>34</xdr:col>
      <xdr:colOff>431800</xdr:colOff>
      <xdr:row>0</xdr:row>
      <xdr:rowOff>547370</xdr:rowOff>
    </xdr:to>
    <xdr:sp macro="[0]!asht18">
      <xdr:nvSpPr>
        <xdr:cNvPr id="34" name="12">
          <a:hlinkClick xmlns:r="http://schemas.openxmlformats.org/officeDocument/2006/relationships" r:id="rId12"/>
        </xdr:cNvPr>
        <xdr:cNvSpPr/>
      </xdr:nvSpPr>
      <xdr:spPr>
        <a:xfrm>
          <a:off x="248075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171450</xdr:colOff>
      <xdr:row>1</xdr:row>
      <xdr:rowOff>55245</xdr:rowOff>
    </xdr:from>
    <xdr:to>
      <xdr:col>3</xdr:col>
      <xdr:colOff>1238250</xdr:colOff>
      <xdr:row>1</xdr:row>
      <xdr:rowOff>445770</xdr:rowOff>
    </xdr:to>
    <xdr:sp macro="[0]!jinchu_kehu_query">
      <xdr:nvSpPr>
        <xdr:cNvPr id="35" name="圆角矩形 34"/>
        <xdr:cNvSpPr/>
      </xdr:nvSpPr>
      <xdr:spPr>
        <a:xfrm>
          <a:off x="781050" y="81724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10</xdr:col>
      <xdr:colOff>85725</xdr:colOff>
      <xdr:row>0</xdr:row>
      <xdr:rowOff>212090</xdr:rowOff>
    </xdr:from>
    <xdr:to>
      <xdr:col>11</xdr:col>
      <xdr:colOff>215265</xdr:colOff>
      <xdr:row>0</xdr:row>
      <xdr:rowOff>566420</xdr:rowOff>
    </xdr:to>
    <xdr:sp macro="[0]!asht8">
      <xdr:nvSpPr>
        <xdr:cNvPr id="36" name="10"/>
        <xdr:cNvSpPr/>
      </xdr:nvSpPr>
      <xdr:spPr>
        <a:xfrm>
          <a:off x="8820150" y="21209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342900</xdr:colOff>
      <xdr:row>0</xdr:row>
      <xdr:rowOff>217170</xdr:rowOff>
    </xdr:from>
    <xdr:to>
      <xdr:col>12</xdr:col>
      <xdr:colOff>472440</xdr:colOff>
      <xdr:row>0</xdr:row>
      <xdr:rowOff>571500</xdr:rowOff>
    </xdr:to>
    <xdr:sp macro="[0]!asht15">
      <xdr:nvSpPr>
        <xdr:cNvPr id="37" name="11"/>
        <xdr:cNvSpPr/>
      </xdr:nvSpPr>
      <xdr:spPr>
        <a:xfrm>
          <a:off x="9763125" y="21717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1254125</xdr:colOff>
      <xdr:row>1</xdr:row>
      <xdr:rowOff>50800</xdr:rowOff>
    </xdr:from>
    <xdr:to>
      <xdr:col>4</xdr:col>
      <xdr:colOff>1035050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107950</xdr:colOff>
      <xdr:row>1</xdr:row>
      <xdr:rowOff>50800</xdr:rowOff>
    </xdr:from>
    <xdr:to>
      <xdr:col>5</xdr:col>
      <xdr:colOff>1174750</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209550</xdr:colOff>
      <xdr:row>1</xdr:row>
      <xdr:rowOff>50800</xdr:rowOff>
    </xdr:from>
    <xdr:to>
      <xdr:col>6</xdr:col>
      <xdr:colOff>1276350</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352425</xdr:colOff>
      <xdr:row>1</xdr:row>
      <xdr:rowOff>50800</xdr:rowOff>
    </xdr:from>
    <xdr:to>
      <xdr:col>8</xdr:col>
      <xdr:colOff>275590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32</xdr:col>
      <xdr:colOff>340360</xdr:colOff>
      <xdr:row>0</xdr:row>
      <xdr:rowOff>624205</xdr:rowOff>
    </xdr:to>
    <xdr:sp>
      <xdr:nvSpPr>
        <xdr:cNvPr id="25" name="圆角矩形 14"/>
        <xdr:cNvSpPr/>
      </xdr:nvSpPr>
      <xdr:spPr>
        <a:xfrm>
          <a:off x="1118235" y="127000"/>
          <a:ext cx="2486342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13</xdr:col>
      <xdr:colOff>499110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670560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628650</xdr:colOff>
      <xdr:row>1</xdr:row>
      <xdr:rowOff>50800</xdr:rowOff>
    </xdr:from>
    <xdr:to>
      <xdr:col>9</xdr:col>
      <xdr:colOff>551815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17</xdr:col>
      <xdr:colOff>314325</xdr:colOff>
      <xdr:row>0</xdr:row>
      <xdr:rowOff>226695</xdr:rowOff>
    </xdr:from>
    <xdr:to>
      <xdr:col>18</xdr:col>
      <xdr:colOff>446405</xdr:colOff>
      <xdr:row>0</xdr:row>
      <xdr:rowOff>581025</xdr:rowOff>
    </xdr:to>
    <xdr:sp macro="[0]!asht18">
      <xdr:nvSpPr>
        <xdr:cNvPr id="3" name="12">
          <a:hlinkClick xmlns:r="http://schemas.openxmlformats.org/officeDocument/2006/relationships" r:id="rId1"/>
        </xdr:cNvPr>
        <xdr:cNvSpPr/>
      </xdr:nvSpPr>
      <xdr:spPr>
        <a:xfrm>
          <a:off x="1566862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420370</xdr:colOff>
      <xdr:row>0</xdr:row>
      <xdr:rowOff>226695</xdr:rowOff>
    </xdr:from>
    <xdr:to>
      <xdr:col>19</xdr:col>
      <xdr:colOff>552450</xdr:colOff>
      <xdr:row>0</xdr:row>
      <xdr:rowOff>581025</xdr:rowOff>
    </xdr:to>
    <xdr:sp macro="[0]!asht18">
      <xdr:nvSpPr>
        <xdr:cNvPr id="4" name="12">
          <a:hlinkClick xmlns:r="http://schemas.openxmlformats.org/officeDocument/2006/relationships" r:id="rId2"/>
        </xdr:cNvPr>
        <xdr:cNvSpPr/>
      </xdr:nvSpPr>
      <xdr:spPr>
        <a:xfrm>
          <a:off x="164604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553720</xdr:colOff>
      <xdr:row>0</xdr:row>
      <xdr:rowOff>226695</xdr:rowOff>
    </xdr:from>
    <xdr:to>
      <xdr:col>21</xdr:col>
      <xdr:colOff>0</xdr:colOff>
      <xdr:row>0</xdr:row>
      <xdr:rowOff>581025</xdr:rowOff>
    </xdr:to>
    <xdr:sp macro="[0]!asht18">
      <xdr:nvSpPr>
        <xdr:cNvPr id="5" name="12">
          <a:hlinkClick xmlns:r="http://schemas.openxmlformats.org/officeDocument/2006/relationships" r:id="rId3"/>
        </xdr:cNvPr>
        <xdr:cNvSpPr/>
      </xdr:nvSpPr>
      <xdr:spPr>
        <a:xfrm>
          <a:off x="17279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226695</xdr:rowOff>
    </xdr:from>
    <xdr:to>
      <xdr:col>22</xdr:col>
      <xdr:colOff>85725</xdr:colOff>
      <xdr:row>0</xdr:row>
      <xdr:rowOff>581025</xdr:rowOff>
    </xdr:to>
    <xdr:sp macro="[0]!asht18">
      <xdr:nvSpPr>
        <xdr:cNvPr id="6" name="12">
          <a:hlinkClick xmlns:r="http://schemas.openxmlformats.org/officeDocument/2006/relationships" r:id="rId4"/>
        </xdr:cNvPr>
        <xdr:cNvSpPr/>
      </xdr:nvSpPr>
      <xdr:spPr>
        <a:xfrm>
          <a:off x="180511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58420</xdr:colOff>
      <xdr:row>0</xdr:row>
      <xdr:rowOff>226695</xdr:rowOff>
    </xdr:from>
    <xdr:to>
      <xdr:col>23</xdr:col>
      <xdr:colOff>190500</xdr:colOff>
      <xdr:row>0</xdr:row>
      <xdr:rowOff>581025</xdr:rowOff>
    </xdr:to>
    <xdr:sp macro="[0]!asht18">
      <xdr:nvSpPr>
        <xdr:cNvPr id="7" name="12">
          <a:hlinkClick xmlns:r="http://schemas.openxmlformats.org/officeDocument/2006/relationships" r:id="rId5"/>
        </xdr:cNvPr>
        <xdr:cNvSpPr/>
      </xdr:nvSpPr>
      <xdr:spPr>
        <a:xfrm>
          <a:off x="188417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248920</xdr:colOff>
      <xdr:row>0</xdr:row>
      <xdr:rowOff>226695</xdr:rowOff>
    </xdr:from>
    <xdr:to>
      <xdr:col>24</xdr:col>
      <xdr:colOff>381000</xdr:colOff>
      <xdr:row>0</xdr:row>
      <xdr:rowOff>581025</xdr:rowOff>
    </xdr:to>
    <xdr:sp macro="[0]!asht18">
      <xdr:nvSpPr>
        <xdr:cNvPr id="8" name="12">
          <a:hlinkClick xmlns:r="http://schemas.openxmlformats.org/officeDocument/2006/relationships" r:id="rId6"/>
        </xdr:cNvPr>
        <xdr:cNvSpPr/>
      </xdr:nvSpPr>
      <xdr:spPr>
        <a:xfrm>
          <a:off x="197180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420370</xdr:colOff>
      <xdr:row>0</xdr:row>
      <xdr:rowOff>226695</xdr:rowOff>
    </xdr:from>
    <xdr:to>
      <xdr:col>25</xdr:col>
      <xdr:colOff>552450</xdr:colOff>
      <xdr:row>0</xdr:row>
      <xdr:rowOff>581025</xdr:rowOff>
    </xdr:to>
    <xdr:sp macro="[0]!asht18">
      <xdr:nvSpPr>
        <xdr:cNvPr id="9" name="12">
          <a:hlinkClick xmlns:r="http://schemas.openxmlformats.org/officeDocument/2006/relationships" r:id="rId7"/>
        </xdr:cNvPr>
        <xdr:cNvSpPr/>
      </xdr:nvSpPr>
      <xdr:spPr>
        <a:xfrm>
          <a:off x="205752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639445</xdr:colOff>
      <xdr:row>0</xdr:row>
      <xdr:rowOff>226695</xdr:rowOff>
    </xdr:from>
    <xdr:to>
      <xdr:col>27</xdr:col>
      <xdr:colOff>85725</xdr:colOff>
      <xdr:row>0</xdr:row>
      <xdr:rowOff>581025</xdr:rowOff>
    </xdr:to>
    <xdr:sp macro="[0]!asht18">
      <xdr:nvSpPr>
        <xdr:cNvPr id="10" name="12">
          <a:hlinkClick xmlns:r="http://schemas.openxmlformats.org/officeDocument/2006/relationships" r:id="rId8"/>
        </xdr:cNvPr>
        <xdr:cNvSpPr/>
      </xdr:nvSpPr>
      <xdr:spPr>
        <a:xfrm>
          <a:off x="214801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58420</xdr:colOff>
      <xdr:row>0</xdr:row>
      <xdr:rowOff>226695</xdr:rowOff>
    </xdr:from>
    <xdr:to>
      <xdr:col>28</xdr:col>
      <xdr:colOff>190500</xdr:colOff>
      <xdr:row>0</xdr:row>
      <xdr:rowOff>581025</xdr:rowOff>
    </xdr:to>
    <xdr:sp macro="[0]!asht18">
      <xdr:nvSpPr>
        <xdr:cNvPr id="11" name="12">
          <a:hlinkClick xmlns:r="http://schemas.openxmlformats.org/officeDocument/2006/relationships" r:id="rId9"/>
        </xdr:cNvPr>
        <xdr:cNvSpPr/>
      </xdr:nvSpPr>
      <xdr:spPr>
        <a:xfrm>
          <a:off x="222707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296545</xdr:colOff>
      <xdr:row>0</xdr:row>
      <xdr:rowOff>226695</xdr:rowOff>
    </xdr:from>
    <xdr:to>
      <xdr:col>29</xdr:col>
      <xdr:colOff>428625</xdr:colOff>
      <xdr:row>0</xdr:row>
      <xdr:rowOff>581025</xdr:rowOff>
    </xdr:to>
    <xdr:sp macro="[0]!asht18">
      <xdr:nvSpPr>
        <xdr:cNvPr id="12" name="12">
          <a:hlinkClick xmlns:r="http://schemas.openxmlformats.org/officeDocument/2006/relationships" r:id="rId10"/>
        </xdr:cNvPr>
        <xdr:cNvSpPr/>
      </xdr:nvSpPr>
      <xdr:spPr>
        <a:xfrm>
          <a:off x="231946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226695</xdr:rowOff>
    </xdr:from>
    <xdr:to>
      <xdr:col>30</xdr:col>
      <xdr:colOff>561975</xdr:colOff>
      <xdr:row>0</xdr:row>
      <xdr:rowOff>581025</xdr:rowOff>
    </xdr:to>
    <xdr:sp macro="[0]!asht18">
      <xdr:nvSpPr>
        <xdr:cNvPr id="13" name="12">
          <a:hlinkClick xmlns:r="http://schemas.openxmlformats.org/officeDocument/2006/relationships" r:id="rId11"/>
        </xdr:cNvPr>
        <xdr:cNvSpPr/>
      </xdr:nvSpPr>
      <xdr:spPr>
        <a:xfrm>
          <a:off x="240137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566420</xdr:colOff>
      <xdr:row>0</xdr:row>
      <xdr:rowOff>226695</xdr:rowOff>
    </xdr:from>
    <xdr:to>
      <xdr:col>32</xdr:col>
      <xdr:colOff>12700</xdr:colOff>
      <xdr:row>0</xdr:row>
      <xdr:rowOff>581025</xdr:rowOff>
    </xdr:to>
    <xdr:sp macro="[0]!asht18">
      <xdr:nvSpPr>
        <xdr:cNvPr id="14" name="12">
          <a:hlinkClick xmlns:r="http://schemas.openxmlformats.org/officeDocument/2006/relationships" r:id="rId12"/>
        </xdr:cNvPr>
        <xdr:cNvSpPr/>
      </xdr:nvSpPr>
      <xdr:spPr>
        <a:xfrm>
          <a:off x="248361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784225</xdr:colOff>
      <xdr:row>1</xdr:row>
      <xdr:rowOff>25400</xdr:rowOff>
    </xdr:from>
    <xdr:to>
      <xdr:col>11</xdr:col>
      <xdr:colOff>707390</xdr:colOff>
      <xdr:row>1</xdr:row>
      <xdr:rowOff>415925</xdr:rowOff>
    </xdr:to>
    <xdr:sp macro="[0]!shanchu_09">
      <xdr:nvSpPr>
        <xdr:cNvPr id="15" name="圆角矩形 14"/>
        <xdr:cNvSpPr/>
      </xdr:nvSpPr>
      <xdr:spPr>
        <a:xfrm>
          <a:off x="10566400" y="7874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768350</xdr:colOff>
      <xdr:row>1</xdr:row>
      <xdr:rowOff>38100</xdr:rowOff>
    </xdr:from>
    <xdr:to>
      <xdr:col>10</xdr:col>
      <xdr:colOff>691515</xdr:colOff>
      <xdr:row>1</xdr:row>
      <xdr:rowOff>428625</xdr:rowOff>
    </xdr:to>
    <xdr:sp macro="[0]!shangchuan_09">
      <xdr:nvSpPr>
        <xdr:cNvPr id="16" name="圆角矩形 15"/>
        <xdr:cNvSpPr/>
      </xdr:nvSpPr>
      <xdr:spPr>
        <a:xfrm>
          <a:off x="9264650" y="8001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文件上传</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38</xdr:col>
      <xdr:colOff>36830</xdr:colOff>
      <xdr:row>0</xdr:row>
      <xdr:rowOff>624205</xdr:rowOff>
    </xdr:to>
    <xdr:sp>
      <xdr:nvSpPr>
        <xdr:cNvPr id="20"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47625</xdr:colOff>
      <xdr:row>0</xdr:row>
      <xdr:rowOff>226695</xdr:rowOff>
    </xdr:from>
    <xdr:to>
      <xdr:col>24</xdr:col>
      <xdr:colOff>179705</xdr:colOff>
      <xdr:row>0</xdr:row>
      <xdr:rowOff>581025</xdr:rowOff>
    </xdr:to>
    <xdr:sp macro="[0]!asht18">
      <xdr:nvSpPr>
        <xdr:cNvPr id="14" name="12">
          <a:hlinkClick xmlns:r="http://schemas.openxmlformats.org/officeDocument/2006/relationships" r:id="rId1"/>
        </xdr:cNvPr>
        <xdr:cNvSpPr/>
      </xdr:nvSpPr>
      <xdr:spPr>
        <a:xfrm>
          <a:off x="1565910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226695</xdr:rowOff>
    </xdr:from>
    <xdr:to>
      <xdr:col>25</xdr:col>
      <xdr:colOff>285750</xdr:colOff>
      <xdr:row>0</xdr:row>
      <xdr:rowOff>581025</xdr:rowOff>
    </xdr:to>
    <xdr:sp macro="[0]!asht18">
      <xdr:nvSpPr>
        <xdr:cNvPr id="15" name="12">
          <a:hlinkClick xmlns:r="http://schemas.openxmlformats.org/officeDocument/2006/relationships" r:id="rId2"/>
        </xdr:cNvPr>
        <xdr:cNvSpPr/>
      </xdr:nvSpPr>
      <xdr:spPr>
        <a:xfrm>
          <a:off x="164509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287020</xdr:colOff>
      <xdr:row>0</xdr:row>
      <xdr:rowOff>226695</xdr:rowOff>
    </xdr:from>
    <xdr:to>
      <xdr:col>26</xdr:col>
      <xdr:colOff>419100</xdr:colOff>
      <xdr:row>0</xdr:row>
      <xdr:rowOff>581025</xdr:rowOff>
    </xdr:to>
    <xdr:sp macro="[0]!asht18">
      <xdr:nvSpPr>
        <xdr:cNvPr id="16" name="12">
          <a:hlinkClick xmlns:r="http://schemas.openxmlformats.org/officeDocument/2006/relationships" r:id="rId3"/>
        </xdr:cNvPr>
        <xdr:cNvSpPr/>
      </xdr:nvSpPr>
      <xdr:spPr>
        <a:xfrm>
          <a:off x="172700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372745</xdr:colOff>
      <xdr:row>0</xdr:row>
      <xdr:rowOff>226695</xdr:rowOff>
    </xdr:from>
    <xdr:to>
      <xdr:col>27</xdr:col>
      <xdr:colOff>504825</xdr:colOff>
      <xdr:row>0</xdr:row>
      <xdr:rowOff>581025</xdr:rowOff>
    </xdr:to>
    <xdr:sp macro="[0]!asht18">
      <xdr:nvSpPr>
        <xdr:cNvPr id="17" name="12">
          <a:hlinkClick xmlns:r="http://schemas.openxmlformats.org/officeDocument/2006/relationships" r:id="rId4"/>
        </xdr:cNvPr>
        <xdr:cNvSpPr/>
      </xdr:nvSpPr>
      <xdr:spPr>
        <a:xfrm>
          <a:off x="18041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477520</xdr:colOff>
      <xdr:row>0</xdr:row>
      <xdr:rowOff>226695</xdr:rowOff>
    </xdr:from>
    <xdr:to>
      <xdr:col>28</xdr:col>
      <xdr:colOff>609600</xdr:colOff>
      <xdr:row>0</xdr:row>
      <xdr:rowOff>581025</xdr:rowOff>
    </xdr:to>
    <xdr:sp macro="[0]!asht18">
      <xdr:nvSpPr>
        <xdr:cNvPr id="18" name="12">
          <a:hlinkClick xmlns:r="http://schemas.openxmlformats.org/officeDocument/2006/relationships" r:id="rId5"/>
        </xdr:cNvPr>
        <xdr:cNvSpPr/>
      </xdr:nvSpPr>
      <xdr:spPr>
        <a:xfrm>
          <a:off x="18832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668020</xdr:colOff>
      <xdr:row>0</xdr:row>
      <xdr:rowOff>226695</xdr:rowOff>
    </xdr:from>
    <xdr:to>
      <xdr:col>30</xdr:col>
      <xdr:colOff>114300</xdr:colOff>
      <xdr:row>0</xdr:row>
      <xdr:rowOff>581025</xdr:rowOff>
    </xdr:to>
    <xdr:sp macro="[0]!asht18">
      <xdr:nvSpPr>
        <xdr:cNvPr id="31" name="12">
          <a:hlinkClick xmlns:r="http://schemas.openxmlformats.org/officeDocument/2006/relationships" r:id="rId6"/>
        </xdr:cNvPr>
        <xdr:cNvSpPr/>
      </xdr:nvSpPr>
      <xdr:spPr>
        <a:xfrm>
          <a:off x="197084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153670</xdr:colOff>
      <xdr:row>0</xdr:row>
      <xdr:rowOff>226695</xdr:rowOff>
    </xdr:from>
    <xdr:to>
      <xdr:col>31</xdr:col>
      <xdr:colOff>285750</xdr:colOff>
      <xdr:row>0</xdr:row>
      <xdr:rowOff>581025</xdr:rowOff>
    </xdr:to>
    <xdr:sp macro="[0]!asht18">
      <xdr:nvSpPr>
        <xdr:cNvPr id="43" name="12">
          <a:hlinkClick xmlns:r="http://schemas.openxmlformats.org/officeDocument/2006/relationships" r:id="rId7"/>
        </xdr:cNvPr>
        <xdr:cNvSpPr/>
      </xdr:nvSpPr>
      <xdr:spPr>
        <a:xfrm>
          <a:off x="205657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372745</xdr:colOff>
      <xdr:row>0</xdr:row>
      <xdr:rowOff>226695</xdr:rowOff>
    </xdr:from>
    <xdr:to>
      <xdr:col>32</xdr:col>
      <xdr:colOff>504825</xdr:colOff>
      <xdr:row>0</xdr:row>
      <xdr:rowOff>581025</xdr:rowOff>
    </xdr:to>
    <xdr:sp macro="[0]!asht18">
      <xdr:nvSpPr>
        <xdr:cNvPr id="44" name="12">
          <a:hlinkClick xmlns:r="http://schemas.openxmlformats.org/officeDocument/2006/relationships" r:id="rId8"/>
        </xdr:cNvPr>
        <xdr:cNvSpPr/>
      </xdr:nvSpPr>
      <xdr:spPr>
        <a:xfrm>
          <a:off x="21470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477520</xdr:colOff>
      <xdr:row>0</xdr:row>
      <xdr:rowOff>226695</xdr:rowOff>
    </xdr:from>
    <xdr:to>
      <xdr:col>33</xdr:col>
      <xdr:colOff>609600</xdr:colOff>
      <xdr:row>0</xdr:row>
      <xdr:rowOff>581025</xdr:rowOff>
    </xdr:to>
    <xdr:sp macro="[0]!asht18">
      <xdr:nvSpPr>
        <xdr:cNvPr id="45" name="12">
          <a:hlinkClick xmlns:r="http://schemas.openxmlformats.org/officeDocument/2006/relationships" r:id="rId9"/>
        </xdr:cNvPr>
        <xdr:cNvSpPr/>
      </xdr:nvSpPr>
      <xdr:spPr>
        <a:xfrm>
          <a:off x="22261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29845</xdr:colOff>
      <xdr:row>0</xdr:row>
      <xdr:rowOff>226695</xdr:rowOff>
    </xdr:from>
    <xdr:to>
      <xdr:col>35</xdr:col>
      <xdr:colOff>161925</xdr:colOff>
      <xdr:row>0</xdr:row>
      <xdr:rowOff>581025</xdr:rowOff>
    </xdr:to>
    <xdr:sp macro="[0]!asht18">
      <xdr:nvSpPr>
        <xdr:cNvPr id="46" name="12">
          <a:hlinkClick xmlns:r="http://schemas.openxmlformats.org/officeDocument/2006/relationships" r:id="rId10"/>
        </xdr:cNvPr>
        <xdr:cNvSpPr/>
      </xdr:nvSpPr>
      <xdr:spPr>
        <a:xfrm>
          <a:off x="231851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163195</xdr:colOff>
      <xdr:row>0</xdr:row>
      <xdr:rowOff>226695</xdr:rowOff>
    </xdr:from>
    <xdr:to>
      <xdr:col>36</xdr:col>
      <xdr:colOff>295275</xdr:colOff>
      <xdr:row>0</xdr:row>
      <xdr:rowOff>581025</xdr:rowOff>
    </xdr:to>
    <xdr:sp macro="[0]!asht18">
      <xdr:nvSpPr>
        <xdr:cNvPr id="47" name="12">
          <a:hlinkClick xmlns:r="http://schemas.openxmlformats.org/officeDocument/2006/relationships" r:id="rId11"/>
        </xdr:cNvPr>
        <xdr:cNvSpPr/>
      </xdr:nvSpPr>
      <xdr:spPr>
        <a:xfrm>
          <a:off x="240042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299720</xdr:colOff>
      <xdr:row>0</xdr:row>
      <xdr:rowOff>226695</xdr:rowOff>
    </xdr:from>
    <xdr:to>
      <xdr:col>37</xdr:col>
      <xdr:colOff>431800</xdr:colOff>
      <xdr:row>0</xdr:row>
      <xdr:rowOff>581025</xdr:rowOff>
    </xdr:to>
    <xdr:sp macro="[0]!asht18">
      <xdr:nvSpPr>
        <xdr:cNvPr id="48" name="12">
          <a:hlinkClick xmlns:r="http://schemas.openxmlformats.org/officeDocument/2006/relationships" r:id="rId12"/>
        </xdr:cNvPr>
        <xdr:cNvSpPr/>
      </xdr:nvSpPr>
      <xdr:spPr>
        <a:xfrm>
          <a:off x="248265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37</xdr:col>
      <xdr:colOff>599440</xdr:colOff>
      <xdr:row>0</xdr:row>
      <xdr:rowOff>624205</xdr:rowOff>
    </xdr:to>
    <xdr:sp>
      <xdr:nvSpPr>
        <xdr:cNvPr id="24" name="圆角矩形 14"/>
        <xdr:cNvSpPr/>
      </xdr:nvSpPr>
      <xdr:spPr>
        <a:xfrm>
          <a:off x="1118235" y="127000"/>
          <a:ext cx="2469388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76200</xdr:colOff>
      <xdr:row>0</xdr:row>
      <xdr:rowOff>207645</xdr:rowOff>
    </xdr:from>
    <xdr:to>
      <xdr:col>24</xdr:col>
      <xdr:colOff>208280</xdr:colOff>
      <xdr:row>0</xdr:row>
      <xdr:rowOff>561975</xdr:rowOff>
    </xdr:to>
    <xdr:sp macro="[0]!asht18">
      <xdr:nvSpPr>
        <xdr:cNvPr id="1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182245</xdr:colOff>
      <xdr:row>0</xdr:row>
      <xdr:rowOff>207645</xdr:rowOff>
    </xdr:from>
    <xdr:to>
      <xdr:col>25</xdr:col>
      <xdr:colOff>314325</xdr:colOff>
      <xdr:row>0</xdr:row>
      <xdr:rowOff>561975</xdr:rowOff>
    </xdr:to>
    <xdr:sp macro="[0]!asht18">
      <xdr:nvSpPr>
        <xdr:cNvPr id="1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315595</xdr:colOff>
      <xdr:row>0</xdr:row>
      <xdr:rowOff>207645</xdr:rowOff>
    </xdr:from>
    <xdr:to>
      <xdr:col>26</xdr:col>
      <xdr:colOff>447675</xdr:colOff>
      <xdr:row>0</xdr:row>
      <xdr:rowOff>561975</xdr:rowOff>
    </xdr:to>
    <xdr:sp macro="[0]!asht18">
      <xdr:nvSpPr>
        <xdr:cNvPr id="16" name="12">
          <a:hlinkClick xmlns:r="http://schemas.openxmlformats.org/officeDocument/2006/relationships" r:id="rId3"/>
        </xdr:cNvPr>
        <xdr:cNvSpPr/>
      </xdr:nvSpPr>
      <xdr:spPr>
        <a:xfrm>
          <a:off x="17298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401320</xdr:colOff>
      <xdr:row>0</xdr:row>
      <xdr:rowOff>207645</xdr:rowOff>
    </xdr:from>
    <xdr:to>
      <xdr:col>27</xdr:col>
      <xdr:colOff>533400</xdr:colOff>
      <xdr:row>0</xdr:row>
      <xdr:rowOff>561975</xdr:rowOff>
    </xdr:to>
    <xdr:sp macro="[0]!asht18">
      <xdr:nvSpPr>
        <xdr:cNvPr id="1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506095</xdr:colOff>
      <xdr:row>0</xdr:row>
      <xdr:rowOff>207645</xdr:rowOff>
    </xdr:from>
    <xdr:to>
      <xdr:col>28</xdr:col>
      <xdr:colOff>638175</xdr:colOff>
      <xdr:row>0</xdr:row>
      <xdr:rowOff>561975</xdr:rowOff>
    </xdr:to>
    <xdr:sp macro="[0]!asht18">
      <xdr:nvSpPr>
        <xdr:cNvPr id="1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10795</xdr:colOff>
      <xdr:row>0</xdr:row>
      <xdr:rowOff>207645</xdr:rowOff>
    </xdr:from>
    <xdr:to>
      <xdr:col>30</xdr:col>
      <xdr:colOff>142875</xdr:colOff>
      <xdr:row>0</xdr:row>
      <xdr:rowOff>561975</xdr:rowOff>
    </xdr:to>
    <xdr:sp macro="[0]!asht18">
      <xdr:nvSpPr>
        <xdr:cNvPr id="1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182245</xdr:colOff>
      <xdr:row>0</xdr:row>
      <xdr:rowOff>207645</xdr:rowOff>
    </xdr:from>
    <xdr:to>
      <xdr:col>31</xdr:col>
      <xdr:colOff>314325</xdr:colOff>
      <xdr:row>0</xdr:row>
      <xdr:rowOff>561975</xdr:rowOff>
    </xdr:to>
    <xdr:sp macro="[0]!asht18">
      <xdr:nvSpPr>
        <xdr:cNvPr id="43"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401320</xdr:colOff>
      <xdr:row>0</xdr:row>
      <xdr:rowOff>207645</xdr:rowOff>
    </xdr:from>
    <xdr:to>
      <xdr:col>32</xdr:col>
      <xdr:colOff>533400</xdr:colOff>
      <xdr:row>0</xdr:row>
      <xdr:rowOff>561975</xdr:rowOff>
    </xdr:to>
    <xdr:sp macro="[0]!asht18">
      <xdr:nvSpPr>
        <xdr:cNvPr id="44"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506095</xdr:colOff>
      <xdr:row>0</xdr:row>
      <xdr:rowOff>207645</xdr:rowOff>
    </xdr:from>
    <xdr:to>
      <xdr:col>33</xdr:col>
      <xdr:colOff>638175</xdr:colOff>
      <xdr:row>0</xdr:row>
      <xdr:rowOff>561975</xdr:rowOff>
    </xdr:to>
    <xdr:sp macro="[0]!asht18">
      <xdr:nvSpPr>
        <xdr:cNvPr id="45"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58420</xdr:colOff>
      <xdr:row>0</xdr:row>
      <xdr:rowOff>207645</xdr:rowOff>
    </xdr:from>
    <xdr:to>
      <xdr:col>35</xdr:col>
      <xdr:colOff>190500</xdr:colOff>
      <xdr:row>0</xdr:row>
      <xdr:rowOff>561975</xdr:rowOff>
    </xdr:to>
    <xdr:sp macro="[0]!asht18">
      <xdr:nvSpPr>
        <xdr:cNvPr id="46"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191770</xdr:colOff>
      <xdr:row>0</xdr:row>
      <xdr:rowOff>207645</xdr:rowOff>
    </xdr:from>
    <xdr:to>
      <xdr:col>36</xdr:col>
      <xdr:colOff>323850</xdr:colOff>
      <xdr:row>0</xdr:row>
      <xdr:rowOff>561975</xdr:rowOff>
    </xdr:to>
    <xdr:sp macro="[0]!asht18">
      <xdr:nvSpPr>
        <xdr:cNvPr id="47"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328295</xdr:colOff>
      <xdr:row>0</xdr:row>
      <xdr:rowOff>207645</xdr:rowOff>
    </xdr:from>
    <xdr:to>
      <xdr:col>37</xdr:col>
      <xdr:colOff>460375</xdr:colOff>
      <xdr:row>0</xdr:row>
      <xdr:rowOff>561975</xdr:rowOff>
    </xdr:to>
    <xdr:sp macro="[0]!asht18">
      <xdr:nvSpPr>
        <xdr:cNvPr id="48"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36</xdr:col>
      <xdr:colOff>27305</xdr:colOff>
      <xdr:row>0</xdr:row>
      <xdr:rowOff>624205</xdr:rowOff>
    </xdr:to>
    <xdr:sp>
      <xdr:nvSpPr>
        <xdr:cNvPr id="24" name="圆角矩形 14"/>
        <xdr:cNvSpPr/>
      </xdr:nvSpPr>
      <xdr:spPr>
        <a:xfrm>
          <a:off x="1118235" y="127000"/>
          <a:ext cx="246741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200025</xdr:colOff>
      <xdr:row>0</xdr:row>
      <xdr:rowOff>207645</xdr:rowOff>
    </xdr:from>
    <xdr:to>
      <xdr:col>22</xdr:col>
      <xdr:colOff>332105</xdr:colOff>
      <xdr:row>0</xdr:row>
      <xdr:rowOff>561975</xdr:rowOff>
    </xdr:to>
    <xdr:sp macro="[0]!asht18">
      <xdr:nvSpPr>
        <xdr:cNvPr id="2" name="12">
          <a:hlinkClick xmlns:r="http://schemas.openxmlformats.org/officeDocument/2006/relationships" r:id="rId1"/>
        </xdr:cNvPr>
        <xdr:cNvSpPr/>
      </xdr:nvSpPr>
      <xdr:spPr>
        <a:xfrm>
          <a:off x="1567815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306070</xdr:colOff>
      <xdr:row>0</xdr:row>
      <xdr:rowOff>207645</xdr:rowOff>
    </xdr:from>
    <xdr:to>
      <xdr:col>23</xdr:col>
      <xdr:colOff>438150</xdr:colOff>
      <xdr:row>0</xdr:row>
      <xdr:rowOff>561975</xdr:rowOff>
    </xdr:to>
    <xdr:sp macro="[0]!asht18">
      <xdr:nvSpPr>
        <xdr:cNvPr id="3" name="12">
          <a:hlinkClick xmlns:r="http://schemas.openxmlformats.org/officeDocument/2006/relationships" r:id="rId2"/>
        </xdr:cNvPr>
        <xdr:cNvSpPr/>
      </xdr:nvSpPr>
      <xdr:spPr>
        <a:xfrm>
          <a:off x="164699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439420</xdr:colOff>
      <xdr:row>0</xdr:row>
      <xdr:rowOff>207645</xdr:rowOff>
    </xdr:from>
    <xdr:to>
      <xdr:col>24</xdr:col>
      <xdr:colOff>571500</xdr:colOff>
      <xdr:row>0</xdr:row>
      <xdr:rowOff>561975</xdr:rowOff>
    </xdr:to>
    <xdr:sp macro="[0]!asht18">
      <xdr:nvSpPr>
        <xdr:cNvPr id="4" name="12">
          <a:hlinkClick xmlns:r="http://schemas.openxmlformats.org/officeDocument/2006/relationships" r:id="rId3"/>
        </xdr:cNvPr>
        <xdr:cNvSpPr/>
      </xdr:nvSpPr>
      <xdr:spPr>
        <a:xfrm>
          <a:off x="172891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0]!asht18">
      <xdr:nvSpPr>
        <xdr:cNvPr id="5" name="12">
          <a:hlinkClick xmlns:r="http://schemas.openxmlformats.org/officeDocument/2006/relationships" r:id="rId4"/>
        </xdr:cNvPr>
        <xdr:cNvSpPr/>
      </xdr:nvSpPr>
      <xdr:spPr>
        <a:xfrm>
          <a:off x="18060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629920</xdr:colOff>
      <xdr:row>0</xdr:row>
      <xdr:rowOff>207645</xdr:rowOff>
    </xdr:from>
    <xdr:to>
      <xdr:col>27</xdr:col>
      <xdr:colOff>76200</xdr:colOff>
      <xdr:row>0</xdr:row>
      <xdr:rowOff>561975</xdr:rowOff>
    </xdr:to>
    <xdr:sp macro="[0]!asht18">
      <xdr:nvSpPr>
        <xdr:cNvPr id="6" name="12">
          <a:hlinkClick xmlns:r="http://schemas.openxmlformats.org/officeDocument/2006/relationships" r:id="rId5"/>
        </xdr:cNvPr>
        <xdr:cNvSpPr/>
      </xdr:nvSpPr>
      <xdr:spPr>
        <a:xfrm>
          <a:off x="18851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207645</xdr:rowOff>
    </xdr:from>
    <xdr:to>
      <xdr:col>28</xdr:col>
      <xdr:colOff>266700</xdr:colOff>
      <xdr:row>0</xdr:row>
      <xdr:rowOff>561975</xdr:rowOff>
    </xdr:to>
    <xdr:sp macro="[0]!asht18">
      <xdr:nvSpPr>
        <xdr:cNvPr id="7" name="12">
          <a:hlinkClick xmlns:r="http://schemas.openxmlformats.org/officeDocument/2006/relationships" r:id="rId6"/>
        </xdr:cNvPr>
        <xdr:cNvSpPr/>
      </xdr:nvSpPr>
      <xdr:spPr>
        <a:xfrm>
          <a:off x="197275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306070</xdr:colOff>
      <xdr:row>0</xdr:row>
      <xdr:rowOff>207645</xdr:rowOff>
    </xdr:from>
    <xdr:to>
      <xdr:col>29</xdr:col>
      <xdr:colOff>438150</xdr:colOff>
      <xdr:row>0</xdr:row>
      <xdr:rowOff>561975</xdr:rowOff>
    </xdr:to>
    <xdr:sp macro="[0]!asht18">
      <xdr:nvSpPr>
        <xdr:cNvPr id="8" name="12">
          <a:hlinkClick xmlns:r="http://schemas.openxmlformats.org/officeDocument/2006/relationships" r:id="rId7"/>
        </xdr:cNvPr>
        <xdr:cNvSpPr/>
      </xdr:nvSpPr>
      <xdr:spPr>
        <a:xfrm>
          <a:off x="205847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525145</xdr:colOff>
      <xdr:row>0</xdr:row>
      <xdr:rowOff>207645</xdr:rowOff>
    </xdr:from>
    <xdr:to>
      <xdr:col>30</xdr:col>
      <xdr:colOff>657225</xdr:colOff>
      <xdr:row>0</xdr:row>
      <xdr:rowOff>561975</xdr:rowOff>
    </xdr:to>
    <xdr:sp macro="[0]!asht18">
      <xdr:nvSpPr>
        <xdr:cNvPr id="9" name="12">
          <a:hlinkClick xmlns:r="http://schemas.openxmlformats.org/officeDocument/2006/relationships" r:id="rId8"/>
        </xdr:cNvPr>
        <xdr:cNvSpPr/>
      </xdr:nvSpPr>
      <xdr:spPr>
        <a:xfrm>
          <a:off x="21489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629920</xdr:colOff>
      <xdr:row>0</xdr:row>
      <xdr:rowOff>207645</xdr:rowOff>
    </xdr:from>
    <xdr:to>
      <xdr:col>32</xdr:col>
      <xdr:colOff>76200</xdr:colOff>
      <xdr:row>0</xdr:row>
      <xdr:rowOff>561975</xdr:rowOff>
    </xdr:to>
    <xdr:sp macro="[0]!asht18">
      <xdr:nvSpPr>
        <xdr:cNvPr id="10" name="12">
          <a:hlinkClick xmlns:r="http://schemas.openxmlformats.org/officeDocument/2006/relationships" r:id="rId9"/>
        </xdr:cNvPr>
        <xdr:cNvSpPr/>
      </xdr:nvSpPr>
      <xdr:spPr>
        <a:xfrm>
          <a:off x="22280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182245</xdr:colOff>
      <xdr:row>0</xdr:row>
      <xdr:rowOff>207645</xdr:rowOff>
    </xdr:from>
    <xdr:to>
      <xdr:col>33</xdr:col>
      <xdr:colOff>314325</xdr:colOff>
      <xdr:row>0</xdr:row>
      <xdr:rowOff>561975</xdr:rowOff>
    </xdr:to>
    <xdr:sp macro="[0]!asht18">
      <xdr:nvSpPr>
        <xdr:cNvPr id="11" name="12">
          <a:hlinkClick xmlns:r="http://schemas.openxmlformats.org/officeDocument/2006/relationships" r:id="rId10"/>
        </xdr:cNvPr>
        <xdr:cNvSpPr/>
      </xdr:nvSpPr>
      <xdr:spPr>
        <a:xfrm>
          <a:off x="23204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315595</xdr:colOff>
      <xdr:row>0</xdr:row>
      <xdr:rowOff>207645</xdr:rowOff>
    </xdr:from>
    <xdr:to>
      <xdr:col>34</xdr:col>
      <xdr:colOff>447675</xdr:colOff>
      <xdr:row>0</xdr:row>
      <xdr:rowOff>561975</xdr:rowOff>
    </xdr:to>
    <xdr:sp macro="[0]!asht18">
      <xdr:nvSpPr>
        <xdr:cNvPr id="12" name="12">
          <a:hlinkClick xmlns:r="http://schemas.openxmlformats.org/officeDocument/2006/relationships" r:id="rId11"/>
        </xdr:cNvPr>
        <xdr:cNvSpPr/>
      </xdr:nvSpPr>
      <xdr:spPr>
        <a:xfrm>
          <a:off x="24023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452120</xdr:colOff>
      <xdr:row>0</xdr:row>
      <xdr:rowOff>207645</xdr:rowOff>
    </xdr:from>
    <xdr:to>
      <xdr:col>35</xdr:col>
      <xdr:colOff>584200</xdr:colOff>
      <xdr:row>0</xdr:row>
      <xdr:rowOff>561975</xdr:rowOff>
    </xdr:to>
    <xdr:sp macro="[0]!asht18">
      <xdr:nvSpPr>
        <xdr:cNvPr id="13" name="12">
          <a:hlinkClick xmlns:r="http://schemas.openxmlformats.org/officeDocument/2006/relationships" r:id="rId12"/>
        </xdr:cNvPr>
        <xdr:cNvSpPr/>
      </xdr:nvSpPr>
      <xdr:spPr>
        <a:xfrm>
          <a:off x="2484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9">
      <xdr:nvSpPr>
        <xdr:cNvPr id="2" name="圆角矩形 1"/>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6</xdr:col>
      <xdr:colOff>415925</xdr:colOff>
      <xdr:row>1</xdr:row>
      <xdr:rowOff>441325</xdr:rowOff>
    </xdr:to>
    <xdr:sp macro="[0]!save19">
      <xdr:nvSpPr>
        <xdr:cNvPr id="3" name="圆角矩形 2"/>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88900</xdr:colOff>
      <xdr:row>1</xdr:row>
      <xdr:rowOff>50800</xdr:rowOff>
    </xdr:from>
    <xdr:to>
      <xdr:col>8</xdr:col>
      <xdr:colOff>469900</xdr:colOff>
      <xdr:row>1</xdr:row>
      <xdr:rowOff>441325</xdr:rowOff>
    </xdr:to>
    <xdr:sp macro="[0]!PLSC">
      <xdr:nvSpPr>
        <xdr:cNvPr id="4" name="圆角矩形 3"/>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41</xdr:col>
      <xdr:colOff>66040</xdr:colOff>
      <xdr:row>0</xdr:row>
      <xdr:rowOff>624205</xdr:rowOff>
    </xdr:to>
    <xdr:sp>
      <xdr:nvSpPr>
        <xdr:cNvPr id="6" name="圆角矩形 14"/>
        <xdr:cNvSpPr/>
      </xdr:nvSpPr>
      <xdr:spPr>
        <a:xfrm>
          <a:off x="1118235" y="127000"/>
          <a:ext cx="2497010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6</xdr:col>
      <xdr:colOff>140335</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179705</xdr:colOff>
      <xdr:row>0</xdr:row>
      <xdr:rowOff>203200</xdr:rowOff>
    </xdr:from>
    <xdr:to>
      <xdr:col>7</xdr:col>
      <xdr:colOff>309245</xdr:colOff>
      <xdr:row>0</xdr:row>
      <xdr:rowOff>557530</xdr:rowOff>
    </xdr:to>
    <xdr:sp macro="[0]!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348615</xdr:colOff>
      <xdr:row>0</xdr:row>
      <xdr:rowOff>203200</xdr:rowOff>
    </xdr:from>
    <xdr:to>
      <xdr:col>8</xdr:col>
      <xdr:colOff>478155</xdr:colOff>
      <xdr:row>0</xdr:row>
      <xdr:rowOff>557530</xdr:rowOff>
    </xdr:to>
    <xdr:sp macro="[0]!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517525</xdr:colOff>
      <xdr:row>0</xdr:row>
      <xdr:rowOff>203200</xdr:rowOff>
    </xdr:from>
    <xdr:to>
      <xdr:col>9</xdr:col>
      <xdr:colOff>647700</xdr:colOff>
      <xdr:row>0</xdr:row>
      <xdr:rowOff>557530</xdr:rowOff>
    </xdr:to>
    <xdr:sp macro="[0]!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1270</xdr:colOff>
      <xdr:row>0</xdr:row>
      <xdr:rowOff>203200</xdr:rowOff>
    </xdr:from>
    <xdr:to>
      <xdr:col>12</xdr:col>
      <xdr:colOff>130175</xdr:colOff>
      <xdr:row>0</xdr:row>
      <xdr:rowOff>557530</xdr:rowOff>
    </xdr:to>
    <xdr:sp macro="[0]!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169545</xdr:colOff>
      <xdr:row>0</xdr:row>
      <xdr:rowOff>203200</xdr:rowOff>
    </xdr:from>
    <xdr:to>
      <xdr:col>13</xdr:col>
      <xdr:colOff>299085</xdr:colOff>
      <xdr:row>0</xdr:row>
      <xdr:rowOff>557530</xdr:rowOff>
    </xdr:to>
    <xdr:sp macro="[0]!asht5">
      <xdr:nvSpPr>
        <xdr:cNvPr id="13"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338455</xdr:colOff>
      <xdr:row>0</xdr:row>
      <xdr:rowOff>203200</xdr:rowOff>
    </xdr:from>
    <xdr:to>
      <xdr:col>14</xdr:col>
      <xdr:colOff>467995</xdr:colOff>
      <xdr:row>0</xdr:row>
      <xdr:rowOff>557530</xdr:rowOff>
    </xdr:to>
    <xdr:sp macro="[0]!asht6">
      <xdr:nvSpPr>
        <xdr:cNvPr id="14"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507365</xdr:colOff>
      <xdr:row>0</xdr:row>
      <xdr:rowOff>203200</xdr:rowOff>
    </xdr:from>
    <xdr:to>
      <xdr:col>15</xdr:col>
      <xdr:colOff>637540</xdr:colOff>
      <xdr:row>0</xdr:row>
      <xdr:rowOff>557530</xdr:rowOff>
    </xdr:to>
    <xdr:sp macro="[0]!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676910</xdr:colOff>
      <xdr:row>0</xdr:row>
      <xdr:rowOff>203200</xdr:rowOff>
    </xdr:from>
    <xdr:to>
      <xdr:col>17</xdr:col>
      <xdr:colOff>120650</xdr:colOff>
      <xdr:row>0</xdr:row>
      <xdr:rowOff>557530</xdr:rowOff>
    </xdr:to>
    <xdr:sp macro="[0]!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160020</xdr:colOff>
      <xdr:row>0</xdr:row>
      <xdr:rowOff>203200</xdr:rowOff>
    </xdr:from>
    <xdr:to>
      <xdr:col>18</xdr:col>
      <xdr:colOff>289560</xdr:colOff>
      <xdr:row>0</xdr:row>
      <xdr:rowOff>557530</xdr:rowOff>
    </xdr:to>
    <xdr:sp macro="[0]!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328930</xdr:colOff>
      <xdr:row>0</xdr:row>
      <xdr:rowOff>203200</xdr:rowOff>
    </xdr:from>
    <xdr:to>
      <xdr:col>19</xdr:col>
      <xdr:colOff>461010</xdr:colOff>
      <xdr:row>0</xdr:row>
      <xdr:rowOff>557530</xdr:rowOff>
    </xdr:to>
    <xdr:sp macro="[0]!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仓库资料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19</xdr:col>
      <xdr:colOff>500380</xdr:colOff>
      <xdr:row>0</xdr:row>
      <xdr:rowOff>203200</xdr:rowOff>
    </xdr:from>
    <xdr:to>
      <xdr:col>20</xdr:col>
      <xdr:colOff>632460</xdr:colOff>
      <xdr:row>0</xdr:row>
      <xdr:rowOff>557530</xdr:rowOff>
    </xdr:to>
    <xdr:sp macro="[0]!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671830</xdr:colOff>
      <xdr:row>0</xdr:row>
      <xdr:rowOff>203200</xdr:rowOff>
    </xdr:from>
    <xdr:to>
      <xdr:col>22</xdr:col>
      <xdr:colOff>118110</xdr:colOff>
      <xdr:row>0</xdr:row>
      <xdr:rowOff>557530</xdr:rowOff>
    </xdr:to>
    <xdr:sp macro="[0]!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157480</xdr:colOff>
      <xdr:row>0</xdr:row>
      <xdr:rowOff>203200</xdr:rowOff>
    </xdr:from>
    <xdr:to>
      <xdr:col>23</xdr:col>
      <xdr:colOff>289560</xdr:colOff>
      <xdr:row>0</xdr:row>
      <xdr:rowOff>557530</xdr:rowOff>
    </xdr:to>
    <xdr:sp macro="[0]!asht12">
      <xdr:nvSpPr>
        <xdr:cNvPr id="22" name="12"/>
        <xdr:cNvSpPr/>
      </xdr:nvSpPr>
      <xdr:spPr>
        <a:xfrm>
          <a:off x="13149580" y="203200"/>
          <a:ext cx="81788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sym typeface="+mn-ea"/>
          </a:endParaRPr>
        </a:p>
      </xdr:txBody>
    </xdr:sp>
    <xdr:clientData/>
  </xdr:twoCellAnchor>
  <xdr:twoCellAnchor editAs="absolute">
    <xdr:from>
      <xdr:col>23</xdr:col>
      <xdr:colOff>328930</xdr:colOff>
      <xdr:row>0</xdr:row>
      <xdr:rowOff>203200</xdr:rowOff>
    </xdr:from>
    <xdr:to>
      <xdr:col>24</xdr:col>
      <xdr:colOff>461010</xdr:colOff>
      <xdr:row>0</xdr:row>
      <xdr:rowOff>557530</xdr:rowOff>
    </xdr:to>
    <xdr:sp macro="[0]!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528955</xdr:colOff>
      <xdr:row>0</xdr:row>
      <xdr:rowOff>222250</xdr:rowOff>
    </xdr:from>
    <xdr:to>
      <xdr:col>25</xdr:col>
      <xdr:colOff>661035</xdr:colOff>
      <xdr:row>0</xdr:row>
      <xdr:rowOff>576580</xdr:rowOff>
    </xdr:to>
    <xdr:sp macro="[0]!asht18">
      <xdr:nvSpPr>
        <xdr:cNvPr id="24" name="12"/>
        <xdr:cNvSpPr/>
      </xdr:nvSpPr>
      <xdr:spPr>
        <a:xfrm>
          <a:off x="14892655" y="2222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609600</xdr:colOff>
      <xdr:row>0</xdr:row>
      <xdr:rowOff>207645</xdr:rowOff>
    </xdr:from>
    <xdr:to>
      <xdr:col>27</xdr:col>
      <xdr:colOff>55880</xdr:colOff>
      <xdr:row>0</xdr:row>
      <xdr:rowOff>561975</xdr:rowOff>
    </xdr:to>
    <xdr:sp macro="[0]!asht18">
      <xdr:nvSpPr>
        <xdr:cNvPr id="5" name="12">
          <a:hlinkClick xmlns:r="http://schemas.openxmlformats.org/officeDocument/2006/relationships" r:id="rId1"/>
        </xdr:cNvPr>
        <xdr:cNvSpPr/>
      </xdr:nvSpPr>
      <xdr:spPr>
        <a:xfrm>
          <a:off x="156591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29845</xdr:colOff>
      <xdr:row>0</xdr:row>
      <xdr:rowOff>207645</xdr:rowOff>
    </xdr:from>
    <xdr:to>
      <xdr:col>28</xdr:col>
      <xdr:colOff>161925</xdr:colOff>
      <xdr:row>0</xdr:row>
      <xdr:rowOff>561975</xdr:rowOff>
    </xdr:to>
    <xdr:sp macro="[0]!asht18">
      <xdr:nvSpPr>
        <xdr:cNvPr id="25" name="12">
          <a:hlinkClick xmlns:r="http://schemas.openxmlformats.org/officeDocument/2006/relationships" r:id="rId2"/>
        </xdr:cNvPr>
        <xdr:cNvSpPr/>
      </xdr:nvSpPr>
      <xdr:spPr>
        <a:xfrm>
          <a:off x="164509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207645</xdr:rowOff>
    </xdr:from>
    <xdr:to>
      <xdr:col>29</xdr:col>
      <xdr:colOff>295275</xdr:colOff>
      <xdr:row>0</xdr:row>
      <xdr:rowOff>561975</xdr:rowOff>
    </xdr:to>
    <xdr:sp macro="[0]!asht18">
      <xdr:nvSpPr>
        <xdr:cNvPr id="26" name="12">
          <a:hlinkClick xmlns:r="http://schemas.openxmlformats.org/officeDocument/2006/relationships" r:id="rId3"/>
        </xdr:cNvPr>
        <xdr:cNvSpPr/>
      </xdr:nvSpPr>
      <xdr:spPr>
        <a:xfrm>
          <a:off x="17270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248920</xdr:colOff>
      <xdr:row>0</xdr:row>
      <xdr:rowOff>207645</xdr:rowOff>
    </xdr:from>
    <xdr:to>
      <xdr:col>30</xdr:col>
      <xdr:colOff>381000</xdr:colOff>
      <xdr:row>0</xdr:row>
      <xdr:rowOff>561975</xdr:rowOff>
    </xdr:to>
    <xdr:sp macro="[0]!asht18">
      <xdr:nvSpPr>
        <xdr:cNvPr id="27" name="12">
          <a:hlinkClick xmlns:r="http://schemas.openxmlformats.org/officeDocument/2006/relationships" r:id="rId4"/>
        </xdr:cNvPr>
        <xdr:cNvSpPr/>
      </xdr:nvSpPr>
      <xdr:spPr>
        <a:xfrm>
          <a:off x="18041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353695</xdr:colOff>
      <xdr:row>0</xdr:row>
      <xdr:rowOff>207645</xdr:rowOff>
    </xdr:from>
    <xdr:to>
      <xdr:col>31</xdr:col>
      <xdr:colOff>485775</xdr:colOff>
      <xdr:row>0</xdr:row>
      <xdr:rowOff>561975</xdr:rowOff>
    </xdr:to>
    <xdr:sp macro="[0]!asht18">
      <xdr:nvSpPr>
        <xdr:cNvPr id="28" name="12">
          <a:hlinkClick xmlns:r="http://schemas.openxmlformats.org/officeDocument/2006/relationships" r:id="rId5"/>
        </xdr:cNvPr>
        <xdr:cNvSpPr/>
      </xdr:nvSpPr>
      <xdr:spPr>
        <a:xfrm>
          <a:off x="18832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544195</xdr:colOff>
      <xdr:row>0</xdr:row>
      <xdr:rowOff>207645</xdr:rowOff>
    </xdr:from>
    <xdr:to>
      <xdr:col>32</xdr:col>
      <xdr:colOff>676275</xdr:colOff>
      <xdr:row>0</xdr:row>
      <xdr:rowOff>561975</xdr:rowOff>
    </xdr:to>
    <xdr:sp macro="[0]!asht18">
      <xdr:nvSpPr>
        <xdr:cNvPr id="29" name="12">
          <a:hlinkClick xmlns:r="http://schemas.openxmlformats.org/officeDocument/2006/relationships" r:id="rId6"/>
        </xdr:cNvPr>
        <xdr:cNvSpPr/>
      </xdr:nvSpPr>
      <xdr:spPr>
        <a:xfrm>
          <a:off x="1970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29845</xdr:colOff>
      <xdr:row>0</xdr:row>
      <xdr:rowOff>207645</xdr:rowOff>
    </xdr:from>
    <xdr:to>
      <xdr:col>34</xdr:col>
      <xdr:colOff>161925</xdr:colOff>
      <xdr:row>0</xdr:row>
      <xdr:rowOff>561975</xdr:rowOff>
    </xdr:to>
    <xdr:sp macro="[0]!asht18">
      <xdr:nvSpPr>
        <xdr:cNvPr id="30" name="12">
          <a:hlinkClick xmlns:r="http://schemas.openxmlformats.org/officeDocument/2006/relationships" r:id="rId7"/>
        </xdr:cNvPr>
        <xdr:cNvSpPr/>
      </xdr:nvSpPr>
      <xdr:spPr>
        <a:xfrm>
          <a:off x="20565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248920</xdr:colOff>
      <xdr:row>0</xdr:row>
      <xdr:rowOff>207645</xdr:rowOff>
    </xdr:from>
    <xdr:to>
      <xdr:col>35</xdr:col>
      <xdr:colOff>381000</xdr:colOff>
      <xdr:row>0</xdr:row>
      <xdr:rowOff>561975</xdr:rowOff>
    </xdr:to>
    <xdr:sp macro="[0]!asht18">
      <xdr:nvSpPr>
        <xdr:cNvPr id="31" name="12">
          <a:hlinkClick xmlns:r="http://schemas.openxmlformats.org/officeDocument/2006/relationships" r:id="rId8"/>
        </xdr:cNvPr>
        <xdr:cNvSpPr/>
      </xdr:nvSpPr>
      <xdr:spPr>
        <a:xfrm>
          <a:off x="21470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353695</xdr:colOff>
      <xdr:row>0</xdr:row>
      <xdr:rowOff>207645</xdr:rowOff>
    </xdr:from>
    <xdr:to>
      <xdr:col>36</xdr:col>
      <xdr:colOff>485775</xdr:colOff>
      <xdr:row>0</xdr:row>
      <xdr:rowOff>561975</xdr:rowOff>
    </xdr:to>
    <xdr:sp macro="[0]!asht18">
      <xdr:nvSpPr>
        <xdr:cNvPr id="32" name="12">
          <a:hlinkClick xmlns:r="http://schemas.openxmlformats.org/officeDocument/2006/relationships" r:id="rId9"/>
        </xdr:cNvPr>
        <xdr:cNvSpPr/>
      </xdr:nvSpPr>
      <xdr:spPr>
        <a:xfrm>
          <a:off x="22261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591820</xdr:colOff>
      <xdr:row>0</xdr:row>
      <xdr:rowOff>207645</xdr:rowOff>
    </xdr:from>
    <xdr:to>
      <xdr:col>38</xdr:col>
      <xdr:colOff>38100</xdr:colOff>
      <xdr:row>0</xdr:row>
      <xdr:rowOff>561975</xdr:rowOff>
    </xdr:to>
    <xdr:sp macro="[0]!asht18">
      <xdr:nvSpPr>
        <xdr:cNvPr id="33" name="12">
          <a:hlinkClick xmlns:r="http://schemas.openxmlformats.org/officeDocument/2006/relationships" r:id="rId10"/>
        </xdr:cNvPr>
        <xdr:cNvSpPr/>
      </xdr:nvSpPr>
      <xdr:spPr>
        <a:xfrm>
          <a:off x="231851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39370</xdr:colOff>
      <xdr:row>0</xdr:row>
      <xdr:rowOff>207645</xdr:rowOff>
    </xdr:from>
    <xdr:to>
      <xdr:col>39</xdr:col>
      <xdr:colOff>171450</xdr:colOff>
      <xdr:row>0</xdr:row>
      <xdr:rowOff>561975</xdr:rowOff>
    </xdr:to>
    <xdr:sp macro="[0]!asht18">
      <xdr:nvSpPr>
        <xdr:cNvPr id="34" name="12">
          <a:hlinkClick xmlns:r="http://schemas.openxmlformats.org/officeDocument/2006/relationships" r:id="rId11"/>
        </xdr:cNvPr>
        <xdr:cNvSpPr/>
      </xdr:nvSpPr>
      <xdr:spPr>
        <a:xfrm>
          <a:off x="240042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仓库资料</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39</xdr:col>
      <xdr:colOff>175895</xdr:colOff>
      <xdr:row>0</xdr:row>
      <xdr:rowOff>207645</xdr:rowOff>
    </xdr:from>
    <xdr:to>
      <xdr:col>40</xdr:col>
      <xdr:colOff>307975</xdr:colOff>
      <xdr:row>0</xdr:row>
      <xdr:rowOff>561975</xdr:rowOff>
    </xdr:to>
    <xdr:sp macro="[0]!asht18">
      <xdr:nvSpPr>
        <xdr:cNvPr id="35" name="12">
          <a:hlinkClick xmlns:r="http://schemas.openxmlformats.org/officeDocument/2006/relationships" r:id="rId12"/>
        </xdr:cNvPr>
        <xdr:cNvSpPr/>
      </xdr:nvSpPr>
      <xdr:spPr>
        <a:xfrm>
          <a:off x="2482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37</xdr:col>
      <xdr:colOff>179705</xdr:colOff>
      <xdr:row>0</xdr:row>
      <xdr:rowOff>624205</xdr:rowOff>
    </xdr:to>
    <xdr:sp>
      <xdr:nvSpPr>
        <xdr:cNvPr id="42" name="圆角矩形 14"/>
        <xdr:cNvSpPr/>
      </xdr:nvSpPr>
      <xdr:spPr>
        <a:xfrm>
          <a:off x="1118235" y="127000"/>
          <a:ext cx="247408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247650</xdr:colOff>
      <xdr:row>0</xdr:row>
      <xdr:rowOff>198120</xdr:rowOff>
    </xdr:from>
    <xdr:to>
      <xdr:col>23</xdr:col>
      <xdr:colOff>379730</xdr:colOff>
      <xdr:row>0</xdr:row>
      <xdr:rowOff>552450</xdr:rowOff>
    </xdr:to>
    <xdr:sp macro="[0]!asht18">
      <xdr:nvSpPr>
        <xdr:cNvPr id="14" name="12">
          <a:hlinkClick xmlns:r="http://schemas.openxmlformats.org/officeDocument/2006/relationships" r:id="rId1"/>
        </xdr:cNvPr>
        <xdr:cNvSpPr/>
      </xdr:nvSpPr>
      <xdr:spPr>
        <a:xfrm>
          <a:off x="156400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198120</xdr:rowOff>
    </xdr:from>
    <xdr:to>
      <xdr:col>24</xdr:col>
      <xdr:colOff>485775</xdr:colOff>
      <xdr:row>0</xdr:row>
      <xdr:rowOff>552450</xdr:rowOff>
    </xdr:to>
    <xdr:sp macro="[0]!asht18">
      <xdr:nvSpPr>
        <xdr:cNvPr id="15" name="12">
          <a:hlinkClick xmlns:r="http://schemas.openxmlformats.org/officeDocument/2006/relationships" r:id="rId2"/>
        </xdr:cNvPr>
        <xdr:cNvSpPr/>
      </xdr:nvSpPr>
      <xdr:spPr>
        <a:xfrm>
          <a:off x="16431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487045</xdr:colOff>
      <xdr:row>0</xdr:row>
      <xdr:rowOff>198120</xdr:rowOff>
    </xdr:from>
    <xdr:to>
      <xdr:col>25</xdr:col>
      <xdr:colOff>619125</xdr:colOff>
      <xdr:row>0</xdr:row>
      <xdr:rowOff>552450</xdr:rowOff>
    </xdr:to>
    <xdr:sp macro="[0]!asht18">
      <xdr:nvSpPr>
        <xdr:cNvPr id="16" name="12">
          <a:hlinkClick xmlns:r="http://schemas.openxmlformats.org/officeDocument/2006/relationships" r:id="rId3"/>
        </xdr:cNvPr>
        <xdr:cNvSpPr/>
      </xdr:nvSpPr>
      <xdr:spPr>
        <a:xfrm>
          <a:off x="17251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572770</xdr:colOff>
      <xdr:row>0</xdr:row>
      <xdr:rowOff>198120</xdr:rowOff>
    </xdr:from>
    <xdr:to>
      <xdr:col>27</xdr:col>
      <xdr:colOff>19050</xdr:colOff>
      <xdr:row>0</xdr:row>
      <xdr:rowOff>552450</xdr:rowOff>
    </xdr:to>
    <xdr:sp macro="[0]!asht18">
      <xdr:nvSpPr>
        <xdr:cNvPr id="17" name="12">
          <a:hlinkClick xmlns:r="http://schemas.openxmlformats.org/officeDocument/2006/relationships" r:id="rId4"/>
        </xdr:cNvPr>
        <xdr:cNvSpPr/>
      </xdr:nvSpPr>
      <xdr:spPr>
        <a:xfrm>
          <a:off x="180225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677545</xdr:colOff>
      <xdr:row>0</xdr:row>
      <xdr:rowOff>198120</xdr:rowOff>
    </xdr:from>
    <xdr:to>
      <xdr:col>28</xdr:col>
      <xdr:colOff>123825</xdr:colOff>
      <xdr:row>0</xdr:row>
      <xdr:rowOff>552450</xdr:rowOff>
    </xdr:to>
    <xdr:sp macro="[0]!asht18">
      <xdr:nvSpPr>
        <xdr:cNvPr id="18" name="12">
          <a:hlinkClick xmlns:r="http://schemas.openxmlformats.org/officeDocument/2006/relationships" r:id="rId5"/>
        </xdr:cNvPr>
        <xdr:cNvSpPr/>
      </xdr:nvSpPr>
      <xdr:spPr>
        <a:xfrm>
          <a:off x="188131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182245</xdr:colOff>
      <xdr:row>0</xdr:row>
      <xdr:rowOff>198120</xdr:rowOff>
    </xdr:from>
    <xdr:to>
      <xdr:col>29</xdr:col>
      <xdr:colOff>314325</xdr:colOff>
      <xdr:row>0</xdr:row>
      <xdr:rowOff>552450</xdr:rowOff>
    </xdr:to>
    <xdr:sp macro="[0]!asht18">
      <xdr:nvSpPr>
        <xdr:cNvPr id="19" name="12">
          <a:hlinkClick xmlns:r="http://schemas.openxmlformats.org/officeDocument/2006/relationships" r:id="rId6"/>
        </xdr:cNvPr>
        <xdr:cNvSpPr/>
      </xdr:nvSpPr>
      <xdr:spPr>
        <a:xfrm>
          <a:off x="196894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353695</xdr:colOff>
      <xdr:row>0</xdr:row>
      <xdr:rowOff>198120</xdr:rowOff>
    </xdr:from>
    <xdr:to>
      <xdr:col>30</xdr:col>
      <xdr:colOff>485775</xdr:colOff>
      <xdr:row>0</xdr:row>
      <xdr:rowOff>552450</xdr:rowOff>
    </xdr:to>
    <xdr:sp macro="[0]!asht18">
      <xdr:nvSpPr>
        <xdr:cNvPr id="20" name="12">
          <a:hlinkClick xmlns:r="http://schemas.openxmlformats.org/officeDocument/2006/relationships" r:id="rId7"/>
        </xdr:cNvPr>
        <xdr:cNvSpPr/>
      </xdr:nvSpPr>
      <xdr:spPr>
        <a:xfrm>
          <a:off x="205466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572770</xdr:colOff>
      <xdr:row>0</xdr:row>
      <xdr:rowOff>198120</xdr:rowOff>
    </xdr:from>
    <xdr:to>
      <xdr:col>32</xdr:col>
      <xdr:colOff>19050</xdr:colOff>
      <xdr:row>0</xdr:row>
      <xdr:rowOff>552450</xdr:rowOff>
    </xdr:to>
    <xdr:sp macro="[0]!asht18">
      <xdr:nvSpPr>
        <xdr:cNvPr id="21" name="12">
          <a:hlinkClick xmlns:r="http://schemas.openxmlformats.org/officeDocument/2006/relationships" r:id="rId8"/>
        </xdr:cNvPr>
        <xdr:cNvSpPr/>
      </xdr:nvSpPr>
      <xdr:spPr>
        <a:xfrm>
          <a:off x="214515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677545</xdr:colOff>
      <xdr:row>0</xdr:row>
      <xdr:rowOff>198120</xdr:rowOff>
    </xdr:from>
    <xdr:to>
      <xdr:col>33</xdr:col>
      <xdr:colOff>123825</xdr:colOff>
      <xdr:row>0</xdr:row>
      <xdr:rowOff>552450</xdr:rowOff>
    </xdr:to>
    <xdr:sp macro="[0]!asht18">
      <xdr:nvSpPr>
        <xdr:cNvPr id="22" name="12">
          <a:hlinkClick xmlns:r="http://schemas.openxmlformats.org/officeDocument/2006/relationships" r:id="rId9"/>
        </xdr:cNvPr>
        <xdr:cNvSpPr/>
      </xdr:nvSpPr>
      <xdr:spPr>
        <a:xfrm>
          <a:off x="222421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229870</xdr:colOff>
      <xdr:row>0</xdr:row>
      <xdr:rowOff>198120</xdr:rowOff>
    </xdr:from>
    <xdr:to>
      <xdr:col>34</xdr:col>
      <xdr:colOff>361950</xdr:colOff>
      <xdr:row>0</xdr:row>
      <xdr:rowOff>552450</xdr:rowOff>
    </xdr:to>
    <xdr:sp macro="[0]!asht18">
      <xdr:nvSpPr>
        <xdr:cNvPr id="24" name="12">
          <a:hlinkClick xmlns:r="http://schemas.openxmlformats.org/officeDocument/2006/relationships" r:id="rId10"/>
        </xdr:cNvPr>
        <xdr:cNvSpPr/>
      </xdr:nvSpPr>
      <xdr:spPr>
        <a:xfrm>
          <a:off x="231660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363220</xdr:colOff>
      <xdr:row>0</xdr:row>
      <xdr:rowOff>198120</xdr:rowOff>
    </xdr:from>
    <xdr:to>
      <xdr:col>35</xdr:col>
      <xdr:colOff>495300</xdr:colOff>
      <xdr:row>0</xdr:row>
      <xdr:rowOff>552450</xdr:rowOff>
    </xdr:to>
    <xdr:sp macro="[0]!asht18">
      <xdr:nvSpPr>
        <xdr:cNvPr id="25" name="12">
          <a:hlinkClick xmlns:r="http://schemas.openxmlformats.org/officeDocument/2006/relationships" r:id="rId11"/>
        </xdr:cNvPr>
        <xdr:cNvSpPr/>
      </xdr:nvSpPr>
      <xdr:spPr>
        <a:xfrm>
          <a:off x="239852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499745</xdr:colOff>
      <xdr:row>0</xdr:row>
      <xdr:rowOff>198120</xdr:rowOff>
    </xdr:from>
    <xdr:to>
      <xdr:col>36</xdr:col>
      <xdr:colOff>631825</xdr:colOff>
      <xdr:row>0</xdr:row>
      <xdr:rowOff>552450</xdr:rowOff>
    </xdr:to>
    <xdr:sp macro="[0]!asht18">
      <xdr:nvSpPr>
        <xdr:cNvPr id="26" name="12">
          <a:hlinkClick xmlns:r="http://schemas.openxmlformats.org/officeDocument/2006/relationships" r:id="rId12"/>
        </xdr:cNvPr>
        <xdr:cNvSpPr/>
      </xdr:nvSpPr>
      <xdr:spPr>
        <a:xfrm>
          <a:off x="248075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39</xdr:col>
      <xdr:colOff>389255</xdr:colOff>
      <xdr:row>0</xdr:row>
      <xdr:rowOff>624205</xdr:rowOff>
    </xdr:to>
    <xdr:sp>
      <xdr:nvSpPr>
        <xdr:cNvPr id="25"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absolute">
    <xdr:from>
      <xdr:col>24</xdr:col>
      <xdr:colOff>523875</xdr:colOff>
      <xdr:row>0</xdr:row>
      <xdr:rowOff>212090</xdr:rowOff>
    </xdr:from>
    <xdr:to>
      <xdr:col>25</xdr:col>
      <xdr:colOff>655955</xdr:colOff>
      <xdr:row>0</xdr:row>
      <xdr:rowOff>566420</xdr:rowOff>
    </xdr:to>
    <xdr:sp macro="[0]!asht18">
      <xdr:nvSpPr>
        <xdr:cNvPr id="2" name="12">
          <a:hlinkClick xmlns:r="http://schemas.openxmlformats.org/officeDocument/2006/relationships" r:id="rId1"/>
        </xdr:cNvPr>
        <xdr:cNvSpPr/>
      </xdr:nvSpPr>
      <xdr:spPr>
        <a:xfrm>
          <a:off x="1578292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629920</xdr:colOff>
      <xdr:row>0</xdr:row>
      <xdr:rowOff>212090</xdr:rowOff>
    </xdr:from>
    <xdr:to>
      <xdr:col>27</xdr:col>
      <xdr:colOff>76200</xdr:colOff>
      <xdr:row>0</xdr:row>
      <xdr:rowOff>566420</xdr:rowOff>
    </xdr:to>
    <xdr:sp macro="[0]!asht18">
      <xdr:nvSpPr>
        <xdr:cNvPr id="3" name="12">
          <a:hlinkClick xmlns:r="http://schemas.openxmlformats.org/officeDocument/2006/relationships" r:id="rId2"/>
        </xdr:cNvPr>
        <xdr:cNvSpPr/>
      </xdr:nvSpPr>
      <xdr:spPr>
        <a:xfrm>
          <a:off x="165747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77470</xdr:colOff>
      <xdr:row>0</xdr:row>
      <xdr:rowOff>212090</xdr:rowOff>
    </xdr:from>
    <xdr:to>
      <xdr:col>28</xdr:col>
      <xdr:colOff>209550</xdr:colOff>
      <xdr:row>0</xdr:row>
      <xdr:rowOff>566420</xdr:rowOff>
    </xdr:to>
    <xdr:sp macro="[0]!asht18">
      <xdr:nvSpPr>
        <xdr:cNvPr id="4" name="12">
          <a:hlinkClick xmlns:r="http://schemas.openxmlformats.org/officeDocument/2006/relationships" r:id="rId3"/>
        </xdr:cNvPr>
        <xdr:cNvSpPr/>
      </xdr:nvSpPr>
      <xdr:spPr>
        <a:xfrm>
          <a:off x="173939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212090</xdr:rowOff>
    </xdr:from>
    <xdr:to>
      <xdr:col>29</xdr:col>
      <xdr:colOff>295275</xdr:colOff>
      <xdr:row>0</xdr:row>
      <xdr:rowOff>566420</xdr:rowOff>
    </xdr:to>
    <xdr:sp macro="[0]!asht18">
      <xdr:nvSpPr>
        <xdr:cNvPr id="5" name="12">
          <a:hlinkClick xmlns:r="http://schemas.openxmlformats.org/officeDocument/2006/relationships" r:id="rId4"/>
        </xdr:cNvPr>
        <xdr:cNvSpPr/>
      </xdr:nvSpPr>
      <xdr:spPr>
        <a:xfrm>
          <a:off x="18165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267970</xdr:colOff>
      <xdr:row>0</xdr:row>
      <xdr:rowOff>212090</xdr:rowOff>
    </xdr:from>
    <xdr:to>
      <xdr:col>30</xdr:col>
      <xdr:colOff>400050</xdr:colOff>
      <xdr:row>0</xdr:row>
      <xdr:rowOff>566420</xdr:rowOff>
    </xdr:to>
    <xdr:sp macro="[0]!asht18">
      <xdr:nvSpPr>
        <xdr:cNvPr id="6" name="12">
          <a:hlinkClick xmlns:r="http://schemas.openxmlformats.org/officeDocument/2006/relationships" r:id="rId5"/>
        </xdr:cNvPr>
        <xdr:cNvSpPr/>
      </xdr:nvSpPr>
      <xdr:spPr>
        <a:xfrm>
          <a:off x="18956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458470</xdr:colOff>
      <xdr:row>0</xdr:row>
      <xdr:rowOff>212090</xdr:rowOff>
    </xdr:from>
    <xdr:to>
      <xdr:col>31</xdr:col>
      <xdr:colOff>590550</xdr:colOff>
      <xdr:row>0</xdr:row>
      <xdr:rowOff>566420</xdr:rowOff>
    </xdr:to>
    <xdr:sp macro="[0]!asht18">
      <xdr:nvSpPr>
        <xdr:cNvPr id="7" name="12">
          <a:hlinkClick xmlns:r="http://schemas.openxmlformats.org/officeDocument/2006/relationships" r:id="rId6"/>
        </xdr:cNvPr>
        <xdr:cNvSpPr/>
      </xdr:nvSpPr>
      <xdr:spPr>
        <a:xfrm>
          <a:off x="198323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629920</xdr:colOff>
      <xdr:row>0</xdr:row>
      <xdr:rowOff>212090</xdr:rowOff>
    </xdr:from>
    <xdr:to>
      <xdr:col>33</xdr:col>
      <xdr:colOff>76200</xdr:colOff>
      <xdr:row>0</xdr:row>
      <xdr:rowOff>566420</xdr:rowOff>
    </xdr:to>
    <xdr:sp macro="[0]!asht18">
      <xdr:nvSpPr>
        <xdr:cNvPr id="8" name="12">
          <a:hlinkClick xmlns:r="http://schemas.openxmlformats.org/officeDocument/2006/relationships" r:id="rId7"/>
        </xdr:cNvPr>
        <xdr:cNvSpPr/>
      </xdr:nvSpPr>
      <xdr:spPr>
        <a:xfrm>
          <a:off x="206895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163195</xdr:colOff>
      <xdr:row>0</xdr:row>
      <xdr:rowOff>212090</xdr:rowOff>
    </xdr:from>
    <xdr:to>
      <xdr:col>34</xdr:col>
      <xdr:colOff>295275</xdr:colOff>
      <xdr:row>0</xdr:row>
      <xdr:rowOff>566420</xdr:rowOff>
    </xdr:to>
    <xdr:sp macro="[0]!asht18">
      <xdr:nvSpPr>
        <xdr:cNvPr id="9" name="12">
          <a:hlinkClick xmlns:r="http://schemas.openxmlformats.org/officeDocument/2006/relationships" r:id="rId8"/>
        </xdr:cNvPr>
        <xdr:cNvSpPr/>
      </xdr:nvSpPr>
      <xdr:spPr>
        <a:xfrm>
          <a:off x="21594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267970</xdr:colOff>
      <xdr:row>0</xdr:row>
      <xdr:rowOff>212090</xdr:rowOff>
    </xdr:from>
    <xdr:to>
      <xdr:col>35</xdr:col>
      <xdr:colOff>400050</xdr:colOff>
      <xdr:row>0</xdr:row>
      <xdr:rowOff>566420</xdr:rowOff>
    </xdr:to>
    <xdr:sp macro="[0]!asht18">
      <xdr:nvSpPr>
        <xdr:cNvPr id="10" name="12">
          <a:hlinkClick xmlns:r="http://schemas.openxmlformats.org/officeDocument/2006/relationships" r:id="rId9"/>
        </xdr:cNvPr>
        <xdr:cNvSpPr/>
      </xdr:nvSpPr>
      <xdr:spPr>
        <a:xfrm>
          <a:off x="22385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506095</xdr:colOff>
      <xdr:row>0</xdr:row>
      <xdr:rowOff>212090</xdr:rowOff>
    </xdr:from>
    <xdr:to>
      <xdr:col>36</xdr:col>
      <xdr:colOff>638175</xdr:colOff>
      <xdr:row>0</xdr:row>
      <xdr:rowOff>566420</xdr:rowOff>
    </xdr:to>
    <xdr:sp macro="[0]!asht18">
      <xdr:nvSpPr>
        <xdr:cNvPr id="11" name="12">
          <a:hlinkClick xmlns:r="http://schemas.openxmlformats.org/officeDocument/2006/relationships" r:id="rId10"/>
        </xdr:cNvPr>
        <xdr:cNvSpPr/>
      </xdr:nvSpPr>
      <xdr:spPr>
        <a:xfrm>
          <a:off x="233089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639445</xdr:colOff>
      <xdr:row>0</xdr:row>
      <xdr:rowOff>212090</xdr:rowOff>
    </xdr:from>
    <xdr:to>
      <xdr:col>38</xdr:col>
      <xdr:colOff>85725</xdr:colOff>
      <xdr:row>0</xdr:row>
      <xdr:rowOff>566420</xdr:rowOff>
    </xdr:to>
    <xdr:sp macro="[0]!asht18">
      <xdr:nvSpPr>
        <xdr:cNvPr id="12" name="12">
          <a:hlinkClick xmlns:r="http://schemas.openxmlformats.org/officeDocument/2006/relationships" r:id="rId11"/>
        </xdr:cNvPr>
        <xdr:cNvSpPr/>
      </xdr:nvSpPr>
      <xdr:spPr>
        <a:xfrm>
          <a:off x="2412809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90170</xdr:colOff>
      <xdr:row>0</xdr:row>
      <xdr:rowOff>212090</xdr:rowOff>
    </xdr:from>
    <xdr:to>
      <xdr:col>39</xdr:col>
      <xdr:colOff>222250</xdr:colOff>
      <xdr:row>0</xdr:row>
      <xdr:rowOff>566420</xdr:rowOff>
    </xdr:to>
    <xdr:sp macro="[0]!asht18">
      <xdr:nvSpPr>
        <xdr:cNvPr id="13" name="12">
          <a:hlinkClick xmlns:r="http://schemas.openxmlformats.org/officeDocument/2006/relationships" r:id="rId12"/>
        </xdr:cNvPr>
        <xdr:cNvSpPr/>
      </xdr:nvSpPr>
      <xdr:spPr>
        <a:xfrm>
          <a:off x="249504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17" name="pic"/>
        <xdr:cNvPicPr>
          <a:picLocks noChangeAspect="1"/>
        </xdr:cNvPicPr>
      </xdr:nvPicPr>
      <xdr:blipFill>
        <a:blip r:embed="rId13"/>
        <a:stretch>
          <a:fillRect/>
        </a:stretch>
      </xdr:blipFill>
      <xdr:spPr>
        <a:xfrm>
          <a:off x="934085" y="1332230"/>
          <a:ext cx="1397000" cy="1391920"/>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3.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0.xml"/><Relationship Id="rId1" Type="http://schemas.openxmlformats.org/officeDocument/2006/relationships/comments" Target="../comments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4" Type="http://schemas.openxmlformats.org/officeDocument/2006/relationships/hyperlink" Target="http://yhocn.cn:9088/jinxiaocun/wuxianerji.jpg" TargetMode="External"/><Relationship Id="rId3" Type="http://schemas.openxmlformats.org/officeDocument/2006/relationships/vmlDrawing" Target="../drawings/vmlDrawing6.vml"/><Relationship Id="rId2" Type="http://schemas.openxmlformats.org/officeDocument/2006/relationships/drawing" Target="../drawings/drawing24.xml"/><Relationship Id="rId1" Type="http://schemas.openxmlformats.org/officeDocument/2006/relationships/comments" Target="../comments6.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7.xml"/><Relationship Id="rId1" Type="http://schemas.openxmlformats.org/officeDocument/2006/relationships/comments" Target="../comments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8.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zoomScale="85" zoomScaleNormal="85" workbookViewId="0">
      <selection activeCell="A1" sqref="A1"/>
    </sheetView>
  </sheetViews>
  <sheetFormatPr defaultColWidth="3.625" defaultRowHeight="17.1" customHeight="1"/>
  <cols>
    <col min="1" max="1" width="3.625" style="96" customWidth="1"/>
    <col min="2" max="16384" width="3.625" style="96"/>
  </cols>
  <sheetData>
    <row r="4" customHeight="1" spans="1:42">
      <c r="A4" s="97"/>
      <c r="B4" s="97"/>
      <c r="C4" s="97"/>
      <c r="D4" s="97"/>
      <c r="E4" s="97"/>
      <c r="F4" s="97"/>
      <c r="G4" s="97"/>
      <c r="H4" s="97"/>
      <c r="I4" s="97"/>
      <c r="J4" s="97"/>
      <c r="K4" s="97"/>
      <c r="L4" s="97"/>
      <c r="M4" s="97"/>
      <c r="N4" s="97"/>
      <c r="O4" s="97"/>
      <c r="P4" s="97"/>
      <c r="Q4" s="97"/>
      <c r="R4" s="97"/>
      <c r="S4" s="97"/>
      <c r="T4" s="97"/>
      <c r="U4" s="97"/>
      <c r="V4" s="97"/>
      <c r="W4" s="97"/>
      <c r="X4" s="97"/>
      <c r="Y4" s="97"/>
      <c r="Z4" s="97"/>
      <c r="AA4" s="97"/>
      <c r="AB4" s="97"/>
      <c r="AC4" s="97"/>
      <c r="AD4" s="97"/>
      <c r="AE4" s="97"/>
      <c r="AF4" s="97"/>
      <c r="AG4" s="97"/>
      <c r="AH4" s="97"/>
      <c r="AI4" s="97"/>
      <c r="AJ4" s="97"/>
      <c r="AK4" s="97"/>
      <c r="AL4" s="97"/>
      <c r="AM4" s="97"/>
      <c r="AN4" s="97"/>
      <c r="AO4" s="97"/>
      <c r="AP4" s="97"/>
    </row>
    <row r="5" customHeight="1" spans="1:42">
      <c r="A5" s="97"/>
      <c r="B5" s="97"/>
      <c r="C5" s="97"/>
      <c r="D5" s="97"/>
      <c r="E5" s="97"/>
      <c r="F5" s="97"/>
      <c r="G5" s="97"/>
      <c r="H5" s="97"/>
      <c r="I5" s="97"/>
      <c r="J5" s="97"/>
      <c r="K5" s="97"/>
      <c r="L5" s="97"/>
      <c r="M5" s="97"/>
      <c r="N5" s="97"/>
      <c r="O5" s="97"/>
      <c r="P5" s="97"/>
      <c r="Q5" s="97"/>
      <c r="R5" s="97"/>
      <c r="S5" s="97"/>
      <c r="T5" s="97"/>
      <c r="U5" s="97"/>
      <c r="V5" s="97"/>
      <c r="W5" s="97"/>
      <c r="X5" s="97"/>
      <c r="Y5" s="97"/>
      <c r="Z5" s="97"/>
      <c r="AA5" s="97"/>
      <c r="AB5" s="97"/>
      <c r="AC5" s="97"/>
      <c r="AD5" s="97"/>
      <c r="AE5" s="97"/>
      <c r="AF5" s="97"/>
      <c r="AG5" s="97"/>
      <c r="AH5" s="97"/>
      <c r="AI5" s="97"/>
      <c r="AJ5" s="97"/>
      <c r="AK5" s="97"/>
      <c r="AL5" s="97"/>
      <c r="AM5" s="97"/>
      <c r="AN5" s="97"/>
      <c r="AO5" s="97"/>
      <c r="AP5" s="97"/>
    </row>
    <row r="6" customHeight="1" spans="1:42">
      <c r="A6" s="98"/>
      <c r="B6" s="98"/>
      <c r="C6" s="98"/>
      <c r="D6" s="98"/>
      <c r="E6" s="98"/>
      <c r="F6" s="98"/>
      <c r="G6" s="98"/>
      <c r="H6" s="99"/>
      <c r="I6" s="99"/>
      <c r="J6" s="99"/>
      <c r="K6" s="99"/>
      <c r="L6" s="99"/>
      <c r="M6" s="99"/>
      <c r="N6" s="99"/>
      <c r="O6" s="99"/>
      <c r="P6" s="99"/>
      <c r="Q6" s="99"/>
      <c r="R6" s="98"/>
      <c r="S6" s="98"/>
      <c r="T6" s="98"/>
      <c r="U6" s="98"/>
      <c r="V6" s="98"/>
      <c r="W6" s="98"/>
      <c r="X6" s="98"/>
      <c r="Y6" s="98"/>
      <c r="Z6" s="98"/>
      <c r="AA6" s="98"/>
      <c r="AB6" s="98"/>
      <c r="AC6" s="98"/>
      <c r="AD6" s="98"/>
      <c r="AE6" s="98"/>
      <c r="AF6" s="98"/>
      <c r="AG6" s="98"/>
      <c r="AH6" s="98"/>
      <c r="AI6" s="98"/>
      <c r="AJ6" s="98"/>
      <c r="AK6" s="98"/>
      <c r="AL6" s="98"/>
      <c r="AM6" s="98"/>
      <c r="AN6" s="98"/>
      <c r="AO6" s="98"/>
      <c r="AP6" s="98"/>
    </row>
    <row r="7" customHeight="1" spans="1:42">
      <c r="E7" s="100"/>
      <c r="F7" s="100"/>
      <c r="G7" s="100"/>
      <c r="H7" s="101"/>
      <c r="I7" s="101"/>
      <c r="J7" s="101"/>
      <c r="K7" s="101"/>
      <c r="L7" s="101"/>
      <c r="M7" s="101"/>
      <c r="N7" s="102"/>
      <c r="O7" s="102"/>
      <c r="P7" s="102"/>
      <c r="Q7" s="102"/>
      <c r="T7" s="102"/>
      <c r="U7" s="102"/>
      <c r="V7" s="102"/>
      <c r="W7" s="102"/>
    </row>
    <row r="8" customHeight="1" spans="1:42">
      <c r="H8" s="102"/>
      <c r="I8" s="102"/>
      <c r="J8" s="102"/>
      <c r="K8" s="102"/>
      <c r="L8" s="102"/>
      <c r="M8" s="102"/>
      <c r="N8" s="102"/>
      <c r="O8" s="102"/>
      <c r="P8" s="102"/>
      <c r="Q8" s="102"/>
      <c r="T8" s="102"/>
      <c r="U8" s="102"/>
      <c r="V8" s="102"/>
      <c r="W8" s="102"/>
    </row>
    <row r="9" customHeight="1" spans="1:42">
      <c r="H9" s="102"/>
      <c r="I9" s="102"/>
      <c r="J9" s="102"/>
      <c r="K9" s="102"/>
      <c r="L9" s="102"/>
      <c r="M9" s="102"/>
      <c r="N9" s="102"/>
      <c r="O9" s="102"/>
      <c r="P9" s="102"/>
      <c r="Q9" s="102"/>
      <c r="R9" s="102"/>
      <c r="S9" s="102"/>
      <c r="T9" s="102"/>
      <c r="U9" s="102"/>
      <c r="V9" s="102"/>
      <c r="W9" s="102"/>
    </row>
    <row r="10" customHeight="1" spans="1:42">
      <c r="Q10" s="102"/>
      <c r="R10" s="102"/>
      <c r="S10" s="102"/>
      <c r="T10" s="102"/>
      <c r="U10" s="102"/>
      <c r="V10" s="102"/>
      <c r="W10" s="102"/>
    </row>
    <row r="11" customHeight="1" spans="1:42">
      <c r="Q11" s="102"/>
      <c r="R11" s="102"/>
      <c r="S11" s="102"/>
      <c r="T11" s="102"/>
      <c r="U11" s="102"/>
      <c r="V11" s="102"/>
      <c r="W11" s="102"/>
    </row>
    <row r="12" customHeight="1" spans="1:42">
      <c r="Q12" s="102"/>
      <c r="R12" s="102"/>
      <c r="S12" s="102"/>
      <c r="T12" s="102"/>
      <c r="U12" s="102"/>
      <c r="V12" s="102"/>
      <c r="W12" s="102"/>
    </row>
    <row r="13" customHeight="1" spans="1:42">
      <c r="Q13" s="102"/>
      <c r="R13" s="102"/>
      <c r="S13" s="102"/>
      <c r="T13" s="102"/>
      <c r="U13" s="102"/>
      <c r="V13" s="102"/>
      <c r="W13" s="102"/>
    </row>
  </sheetData>
  <sheetProtection algorithmName="SHA-512" hashValue="2Oe7ES44jXPxZAmkXAFrhdHkXTe4hKjaQL3l6c+auUfekV5lPHD44lIy6O7XUsxIHiYHDkHTliTTKmMi2t+iKA==" saltValue="GrHTXUyAyApBd7bwI0nT7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G11" sqref="G11"/>
    </sheetView>
  </sheetViews>
  <sheetFormatPr defaultColWidth="9" defaultRowHeight="21.95" customHeight="1"/>
  <cols>
    <col min="1" max="1" width="1.625" style="78" customWidth="1"/>
    <col min="2" max="2" width="2.625" style="79" customWidth="1"/>
    <col min="3" max="3" width="15.25" style="80" customWidth="1"/>
    <col min="4" max="4" width="19.125" style="81" customWidth="1"/>
    <col min="5" max="5" width="10.5" style="81" customWidth="1"/>
    <col min="6" max="8" width="24.625" style="81" customWidth="1"/>
    <col min="9" max="9" width="2.625" style="79" customWidth="1"/>
    <col min="10" max="10" width="4.25" style="78" customWidth="1"/>
    <col min="11" max="16384" width="9" style="78"/>
  </cols>
  <sheetData>
    <row r="1" s="76" customFormat="1" ht="54.95" customHeight="1" spans="1:10">
      <c r="A1" s="82"/>
      <c r="C1" s="83"/>
      <c r="J1" s="84"/>
    </row>
    <row r="2" ht="15.95" customHeight="1" spans="1:10">
      <c r="B2" s="78"/>
      <c r="C2" s="85"/>
      <c r="D2" s="78"/>
      <c r="E2" s="78"/>
      <c r="F2" s="78"/>
      <c r="G2" s="78"/>
      <c r="H2" s="78"/>
      <c r="I2" s="78"/>
    </row>
    <row r="3" ht="15.95" customHeight="1" spans="1:10">
      <c r="C3" s="86"/>
      <c r="D3" s="79"/>
      <c r="E3" s="79"/>
      <c r="F3" s="79"/>
      <c r="G3" s="79"/>
      <c r="H3" s="79"/>
    </row>
    <row r="4" ht="75.95" customHeight="1" spans="1:10">
      <c r="C4" s="87" t="s">
        <v>0</v>
      </c>
      <c r="D4" s="88"/>
      <c r="E4" s="88"/>
      <c r="F4" s="89">
        <f>D7</f>
        <v>1</v>
      </c>
      <c r="G4" s="90" t="s">
        <v>1</v>
      </c>
      <c r="H4" s="90"/>
    </row>
    <row r="5" ht="6" customHeight="1" spans="1:10">
      <c r="C5" s="91"/>
      <c r="D5" s="88"/>
      <c r="E5" s="88"/>
      <c r="F5" s="92"/>
      <c r="G5" s="92"/>
      <c r="H5" s="92"/>
    </row>
    <row r="6" s="77" customFormat="1" ht="9" customHeight="1" spans="1:10">
      <c r="B6" s="79"/>
      <c r="C6" s="93"/>
      <c r="D6" s="94"/>
      <c r="E6" s="94"/>
      <c r="F6" s="95"/>
      <c r="G6" s="95"/>
      <c r="H6" s="95"/>
      <c r="I6" s="79"/>
    </row>
    <row r="7" hidden="1" customHeight="1" spans="1:10">
      <c r="B7" s="79" t="s">
        <v>2</v>
      </c>
      <c r="D7" s="81">
        <v>1</v>
      </c>
    </row>
    <row r="8" customHeight="1" spans="1:10">
      <c r="C8" s="80" t="s">
        <v>3</v>
      </c>
      <c r="D8" s="81" t="s">
        <v>4</v>
      </c>
    </row>
    <row r="9" customHeight="1" spans="1:10">
      <c r="C9" s="80" t="s">
        <v>5</v>
      </c>
      <c r="D9" s="81" t="s">
        <v>6</v>
      </c>
    </row>
    <row r="18" hidden="1" customHeight="1" spans="3:4">
      <c r="C18" s="80" t="s">
        <v>3</v>
      </c>
      <c r="D18" s="81" t="s">
        <v>7</v>
      </c>
    </row>
    <row r="19" hidden="1" customHeight="1" spans="3:4">
      <c r="C19" s="80" t="s">
        <v>5</v>
      </c>
      <c r="D19" s="81" t="s">
        <v>8</v>
      </c>
    </row>
    <row r="20" hidden="1" customHeight="1" spans="3:4">
      <c r="C20" s="80" t="s">
        <v>9</v>
      </c>
      <c r="D20" s="81" t="s">
        <v>10</v>
      </c>
    </row>
    <row r="21" hidden="1" customHeight="1"/>
    <row r="22" hidden="1" customHeight="1"/>
    <row r="23" hidden="1" customHeight="1"/>
    <row r="24" hidden="1" customHeight="1"/>
    <row r="25" hidden="1" customHeight="1"/>
    <row r="26" hidden="1" customHeight="1"/>
    <row r="27" hidden="1" customHeight="1"/>
    <row r="28" hidden="1" customHeight="1" spans="3:4">
      <c r="C28" s="80" t="s">
        <v>3</v>
      </c>
      <c r="D28" s="81" t="s">
        <v>11</v>
      </c>
    </row>
    <row r="29" hidden="1" customHeight="1" spans="3:4">
      <c r="C29" s="80" t="s">
        <v>5</v>
      </c>
      <c r="D29" s="81" t="s">
        <v>12</v>
      </c>
    </row>
    <row r="30" hidden="1" customHeight="1" spans="3:4">
      <c r="C30" s="80" t="s">
        <v>9</v>
      </c>
      <c r="D30" s="81" t="s">
        <v>10</v>
      </c>
    </row>
    <row r="31" hidden="1" customHeight="1"/>
    <row r="32" hidden="1" customHeight="1"/>
    <row r="33" hidden="1" customHeight="1"/>
    <row r="34" hidden="1" customHeight="1"/>
    <row r="35" hidden="1" customHeight="1"/>
    <row r="36" hidden="1" customHeight="1"/>
    <row r="37" hidden="1" customHeight="1"/>
    <row r="38" hidden="1" customHeight="1" spans="3:4">
      <c r="C38" s="80" t="s">
        <v>3</v>
      </c>
      <c r="D38" s="81" t="s">
        <v>13</v>
      </c>
    </row>
    <row r="39" hidden="1" customHeight="1" spans="3:4">
      <c r="C39" s="80" t="s">
        <v>5</v>
      </c>
      <c r="D39" s="81" t="s">
        <v>14</v>
      </c>
    </row>
    <row r="40" hidden="1" customHeight="1" spans="3:4">
      <c r="C40" s="80" t="s">
        <v>9</v>
      </c>
      <c r="D40" s="81" t="s">
        <v>12</v>
      </c>
    </row>
    <row r="41" hidden="1" customHeight="1"/>
    <row r="42" hidden="1" customHeight="1"/>
    <row r="43" hidden="1" customHeight="1"/>
    <row r="44" hidden="1" customHeight="1"/>
    <row r="45" hidden="1" customHeight="1"/>
    <row r="46" hidden="1" customHeight="1"/>
    <row r="47" hidden="1" customHeight="1"/>
    <row r="48" hidden="1" customHeight="1" spans="3:4">
      <c r="C48" s="80" t="s">
        <v>3</v>
      </c>
      <c r="D48" s="81"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80" t="s">
        <v>3</v>
      </c>
      <c r="D58" s="81" t="s">
        <v>16</v>
      </c>
    </row>
    <row r="59" hidden="1" customHeight="1" spans="3:4">
      <c r="D59" s="81"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80" t="s">
        <v>3</v>
      </c>
      <c r="D68" s="81" t="s">
        <v>18</v>
      </c>
    </row>
    <row r="69" hidden="1" customHeight="1" spans="3:4">
      <c r="C69" s="80" t="s">
        <v>5</v>
      </c>
      <c r="D69" s="81" t="s">
        <v>19</v>
      </c>
    </row>
    <row r="70" hidden="1" customHeight="1" spans="3:4">
      <c r="C70" s="80" t="s">
        <v>9</v>
      </c>
      <c r="D70" s="81" t="s">
        <v>20</v>
      </c>
    </row>
    <row r="71" hidden="1" customHeight="1" spans="3:4">
      <c r="C71" s="80" t="s">
        <v>21</v>
      </c>
      <c r="D71" s="81" t="s">
        <v>22</v>
      </c>
    </row>
    <row r="72" hidden="1" customHeight="1"/>
    <row r="73" hidden="1" customHeight="1"/>
    <row r="74" hidden="1" customHeight="1"/>
    <row r="75" hidden="1" customHeight="1"/>
    <row r="76" hidden="1" customHeight="1"/>
    <row r="77" hidden="1" customHeight="1"/>
    <row r="78" hidden="1" customHeight="1" spans="3:4">
      <c r="C78" s="80">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80">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80">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D7Oto67K++U9NEenkd0erK938Pl0IJdEf4ZP2pSau78rHRGI4Gmk2B7qhms/GxK/UFZTA2zDe278HxfeQE4ZUw==" saltValue="koUw1yWqppLXzaiAQIvIaQ=="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cols>
    <col min="1" max="1" width="9.375"/>
    <col min="3" max="3" width="11.5"/>
  </cols>
  <sheetData>
    <row r="1" spans="1:5">
      <c r="A1" s="75">
        <v>58441</v>
      </c>
      <c r="C1" s="75">
        <v>47848</v>
      </c>
      <c r="D1">
        <v>10000</v>
      </c>
      <c r="E1">
        <v>10</v>
      </c>
    </row>
    <row r="3" spans="1:5">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5"/>
  <sheetViews>
    <sheetView showGridLines="0" workbookViewId="0">
      <pane ySplit="4" topLeftCell="A5" activePane="bottomLeft" state="frozen"/>
      <selection/>
      <selection pane="bottomLeft" activeCell="A1" sqref="A1"/>
    </sheetView>
  </sheetViews>
  <sheetFormatPr defaultColWidth="9" defaultRowHeight="20.1" customHeight="1" outlineLevelRow="4"/>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H2" s="67"/>
      <c r="I2" s="38" t="s">
        <v>24</v>
      </c>
      <c r="J2" s="38"/>
    </row>
    <row r="3" s="2" customFormat="1" customHeight="1" spans="1:11">
      <c r="B3" s="9"/>
      <c r="C3" s="68"/>
      <c r="D3" s="68"/>
      <c r="E3" s="68"/>
      <c r="F3" s="68"/>
      <c r="G3" s="68"/>
      <c r="H3" s="68"/>
      <c r="I3" s="68"/>
      <c r="J3" s="68"/>
      <c r="K3" s="9"/>
    </row>
    <row r="4" s="2" customFormat="1" ht="30" customHeight="1" spans="1:11">
      <c r="B4" s="9"/>
      <c r="C4" s="48" t="s">
        <v>25</v>
      </c>
      <c r="D4" s="48" t="s">
        <v>26</v>
      </c>
      <c r="E4" s="48" t="s">
        <v>27</v>
      </c>
      <c r="F4" s="48" t="s">
        <v>28</v>
      </c>
      <c r="G4" s="48" t="s">
        <v>29</v>
      </c>
      <c r="H4" s="48" t="s">
        <v>30</v>
      </c>
      <c r="I4" s="48" t="s">
        <v>31</v>
      </c>
      <c r="J4" s="48" t="s">
        <v>32</v>
      </c>
      <c r="K4" s="9"/>
    </row>
    <row r="5" customHeight="1" spans="1:11">
      <c r="K5" s="32"/>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H11" sqref="H11"/>
    </sheetView>
  </sheetViews>
  <sheetFormatPr defaultColWidth="9" defaultRowHeight="20.1" customHeight="1" outlineLevelRow="3"/>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G2" s="38" t="s">
        <v>33</v>
      </c>
      <c r="H2" s="38"/>
      <c r="I2" s="38" t="s">
        <v>24</v>
      </c>
      <c r="J2" s="38"/>
    </row>
    <row r="3" s="2" customFormat="1" customHeight="1" spans="1:11">
      <c r="B3" s="9"/>
      <c r="C3" s="68"/>
      <c r="D3" s="68"/>
      <c r="E3" s="68"/>
      <c r="F3" s="68"/>
      <c r="G3" s="68"/>
      <c r="H3" s="68"/>
      <c r="I3" s="68"/>
      <c r="J3" s="68"/>
      <c r="K3" s="9"/>
    </row>
    <row r="4" s="2" customFormat="1" ht="30" customHeight="1" spans="1:11">
      <c r="B4" s="9"/>
      <c r="C4" s="48" t="s">
        <v>25</v>
      </c>
      <c r="D4" s="48" t="s">
        <v>26</v>
      </c>
      <c r="E4" s="48" t="s">
        <v>27</v>
      </c>
      <c r="F4" s="48" t="s">
        <v>28</v>
      </c>
      <c r="G4" s="48" t="s">
        <v>29</v>
      </c>
      <c r="H4" s="48" t="s">
        <v>30</v>
      </c>
      <c r="I4" s="48" t="s">
        <v>34</v>
      </c>
      <c r="J4" s="48"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pageSetup paperSize="9" orientation="portrait"/>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K12"/>
  <sheetViews>
    <sheetView showGridLines="0" workbookViewId="0">
      <pane ySplit="4" topLeftCell="A5" activePane="bottomLeft" state="frozen"/>
      <selection/>
      <selection pane="bottomLeft" activeCell="F7" sqref="F7"/>
    </sheetView>
  </sheetViews>
  <sheetFormatPr defaultColWidth="9" defaultRowHeight="20.1" customHeight="1"/>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35</v>
      </c>
      <c r="H2" s="67"/>
      <c r="I2" s="38"/>
      <c r="J2" s="38"/>
    </row>
    <row r="3" s="2" customFormat="1" customHeight="1" spans="1:11">
      <c r="B3" s="9"/>
      <c r="C3" s="68"/>
      <c r="D3" s="68"/>
      <c r="E3" s="68"/>
      <c r="F3" s="68"/>
      <c r="G3" s="68"/>
      <c r="H3" s="68"/>
      <c r="I3" s="68"/>
      <c r="J3" s="68"/>
      <c r="K3" s="9"/>
    </row>
    <row r="4" s="2" customFormat="1" ht="30" customHeight="1" spans="1:11">
      <c r="B4" s="9"/>
      <c r="C4" s="48" t="s">
        <v>25</v>
      </c>
      <c r="D4" s="48" t="s">
        <v>26</v>
      </c>
      <c r="E4" s="48" t="s">
        <v>27</v>
      </c>
      <c r="F4" s="48" t="s">
        <v>28</v>
      </c>
      <c r="G4" s="48" t="s">
        <v>29</v>
      </c>
      <c r="H4" s="48" t="s">
        <v>30</v>
      </c>
      <c r="I4" s="48" t="s">
        <v>31</v>
      </c>
      <c r="J4" s="48" t="s">
        <v>32</v>
      </c>
      <c r="K4" s="9"/>
    </row>
    <row r="5" customHeight="1" spans="1:11">
      <c r="C5" s="65">
        <v>1</v>
      </c>
      <c r="D5" s="65" t="s">
        <v>36</v>
      </c>
      <c r="E5" s="65" t="s">
        <v>37</v>
      </c>
      <c r="F5" s="65" t="s">
        <v>38</v>
      </c>
      <c r="G5" s="65" t="s">
        <v>39</v>
      </c>
      <c r="J5" s="65">
        <v>13</v>
      </c>
      <c r="K5" s="32"/>
    </row>
    <row r="6" customHeight="1" spans="1:11">
      <c r="C6" s="65">
        <v>2</v>
      </c>
      <c r="D6" s="65" t="s">
        <v>40</v>
      </c>
      <c r="E6" s="65" t="s">
        <v>41</v>
      </c>
      <c r="F6" s="65" t="s">
        <v>42</v>
      </c>
      <c r="G6" s="65" t="s">
        <v>43</v>
      </c>
      <c r="J6" s="65">
        <v>3</v>
      </c>
    </row>
    <row r="7" customHeight="1" spans="1:11">
      <c r="C7" s="65">
        <v>3</v>
      </c>
      <c r="D7" s="65" t="s">
        <v>44</v>
      </c>
      <c r="E7" s="65" t="s">
        <v>45</v>
      </c>
      <c r="F7" s="65" t="s">
        <v>46</v>
      </c>
      <c r="G7" s="65" t="s">
        <v>47</v>
      </c>
      <c r="J7" s="65">
        <v>-2</v>
      </c>
    </row>
    <row r="8" customHeight="1" spans="1:11">
      <c r="C8" s="65">
        <v>4</v>
      </c>
      <c r="D8" s="65" t="s">
        <v>48</v>
      </c>
      <c r="E8" s="65">
        <v>778899</v>
      </c>
      <c r="F8" s="65" t="s">
        <v>46</v>
      </c>
      <c r="G8" s="65" t="s">
        <v>47</v>
      </c>
      <c r="J8" s="65">
        <v>0</v>
      </c>
    </row>
    <row r="9" customHeight="1" spans="1:11">
      <c r="C9" s="65">
        <v>5</v>
      </c>
      <c r="D9" s="65" t="s">
        <v>49</v>
      </c>
      <c r="E9" s="65" t="s">
        <v>50</v>
      </c>
      <c r="F9" s="65" t="s">
        <v>51</v>
      </c>
      <c r="G9" s="65" t="s">
        <v>43</v>
      </c>
      <c r="J9" s="65">
        <v>10</v>
      </c>
    </row>
    <row r="10" customHeight="1" spans="1:11">
      <c r="C10" s="65">
        <v>6</v>
      </c>
      <c r="D10" s="65" t="s">
        <v>52</v>
      </c>
      <c r="E10" s="65" t="s">
        <v>53</v>
      </c>
      <c r="F10" s="65" t="s">
        <v>54</v>
      </c>
      <c r="G10" s="65" t="s">
        <v>43</v>
      </c>
      <c r="J10" s="65">
        <v>1</v>
      </c>
    </row>
    <row r="11" customHeight="1" spans="1:11">
      <c r="C11" s="65">
        <v>7</v>
      </c>
      <c r="D11" s="65" t="s">
        <v>55</v>
      </c>
      <c r="E11" s="65" t="s">
        <v>56</v>
      </c>
      <c r="F11" s="65" t="s">
        <v>57</v>
      </c>
      <c r="G11" s="65" t="s">
        <v>58</v>
      </c>
      <c r="J11" s="65">
        <v>-3</v>
      </c>
    </row>
    <row r="12" customHeight="1" spans="1:11">
      <c r="C12" s="65">
        <v>8</v>
      </c>
      <c r="D12" s="65" t="s">
        <v>59</v>
      </c>
      <c r="E12" s="65" t="s">
        <v>50</v>
      </c>
      <c r="F12" s="65" t="s">
        <v>42</v>
      </c>
      <c r="G12" s="65" t="s">
        <v>60</v>
      </c>
      <c r="J12" s="65">
        <v>-2</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J12"/>
  <sheetViews>
    <sheetView showGridLines="0" workbookViewId="0">
      <pane ySplit="4" topLeftCell="A5" activePane="bottomLeft" state="frozen"/>
      <selection/>
      <selection pane="bottomLeft" activeCell="I8" sqref="I8"/>
    </sheetView>
  </sheetViews>
  <sheetFormatPr defaultColWidth="9" defaultRowHeight="20.1" customHeight="1"/>
  <cols>
    <col min="1" max="1" width="4.625" style="3" customWidth="1"/>
    <col min="2" max="2" width="3.375" style="4" customWidth="1"/>
    <col min="3" max="9" width="16.875" style="65" customWidth="1"/>
    <col min="10" max="10" width="3.375" style="4" customWidth="1"/>
    <col min="11" max="16384" width="9" style="3"/>
  </cols>
  <sheetData>
    <row r="1" s="1" customFormat="1" ht="60" customHeight="1" spans="1:10">
      <c r="A1" s="7"/>
    </row>
    <row r="2" s="2" customFormat="1" ht="39.95" customHeight="1" spans="1:10">
      <c r="C2" s="66" t="s">
        <v>61</v>
      </c>
      <c r="H2" s="67"/>
      <c r="I2" s="38"/>
    </row>
    <row r="3" s="2" customFormat="1" customHeight="1" spans="1:10">
      <c r="B3" s="9"/>
      <c r="C3" s="68"/>
      <c r="D3" s="68"/>
      <c r="E3" s="68"/>
      <c r="F3" s="68"/>
      <c r="G3" s="68"/>
      <c r="H3" s="68"/>
      <c r="I3" s="68"/>
      <c r="J3" s="9"/>
    </row>
    <row r="4" s="2" customFormat="1" ht="30" customHeight="1" spans="1:10">
      <c r="B4" s="9"/>
      <c r="C4" s="48" t="s">
        <v>25</v>
      </c>
      <c r="D4" s="48" t="s">
        <v>26</v>
      </c>
      <c r="E4" s="48" t="s">
        <v>27</v>
      </c>
      <c r="F4" s="48" t="s">
        <v>28</v>
      </c>
      <c r="G4" s="48" t="s">
        <v>29</v>
      </c>
      <c r="H4" s="48" t="s">
        <v>32</v>
      </c>
      <c r="I4" s="48" t="s">
        <v>62</v>
      </c>
      <c r="J4" s="9"/>
    </row>
    <row r="5" customHeight="1" spans="1:10">
      <c r="C5" s="65">
        <v>1</v>
      </c>
      <c r="D5" s="65" t="s">
        <v>36</v>
      </c>
      <c r="E5" s="65" t="s">
        <v>37</v>
      </c>
      <c r="F5" s="65" t="s">
        <v>38</v>
      </c>
      <c r="G5" s="65" t="s">
        <v>39</v>
      </c>
      <c r="H5" s="65">
        <v>12</v>
      </c>
    </row>
    <row r="6" customHeight="1" spans="1:10">
      <c r="C6" s="65">
        <v>2</v>
      </c>
      <c r="D6" s="65" t="s">
        <v>40</v>
      </c>
      <c r="E6" s="65" t="s">
        <v>41</v>
      </c>
      <c r="F6" s="65" t="s">
        <v>42</v>
      </c>
      <c r="G6" s="65" t="s">
        <v>43</v>
      </c>
      <c r="H6" s="65">
        <v>1</v>
      </c>
    </row>
    <row r="7" customHeight="1" spans="1:10">
      <c r="C7" s="65">
        <v>3</v>
      </c>
      <c r="D7" s="65" t="s">
        <v>44</v>
      </c>
      <c r="E7" s="65" t="s">
        <v>45</v>
      </c>
      <c r="F7" s="65" t="s">
        <v>46</v>
      </c>
      <c r="G7" s="65" t="s">
        <v>47</v>
      </c>
      <c r="H7" s="65">
        <v>12</v>
      </c>
    </row>
    <row r="8" customHeight="1" spans="1:10">
      <c r="C8" s="65">
        <v>4</v>
      </c>
      <c r="D8" s="65" t="s">
        <v>48</v>
      </c>
      <c r="E8" s="65">
        <v>778899</v>
      </c>
      <c r="F8" s="65" t="s">
        <v>46</v>
      </c>
      <c r="G8" s="65" t="s">
        <v>47</v>
      </c>
      <c r="H8" s="65">
        <v>0</v>
      </c>
    </row>
    <row r="9" customHeight="1" spans="1:10">
      <c r="C9" s="65">
        <v>5</v>
      </c>
      <c r="D9" s="65" t="s">
        <v>49</v>
      </c>
      <c r="E9" s="65" t="s">
        <v>50</v>
      </c>
      <c r="F9" s="65" t="s">
        <v>51</v>
      </c>
      <c r="G9" s="65" t="s">
        <v>43</v>
      </c>
      <c r="H9" s="65">
        <v>0</v>
      </c>
    </row>
    <row r="10" customHeight="1" spans="1:10">
      <c r="C10" s="65">
        <v>6</v>
      </c>
      <c r="D10" s="65" t="s">
        <v>52</v>
      </c>
      <c r="E10" s="65" t="s">
        <v>53</v>
      </c>
      <c r="F10" s="65" t="s">
        <v>54</v>
      </c>
      <c r="G10" s="65" t="s">
        <v>43</v>
      </c>
      <c r="H10" s="65">
        <v>-1</v>
      </c>
    </row>
    <row r="11" customHeight="1" spans="1:10">
      <c r="C11" s="65">
        <v>7</v>
      </c>
      <c r="D11" s="65" t="s">
        <v>55</v>
      </c>
      <c r="E11" s="65" t="s">
        <v>56</v>
      </c>
      <c r="F11" s="65" t="s">
        <v>57</v>
      </c>
      <c r="G11" s="65" t="s">
        <v>58</v>
      </c>
      <c r="H11" s="65">
        <v>0</v>
      </c>
    </row>
    <row r="12" customHeight="1" spans="1:10">
      <c r="C12" s="65">
        <v>8</v>
      </c>
      <c r="D12" s="65" t="s">
        <v>59</v>
      </c>
      <c r="E12" s="65" t="s">
        <v>50</v>
      </c>
      <c r="F12" s="65" t="s">
        <v>42</v>
      </c>
      <c r="G12" s="65" t="s">
        <v>60</v>
      </c>
      <c r="H12" s="65">
        <v>4</v>
      </c>
    </row>
  </sheetData>
  <sheetProtection formatCells="0" formatColumns="0" formatRows="0" insertRows="0" insertColumns="0" insertHyperlinks="0" deleteColumns="0" deleteRows="0" sort="0" autoFilter="0" pivotTables="0"/>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12"/>
  <sheetViews>
    <sheetView showGridLines="0" workbookViewId="0">
      <pane ySplit="4" topLeftCell="A5" activePane="bottomLeft" state="frozen"/>
      <selection/>
      <selection pane="bottomLeft" activeCell="I6" sqref="I6"/>
    </sheetView>
  </sheetViews>
  <sheetFormatPr defaultColWidth="9" defaultRowHeight="20.1" customHeight="1"/>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61</v>
      </c>
      <c r="H2" s="67"/>
      <c r="I2" s="38"/>
      <c r="J2" s="38"/>
    </row>
    <row r="3" s="2" customFormat="1" customHeight="1" spans="1:11">
      <c r="B3" s="9"/>
      <c r="C3" s="68"/>
      <c r="D3" s="68"/>
      <c r="E3" s="68"/>
      <c r="F3" s="68"/>
      <c r="G3" s="68"/>
      <c r="H3" s="68"/>
      <c r="I3" s="68"/>
      <c r="J3" s="68"/>
      <c r="K3" s="9"/>
    </row>
    <row r="4" s="2" customFormat="1" ht="30" customHeight="1" spans="1:11">
      <c r="B4" s="9"/>
      <c r="C4" s="48" t="s">
        <v>25</v>
      </c>
      <c r="D4" s="48" t="s">
        <v>26</v>
      </c>
      <c r="E4" s="48" t="s">
        <v>27</v>
      </c>
      <c r="F4" s="48" t="s">
        <v>28</v>
      </c>
      <c r="G4" s="48" t="s">
        <v>29</v>
      </c>
      <c r="H4" s="48" t="s">
        <v>30</v>
      </c>
      <c r="I4" s="48" t="s">
        <v>31</v>
      </c>
      <c r="J4" s="48" t="s">
        <v>32</v>
      </c>
      <c r="K4" s="9"/>
    </row>
    <row r="5" customHeight="1" spans="1:11">
      <c r="C5" s="65">
        <v>1</v>
      </c>
      <c r="D5" s="65" t="s">
        <v>36</v>
      </c>
      <c r="E5" s="65" t="s">
        <v>37</v>
      </c>
      <c r="F5" s="65" t="s">
        <v>38</v>
      </c>
      <c r="G5" s="65" t="s">
        <v>39</v>
      </c>
      <c r="J5" s="65">
        <v>13</v>
      </c>
      <c r="K5" s="32"/>
    </row>
    <row r="6" customHeight="1" spans="1:11">
      <c r="C6" s="65">
        <v>2</v>
      </c>
      <c r="D6" s="65" t="s">
        <v>40</v>
      </c>
      <c r="E6" s="65" t="s">
        <v>41</v>
      </c>
      <c r="F6" s="65" t="s">
        <v>42</v>
      </c>
      <c r="G6" s="65" t="s">
        <v>43</v>
      </c>
      <c r="J6" s="65">
        <v>1</v>
      </c>
    </row>
    <row r="7" customHeight="1" spans="1:11">
      <c r="C7" s="65">
        <v>3</v>
      </c>
      <c r="D7" s="65" t="s">
        <v>44</v>
      </c>
      <c r="E7" s="65" t="s">
        <v>45</v>
      </c>
      <c r="F7" s="65" t="s">
        <v>46</v>
      </c>
      <c r="G7" s="65" t="s">
        <v>47</v>
      </c>
      <c r="J7" s="65">
        <v>12</v>
      </c>
    </row>
    <row r="8" customHeight="1" spans="1:11">
      <c r="C8" s="65">
        <v>4</v>
      </c>
      <c r="D8" s="65" t="s">
        <v>48</v>
      </c>
      <c r="E8" s="65">
        <v>778899</v>
      </c>
      <c r="F8" s="65" t="s">
        <v>46</v>
      </c>
      <c r="G8" s="65" t="s">
        <v>47</v>
      </c>
      <c r="J8" s="65">
        <v>0</v>
      </c>
    </row>
    <row r="9" customHeight="1" spans="1:11">
      <c r="C9" s="65">
        <v>5</v>
      </c>
      <c r="D9" s="65" t="s">
        <v>49</v>
      </c>
      <c r="E9" s="65" t="s">
        <v>50</v>
      </c>
      <c r="F9" s="65" t="s">
        <v>51</v>
      </c>
      <c r="G9" s="65" t="s">
        <v>43</v>
      </c>
      <c r="J9" s="65">
        <v>0</v>
      </c>
    </row>
    <row r="10" customHeight="1" spans="1:11">
      <c r="C10" s="65">
        <v>6</v>
      </c>
      <c r="D10" s="65" t="s">
        <v>52</v>
      </c>
      <c r="E10" s="65" t="s">
        <v>53</v>
      </c>
      <c r="F10" s="65" t="s">
        <v>54</v>
      </c>
      <c r="G10" s="65" t="s">
        <v>43</v>
      </c>
      <c r="J10" s="65">
        <v>-1</v>
      </c>
    </row>
    <row r="11" customHeight="1" spans="1:11">
      <c r="C11" s="65">
        <v>7</v>
      </c>
      <c r="D11" s="65" t="s">
        <v>55</v>
      </c>
      <c r="E11" s="65" t="s">
        <v>56</v>
      </c>
      <c r="F11" s="65" t="s">
        <v>57</v>
      </c>
      <c r="G11" s="65" t="s">
        <v>58</v>
      </c>
      <c r="J11" s="65">
        <v>0</v>
      </c>
    </row>
    <row r="12" customHeight="1" spans="1:11">
      <c r="C12" s="65">
        <v>8</v>
      </c>
      <c r="D12" s="65" t="s">
        <v>59</v>
      </c>
      <c r="E12" s="65" t="s">
        <v>50</v>
      </c>
      <c r="F12" s="65" t="s">
        <v>42</v>
      </c>
      <c r="G12" s="65" t="s">
        <v>60</v>
      </c>
      <c r="J12" s="65">
        <v>4</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13"/>
  <sheetViews>
    <sheetView showGridLines="0" workbookViewId="0">
      <pane ySplit="4" topLeftCell="A5" activePane="bottomLeft" state="frozen"/>
      <selection/>
      <selection pane="bottomLeft" activeCell="I8" sqref="I8"/>
    </sheetView>
  </sheetViews>
  <sheetFormatPr defaultColWidth="9" defaultRowHeight="20.1" customHeight="1"/>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61</v>
      </c>
      <c r="H2" s="67"/>
      <c r="I2" s="38"/>
      <c r="J2" s="38"/>
    </row>
    <row r="3" s="2" customFormat="1" customHeight="1" spans="1:11">
      <c r="B3" s="9"/>
      <c r="C3" s="68"/>
      <c r="D3" s="68"/>
      <c r="E3" s="68"/>
      <c r="F3" s="68"/>
      <c r="G3" s="68"/>
      <c r="H3" s="68"/>
      <c r="I3" s="68"/>
      <c r="J3" s="68"/>
      <c r="K3" s="9"/>
    </row>
    <row r="4" s="2" customFormat="1" ht="30" customHeight="1" spans="1:11">
      <c r="B4" s="9"/>
      <c r="C4" s="48" t="s">
        <v>25</v>
      </c>
      <c r="D4" s="48" t="s">
        <v>26</v>
      </c>
      <c r="E4" s="48" t="s">
        <v>27</v>
      </c>
      <c r="F4" s="48" t="s">
        <v>28</v>
      </c>
      <c r="G4" s="48" t="s">
        <v>29</v>
      </c>
      <c r="H4" s="48" t="s">
        <v>30</v>
      </c>
      <c r="I4" s="48" t="s">
        <v>31</v>
      </c>
      <c r="J4" s="48" t="s">
        <v>32</v>
      </c>
      <c r="K4" s="9"/>
    </row>
    <row r="5" customHeight="1" spans="1:11">
      <c r="C5" s="65">
        <v>1</v>
      </c>
      <c r="D5" s="65" t="s">
        <v>36</v>
      </c>
      <c r="E5" s="65" t="s">
        <v>37</v>
      </c>
      <c r="F5" s="65" t="s">
        <v>38</v>
      </c>
      <c r="G5" s="65" t="s">
        <v>39</v>
      </c>
      <c r="J5" s="65">
        <v>12</v>
      </c>
      <c r="K5" s="32"/>
    </row>
    <row r="6" customHeight="1" spans="1:11">
      <c r="C6" s="65">
        <v>2</v>
      </c>
      <c r="D6" s="65" t="s">
        <v>40</v>
      </c>
      <c r="E6" s="65" t="s">
        <v>41</v>
      </c>
      <c r="F6" s="65" t="s">
        <v>42</v>
      </c>
      <c r="G6" s="65" t="s">
        <v>43</v>
      </c>
      <c r="J6" s="65">
        <v>1</v>
      </c>
    </row>
    <row r="7" customHeight="1" spans="1:11">
      <c r="C7" s="65">
        <v>3</v>
      </c>
      <c r="D7" s="65" t="s">
        <v>44</v>
      </c>
      <c r="E7" s="65" t="s">
        <v>45</v>
      </c>
      <c r="F7" s="65" t="s">
        <v>46</v>
      </c>
      <c r="G7" s="65" t="s">
        <v>47</v>
      </c>
      <c r="J7" s="65">
        <v>12</v>
      </c>
    </row>
    <row r="8" customHeight="1" spans="1:11">
      <c r="C8" s="65">
        <v>4</v>
      </c>
      <c r="D8" s="65" t="s">
        <v>48</v>
      </c>
      <c r="E8" s="65">
        <v>778899</v>
      </c>
      <c r="F8" s="65" t="s">
        <v>46</v>
      </c>
      <c r="G8" s="65" t="s">
        <v>47</v>
      </c>
      <c r="J8" s="65">
        <v>0</v>
      </c>
    </row>
    <row r="9" customHeight="1" spans="1:11">
      <c r="C9" s="65">
        <v>5</v>
      </c>
      <c r="D9" s="65" t="s">
        <v>49</v>
      </c>
      <c r="E9" s="65" t="s">
        <v>50</v>
      </c>
      <c r="F9" s="65" t="s">
        <v>51</v>
      </c>
      <c r="G9" s="65" t="s">
        <v>43</v>
      </c>
      <c r="J9" s="65">
        <v>0</v>
      </c>
    </row>
    <row r="10" customHeight="1" spans="1:11">
      <c r="C10" s="65">
        <v>6</v>
      </c>
      <c r="D10" s="65" t="s">
        <v>52</v>
      </c>
      <c r="E10" s="65" t="s">
        <v>53</v>
      </c>
      <c r="F10" s="65" t="s">
        <v>54</v>
      </c>
      <c r="G10" s="65" t="s">
        <v>43</v>
      </c>
      <c r="J10" s="65">
        <v>-1</v>
      </c>
    </row>
    <row r="11" customHeight="1" spans="1:11">
      <c r="C11" s="65">
        <v>7</v>
      </c>
      <c r="D11" s="65" t="s">
        <v>55</v>
      </c>
      <c r="E11" s="65" t="s">
        <v>56</v>
      </c>
      <c r="F11" s="65" t="s">
        <v>57</v>
      </c>
      <c r="G11" s="65" t="s">
        <v>58</v>
      </c>
      <c r="J11" s="65">
        <v>0</v>
      </c>
    </row>
    <row r="12" customHeight="1" spans="1:11">
      <c r="C12" s="65">
        <v>8</v>
      </c>
      <c r="D12" s="65" t="s">
        <v>59</v>
      </c>
      <c r="E12" s="65" t="s">
        <v>50</v>
      </c>
      <c r="F12" s="65" t="s">
        <v>42</v>
      </c>
      <c r="G12" s="65" t="s">
        <v>60</v>
      </c>
      <c r="J12" s="65">
        <v>4</v>
      </c>
    </row>
    <row r="13" customHeight="1" spans="1:11">
      <c r="J13" s="65">
        <v>4</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U6"/>
  <sheetViews>
    <sheetView showGridLines="0" topLeftCell="C1" workbookViewId="0">
      <pane ySplit="4" topLeftCell="A5" activePane="bottomLeft" state="frozen"/>
      <selection/>
      <selection pane="bottomLeft" activeCell="I10" sqref="I10"/>
    </sheetView>
  </sheetViews>
  <sheetFormatPr defaultColWidth="9" defaultRowHeight="20.1" customHeight="1" outlineLevelRow="5"/>
  <cols>
    <col min="1" max="1" width="3.375" style="4" customWidth="1"/>
    <col min="2" max="2" width="7.125" style="65" customWidth="1"/>
    <col min="3" max="3" width="14.875" style="65" customWidth="1"/>
    <col min="4" max="4" width="16.875" style="65" customWidth="1"/>
    <col min="5" max="7" width="9.375" style="65"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69"/>
      <c r="G2" s="67"/>
    </row>
    <row r="3" s="2" customFormat="1" customHeight="1" spans="1:21">
      <c r="A3" s="9"/>
      <c r="B3" s="68"/>
      <c r="C3" s="68"/>
      <c r="D3" s="68"/>
      <c r="E3" s="68"/>
      <c r="F3" s="68"/>
      <c r="G3" s="68"/>
      <c r="H3" s="9"/>
      <c r="J3" s="70" t="s">
        <v>63</v>
      </c>
      <c r="K3" s="70" t="s">
        <v>64</v>
      </c>
      <c r="L3" s="70" t="s">
        <v>65</v>
      </c>
      <c r="M3" s="70" t="s">
        <v>66</v>
      </c>
      <c r="N3" s="71" t="s">
        <v>67</v>
      </c>
      <c r="O3" s="71" t="s">
        <v>61</v>
      </c>
      <c r="P3" s="71"/>
      <c r="Q3" s="71"/>
      <c r="R3" s="71"/>
      <c r="S3" s="71"/>
      <c r="T3" s="71"/>
      <c r="U3" s="71"/>
    </row>
    <row r="4" s="2" customFormat="1" ht="30" customHeight="1" spans="1:21">
      <c r="A4" s="9"/>
      <c r="B4" s="48" t="s">
        <v>25</v>
      </c>
      <c r="C4" s="48" t="s">
        <v>68</v>
      </c>
      <c r="D4" s="48" t="s">
        <v>69</v>
      </c>
      <c r="E4" s="48" t="s">
        <v>70</v>
      </c>
      <c r="F4" s="48" t="s">
        <v>30</v>
      </c>
      <c r="G4" s="48" t="s">
        <v>71</v>
      </c>
      <c r="H4" s="9"/>
      <c r="J4" s="73">
        <v>2</v>
      </c>
      <c r="K4" s="73">
        <v>48</v>
      </c>
      <c r="L4" s="74">
        <v>2</v>
      </c>
      <c r="M4" s="73">
        <v>1</v>
      </c>
      <c r="N4" s="71">
        <v>12</v>
      </c>
      <c r="O4" s="71">
        <v>12</v>
      </c>
      <c r="P4" s="71"/>
      <c r="Q4" s="71"/>
      <c r="R4" s="71"/>
      <c r="S4" s="71"/>
      <c r="T4" s="71"/>
      <c r="U4" s="71"/>
    </row>
    <row r="5" customHeight="1" spans="1:21">
      <c r="B5" s="65">
        <v>1</v>
      </c>
      <c r="C5" s="65" t="s">
        <v>46</v>
      </c>
      <c r="D5" s="65" t="s">
        <v>44</v>
      </c>
      <c r="E5" s="65">
        <v>3</v>
      </c>
      <c r="F5" s="65">
        <v>12</v>
      </c>
      <c r="G5" s="65" t="s">
        <v>67</v>
      </c>
    </row>
    <row r="6" customHeight="1" spans="1:21">
      <c r="B6" s="65">
        <v>2</v>
      </c>
      <c r="C6" s="65" t="s">
        <v>46</v>
      </c>
      <c r="D6" s="65" t="s">
        <v>44</v>
      </c>
      <c r="E6" s="65">
        <v>1</v>
      </c>
      <c r="F6" s="65">
        <v>12</v>
      </c>
      <c r="G6" s="65" t="s">
        <v>61</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U4"/>
  <sheetViews>
    <sheetView showGridLines="0" workbookViewId="0">
      <pane ySplit="4" topLeftCell="A5" activePane="bottomLeft" state="frozen"/>
      <selection/>
      <selection pane="bottomLeft" activeCell="AC3" sqref="AC3"/>
    </sheetView>
  </sheetViews>
  <sheetFormatPr defaultColWidth="9" defaultRowHeight="20.1" customHeight="1" outlineLevelRow="3"/>
  <cols>
    <col min="1" max="1" width="3.375" style="4" customWidth="1"/>
    <col min="2" max="2" width="7.125" style="65" customWidth="1"/>
    <col min="3" max="3" width="14.875" style="65" customWidth="1"/>
    <col min="4" max="4" width="16.875" style="65" customWidth="1"/>
    <col min="5" max="7" width="9.375" style="65"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69"/>
      <c r="G2" s="67"/>
    </row>
    <row r="3" s="2" customFormat="1" customHeight="1" spans="1:21">
      <c r="A3" s="9"/>
      <c r="B3" s="68"/>
      <c r="C3" s="68"/>
      <c r="D3" s="68"/>
      <c r="E3" s="68"/>
      <c r="F3" s="68"/>
      <c r="G3" s="68"/>
      <c r="H3" s="9"/>
      <c r="J3" s="70" t="s">
        <v>63</v>
      </c>
      <c r="K3" s="70" t="s">
        <v>64</v>
      </c>
      <c r="L3" s="70" t="s">
        <v>65</v>
      </c>
      <c r="M3" s="70" t="s">
        <v>66</v>
      </c>
      <c r="N3" s="71" t="s">
        <v>67</v>
      </c>
      <c r="O3" s="71" t="s">
        <v>61</v>
      </c>
      <c r="P3" s="71" t="s">
        <v>35</v>
      </c>
      <c r="Q3" s="71" t="s">
        <v>72</v>
      </c>
      <c r="R3" s="71" t="s">
        <v>73</v>
      </c>
      <c r="S3" s="71">
        <v>12</v>
      </c>
      <c r="T3" s="71"/>
      <c r="U3" s="71"/>
    </row>
    <row r="4" s="2" customFormat="1" ht="30" customHeight="1" spans="1:21">
      <c r="A4" s="9"/>
      <c r="B4" s="48" t="s">
        <v>25</v>
      </c>
      <c r="C4" s="48" t="s">
        <v>68</v>
      </c>
      <c r="D4" s="48" t="s">
        <v>69</v>
      </c>
      <c r="E4" s="48" t="s">
        <v>70</v>
      </c>
      <c r="F4" s="48" t="s">
        <v>30</v>
      </c>
      <c r="G4" s="48" t="s">
        <v>71</v>
      </c>
      <c r="H4" s="9"/>
      <c r="J4" s="73">
        <v>16</v>
      </c>
      <c r="K4" s="73">
        <v>2029</v>
      </c>
      <c r="L4" s="74">
        <v>2.66666666666667</v>
      </c>
      <c r="M4" s="73">
        <v>6</v>
      </c>
      <c r="N4" s="71">
        <v>6</v>
      </c>
      <c r="O4" s="71">
        <v>49</v>
      </c>
      <c r="P4" s="71">
        <v>4</v>
      </c>
      <c r="Q4" s="71">
        <v>5</v>
      </c>
      <c r="R4" s="71">
        <v>11</v>
      </c>
      <c r="S4" s="71">
        <v>1</v>
      </c>
      <c r="T4" s="71"/>
      <c r="U4" s="71"/>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AH12"/>
  <sheetViews>
    <sheetView showGridLines="0" workbookViewId="0">
      <pane ySplit="4" topLeftCell="A5" activePane="bottomLeft" state="frozen"/>
      <selection/>
      <selection pane="bottomLeft" activeCell="AC3" sqref="AC3"/>
    </sheetView>
  </sheetViews>
  <sheetFormatPr defaultColWidth="9" defaultRowHeight="20.1" customHeight="1"/>
  <cols>
    <col min="1" max="1" width="3.375" style="4" customWidth="1"/>
    <col min="2" max="2" width="7.125" style="65" customWidth="1"/>
    <col min="3" max="3" width="14.875" style="65" customWidth="1"/>
    <col min="4" max="4" width="16.875" style="65" customWidth="1"/>
    <col min="5" max="7" width="9.375" style="65" customWidth="1"/>
    <col min="8" max="8" width="3.375" style="4" customWidth="1"/>
    <col min="9" max="9" width="9" style="3"/>
    <col min="10" max="13" width="15" style="3" customWidth="1"/>
    <col min="14" max="16384" width="9" style="3"/>
  </cols>
  <sheetData>
    <row r="1" s="1" customFormat="1" ht="60" customHeight="1"/>
    <row r="2" s="2" customFormat="1" ht="39.95" customHeight="1" spans="1:34">
      <c r="B2" s="69"/>
      <c r="G2" s="67"/>
    </row>
    <row r="3" s="2" customFormat="1" customHeight="1" spans="1:34">
      <c r="A3" s="9"/>
      <c r="B3" s="68"/>
      <c r="C3" s="68"/>
      <c r="D3" s="68"/>
      <c r="E3" s="68"/>
      <c r="F3" s="68"/>
      <c r="G3" s="68"/>
      <c r="H3" s="9"/>
      <c r="J3" s="70" t="s">
        <v>63</v>
      </c>
      <c r="K3" s="70" t="s">
        <v>64</v>
      </c>
      <c r="L3" s="70" t="s">
        <v>65</v>
      </c>
      <c r="M3" s="70" t="s">
        <v>66</v>
      </c>
      <c r="N3" s="71" t="s">
        <v>61</v>
      </c>
      <c r="O3" s="71" t="s">
        <v>35</v>
      </c>
      <c r="P3" s="71">
        <v>22</v>
      </c>
      <c r="Q3" s="71"/>
      <c r="R3" s="71"/>
      <c r="S3" s="71"/>
      <c r="T3" s="71"/>
      <c r="U3" s="71"/>
      <c r="V3" s="72"/>
      <c r="W3" s="72"/>
      <c r="X3" s="72"/>
      <c r="Y3" s="72"/>
      <c r="Z3" s="72"/>
      <c r="AA3" s="72"/>
      <c r="AB3" s="72"/>
      <c r="AC3" s="72"/>
      <c r="AD3" s="72"/>
      <c r="AE3" s="72"/>
      <c r="AF3" s="72"/>
      <c r="AG3" s="72"/>
      <c r="AH3" s="72"/>
    </row>
    <row r="4" s="2" customFormat="1" ht="30" customHeight="1" spans="1:34">
      <c r="A4" s="9"/>
      <c r="B4" s="48" t="s">
        <v>25</v>
      </c>
      <c r="C4" s="48" t="s">
        <v>68</v>
      </c>
      <c r="D4" s="48" t="s">
        <v>69</v>
      </c>
      <c r="E4" s="48" t="s">
        <v>70</v>
      </c>
      <c r="F4" s="48" t="s">
        <v>30</v>
      </c>
      <c r="G4" s="48" t="s">
        <v>71</v>
      </c>
      <c r="H4" s="9"/>
      <c r="J4" s="73">
        <v>8</v>
      </c>
      <c r="K4" s="73">
        <v>312</v>
      </c>
      <c r="L4" s="74">
        <v>2</v>
      </c>
      <c r="M4" s="73">
        <v>4</v>
      </c>
      <c r="N4" s="71">
        <v>17</v>
      </c>
      <c r="O4" s="71">
        <v>3</v>
      </c>
      <c r="P4" s="71">
        <v>1</v>
      </c>
      <c r="Q4" s="71"/>
      <c r="R4" s="71"/>
      <c r="S4" s="71"/>
      <c r="T4" s="71"/>
      <c r="U4" s="71"/>
      <c r="V4" s="72"/>
      <c r="W4" s="72"/>
      <c r="X4" s="72"/>
      <c r="Y4" s="72"/>
      <c r="Z4" s="72"/>
      <c r="AA4" s="72"/>
      <c r="AB4" s="72"/>
      <c r="AC4" s="72"/>
      <c r="AD4" s="72"/>
      <c r="AE4" s="72"/>
      <c r="AF4" s="72"/>
      <c r="AG4" s="72"/>
      <c r="AH4" s="72"/>
    </row>
    <row r="5" customHeight="1" spans="1:34">
      <c r="B5" s="65">
        <v>1</v>
      </c>
      <c r="C5" s="65">
        <v>111</v>
      </c>
      <c r="D5" s="65">
        <v>111</v>
      </c>
      <c r="E5" s="65">
        <v>100</v>
      </c>
      <c r="F5" s="65">
        <v>1</v>
      </c>
      <c r="G5" s="65" t="s">
        <v>61</v>
      </c>
    </row>
    <row r="6" customHeight="1" spans="1:34">
      <c r="B6" s="65">
        <v>2</v>
      </c>
      <c r="C6" s="65">
        <v>111</v>
      </c>
      <c r="D6" s="65">
        <v>111</v>
      </c>
      <c r="E6" s="65">
        <v>20</v>
      </c>
      <c r="F6" s="65">
        <v>3</v>
      </c>
      <c r="G6" s="65" t="s">
        <v>61</v>
      </c>
    </row>
    <row r="7" customHeight="1" spans="1:34">
      <c r="B7" s="65">
        <v>3</v>
      </c>
      <c r="C7" s="65" t="s">
        <v>38</v>
      </c>
      <c r="D7" s="65" t="s">
        <v>36</v>
      </c>
      <c r="E7" s="65">
        <v>3</v>
      </c>
      <c r="F7" s="65">
        <v>1</v>
      </c>
      <c r="G7" s="65" t="s">
        <v>35</v>
      </c>
    </row>
    <row r="8" customHeight="1" spans="1:34">
      <c r="B8" s="65">
        <v>4</v>
      </c>
      <c r="C8" s="65">
        <v>111</v>
      </c>
      <c r="D8" s="65">
        <v>111</v>
      </c>
      <c r="E8" s="65">
        <v>1</v>
      </c>
      <c r="F8" s="65">
        <v>1</v>
      </c>
      <c r="G8" s="65">
        <v>22</v>
      </c>
    </row>
    <row r="9" customHeight="1" spans="1:34">
      <c r="B9" s="65">
        <v>5</v>
      </c>
      <c r="C9" s="65" t="s">
        <v>38</v>
      </c>
      <c r="D9" s="65" t="s">
        <v>36</v>
      </c>
      <c r="E9" s="65">
        <v>12</v>
      </c>
      <c r="F9" s="65">
        <v>12</v>
      </c>
      <c r="G9" s="65" t="s">
        <v>61</v>
      </c>
    </row>
    <row r="10" customHeight="1" spans="1:34">
      <c r="B10" s="65">
        <v>6</v>
      </c>
      <c r="C10" s="65" t="s">
        <v>74</v>
      </c>
      <c r="D10" s="65" t="s">
        <v>49</v>
      </c>
      <c r="E10" s="65">
        <v>1</v>
      </c>
      <c r="F10" s="65">
        <v>1</v>
      </c>
      <c r="G10" s="65" t="s">
        <v>35</v>
      </c>
    </row>
    <row r="11" customHeight="1" spans="1:34">
      <c r="B11" s="65">
        <v>7</v>
      </c>
      <c r="C11" s="65" t="s">
        <v>74</v>
      </c>
      <c r="D11" s="65" t="s">
        <v>49</v>
      </c>
      <c r="E11" s="65">
        <v>1</v>
      </c>
      <c r="F11" s="65">
        <v>1</v>
      </c>
      <c r="G11" s="65" t="s">
        <v>35</v>
      </c>
    </row>
    <row r="12" customHeight="1" spans="1:34">
      <c r="B12" s="65">
        <v>8</v>
      </c>
      <c r="C12" s="65" t="s">
        <v>42</v>
      </c>
      <c r="D12" s="65" t="s">
        <v>59</v>
      </c>
      <c r="E12" s="65">
        <v>2</v>
      </c>
      <c r="F12" s="65">
        <v>1</v>
      </c>
      <c r="G12" s="65" t="s">
        <v>61</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K12"/>
  <sheetViews>
    <sheetView showGridLines="0" workbookViewId="0">
      <pane ySplit="4" topLeftCell="A5" activePane="bottomLeft" state="frozen"/>
      <selection/>
      <selection pane="bottomLeft" activeCell="H8" sqref="H8"/>
    </sheetView>
  </sheetViews>
  <sheetFormatPr defaultColWidth="9" defaultRowHeight="20.1" customHeight="1"/>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61</v>
      </c>
      <c r="H2" s="67"/>
      <c r="I2" s="38"/>
      <c r="J2" s="38"/>
    </row>
    <row r="3" s="2" customFormat="1" customHeight="1" spans="1:11">
      <c r="B3" s="9"/>
      <c r="C3" s="68"/>
      <c r="D3" s="68"/>
      <c r="E3" s="68"/>
      <c r="F3" s="68"/>
      <c r="G3" s="68"/>
      <c r="H3" s="68"/>
      <c r="I3" s="68"/>
      <c r="J3" s="68"/>
      <c r="K3" s="9"/>
    </row>
    <row r="4" s="2" customFormat="1" ht="30" customHeight="1" spans="1:11">
      <c r="B4" s="9"/>
      <c r="C4" s="48" t="s">
        <v>25</v>
      </c>
      <c r="D4" s="48" t="s">
        <v>26</v>
      </c>
      <c r="E4" s="48" t="s">
        <v>27</v>
      </c>
      <c r="F4" s="48" t="s">
        <v>28</v>
      </c>
      <c r="G4" s="48" t="s">
        <v>29</v>
      </c>
      <c r="H4" s="48" t="s">
        <v>30</v>
      </c>
      <c r="I4" s="48" t="s">
        <v>31</v>
      </c>
      <c r="J4" s="48" t="s">
        <v>32</v>
      </c>
      <c r="K4" s="9"/>
    </row>
    <row r="5" customHeight="1" spans="1:11">
      <c r="C5" s="65">
        <v>1</v>
      </c>
      <c r="D5" s="65" t="s">
        <v>36</v>
      </c>
      <c r="E5" s="65" t="s">
        <v>37</v>
      </c>
      <c r="F5" s="65" t="s">
        <v>38</v>
      </c>
      <c r="G5" s="65" t="s">
        <v>39</v>
      </c>
      <c r="J5" s="65">
        <v>24</v>
      </c>
      <c r="K5" s="32"/>
    </row>
    <row r="6" customHeight="1" spans="1:11">
      <c r="C6" s="65">
        <v>2</v>
      </c>
      <c r="D6" s="65" t="s">
        <v>40</v>
      </c>
      <c r="E6" s="65" t="s">
        <v>41</v>
      </c>
      <c r="F6" s="65" t="s">
        <v>42</v>
      </c>
      <c r="G6" s="65" t="s">
        <v>43</v>
      </c>
      <c r="J6" s="65">
        <v>1</v>
      </c>
    </row>
    <row r="7" customHeight="1" spans="1:11">
      <c r="C7" s="65">
        <v>3</v>
      </c>
      <c r="D7" s="65" t="s">
        <v>44</v>
      </c>
      <c r="E7" s="65" t="s">
        <v>45</v>
      </c>
      <c r="F7" s="65" t="s">
        <v>46</v>
      </c>
      <c r="G7" s="65" t="s">
        <v>47</v>
      </c>
      <c r="J7" s="65">
        <v>12</v>
      </c>
    </row>
    <row r="8" customHeight="1" spans="1:11">
      <c r="C8" s="65">
        <v>4</v>
      </c>
      <c r="D8" s="65" t="s">
        <v>48</v>
      </c>
      <c r="E8" s="65">
        <v>778899</v>
      </c>
      <c r="F8" s="65" t="s">
        <v>46</v>
      </c>
      <c r="G8" s="65" t="s">
        <v>47</v>
      </c>
      <c r="J8" s="65">
        <v>0</v>
      </c>
    </row>
    <row r="9" customHeight="1" spans="1:11">
      <c r="C9" s="65">
        <v>5</v>
      </c>
      <c r="D9" s="65" t="s">
        <v>49</v>
      </c>
      <c r="E9" s="65" t="s">
        <v>50</v>
      </c>
      <c r="F9" s="65" t="s">
        <v>51</v>
      </c>
      <c r="G9" s="65" t="s">
        <v>43</v>
      </c>
      <c r="J9" s="65">
        <v>0</v>
      </c>
    </row>
    <row r="10" customHeight="1" spans="1:11">
      <c r="C10" s="65">
        <v>6</v>
      </c>
      <c r="D10" s="65" t="s">
        <v>52</v>
      </c>
      <c r="E10" s="65" t="s">
        <v>53</v>
      </c>
      <c r="F10" s="65" t="s">
        <v>54</v>
      </c>
      <c r="G10" s="65" t="s">
        <v>43</v>
      </c>
      <c r="J10" s="65">
        <v>-1</v>
      </c>
    </row>
    <row r="11" customHeight="1" spans="1:11">
      <c r="C11" s="65">
        <v>7</v>
      </c>
      <c r="D11" s="65" t="s">
        <v>55</v>
      </c>
      <c r="E11" s="65" t="s">
        <v>56</v>
      </c>
      <c r="F11" s="65" t="s">
        <v>57</v>
      </c>
      <c r="G11" s="65" t="s">
        <v>58</v>
      </c>
      <c r="J11" s="65">
        <v>0</v>
      </c>
    </row>
    <row r="12" customHeight="1" spans="1:11">
      <c r="C12" s="65">
        <v>8</v>
      </c>
      <c r="D12" s="65" t="s">
        <v>59</v>
      </c>
      <c r="E12" s="65" t="s">
        <v>50</v>
      </c>
      <c r="F12" s="65" t="s">
        <v>42</v>
      </c>
      <c r="G12" s="65" t="s">
        <v>60</v>
      </c>
      <c r="J12" s="65">
        <v>4</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O13"/>
  <sheetViews>
    <sheetView showGridLines="0" workbookViewId="0">
      <pane ySplit="4" topLeftCell="A5" activePane="bottomLeft" state="frozen"/>
      <selection/>
      <selection pane="bottomLeft" activeCell="H11" sqref="H11"/>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4"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64"/>
      <c r="L1" s="45"/>
    </row>
    <row r="2" s="2" customFormat="1" ht="39.95" customHeight="1" spans="1:15">
      <c r="L2" s="46"/>
    </row>
    <row r="3" s="2" customFormat="1" customHeight="1" spans="1:15">
      <c r="B3" s="9"/>
      <c r="C3" s="9"/>
      <c r="D3" s="9"/>
      <c r="E3" s="9"/>
      <c r="F3" s="9"/>
      <c r="G3" s="9"/>
      <c r="H3" s="9"/>
      <c r="I3" s="9"/>
      <c r="J3" s="9"/>
      <c r="K3" s="9"/>
      <c r="L3" s="47"/>
      <c r="M3" s="9"/>
      <c r="N3" s="9"/>
      <c r="O3" s="9"/>
    </row>
    <row r="4" s="2" customFormat="1" ht="30" customHeight="1" spans="1:15">
      <c r="B4" s="21" t="s">
        <v>75</v>
      </c>
      <c r="C4" s="9" t="s">
        <v>76</v>
      </c>
      <c r="D4" s="48" t="s">
        <v>25</v>
      </c>
      <c r="E4" s="48" t="s">
        <v>77</v>
      </c>
      <c r="F4" s="48" t="s">
        <v>27</v>
      </c>
      <c r="G4" s="48" t="s">
        <v>26</v>
      </c>
      <c r="H4" s="48" t="s">
        <v>28</v>
      </c>
      <c r="I4" s="48" t="s">
        <v>78</v>
      </c>
      <c r="J4" s="48" t="s">
        <v>30</v>
      </c>
      <c r="K4" s="48" t="s">
        <v>79</v>
      </c>
      <c r="L4" s="49" t="s">
        <v>80</v>
      </c>
      <c r="M4" s="48" t="s">
        <v>81</v>
      </c>
      <c r="N4" s="48" t="s">
        <v>82</v>
      </c>
      <c r="O4" s="9"/>
    </row>
    <row r="5" s="3" customFormat="1" customHeight="1" spans="1:15">
      <c r="B5" s="18"/>
      <c r="C5" s="4">
        <v>57</v>
      </c>
      <c r="D5" s="13">
        <v>1</v>
      </c>
      <c r="E5" s="13">
        <v>1</v>
      </c>
      <c r="F5" s="13" t="s">
        <v>50</v>
      </c>
      <c r="G5" s="13" t="s">
        <v>49</v>
      </c>
      <c r="H5" s="13" t="s">
        <v>51</v>
      </c>
      <c r="I5" s="13">
        <v>2</v>
      </c>
      <c r="J5" s="13">
        <v>1</v>
      </c>
      <c r="K5" s="13" t="s">
        <v>83</v>
      </c>
      <c r="L5" s="44">
        <v>46027.6111805556</v>
      </c>
      <c r="M5" s="13" t="s">
        <v>23</v>
      </c>
      <c r="N5" s="13" t="s">
        <v>84</v>
      </c>
      <c r="O5" s="4"/>
    </row>
    <row r="6" s="3" customFormat="1" customHeight="1" spans="1:15">
      <c r="B6" s="18"/>
      <c r="C6" s="4">
        <v>58</v>
      </c>
      <c r="D6" s="13">
        <v>2</v>
      </c>
      <c r="E6" s="13" t="s">
        <v>85</v>
      </c>
      <c r="F6" s="13" t="s">
        <v>85</v>
      </c>
      <c r="G6" s="13" t="s">
        <v>49</v>
      </c>
      <c r="H6" s="13" t="s">
        <v>74</v>
      </c>
      <c r="I6" s="13">
        <v>1</v>
      </c>
      <c r="J6" s="13">
        <v>1</v>
      </c>
      <c r="K6" s="13" t="s">
        <v>83</v>
      </c>
      <c r="L6" s="44">
        <v>46027.6124652778</v>
      </c>
      <c r="M6" s="13" t="s">
        <v>23</v>
      </c>
      <c r="N6" s="13" t="s">
        <v>84</v>
      </c>
      <c r="O6" s="4"/>
    </row>
    <row r="7" s="3" customFormat="1" customHeight="1" spans="1:15">
      <c r="B7" s="18"/>
      <c r="C7" s="4">
        <v>59</v>
      </c>
      <c r="D7" s="13">
        <v>3</v>
      </c>
      <c r="E7" s="13" t="s">
        <v>85</v>
      </c>
      <c r="F7" s="13" t="s">
        <v>85</v>
      </c>
      <c r="G7" s="13" t="s">
        <v>49</v>
      </c>
      <c r="H7" s="13" t="s">
        <v>74</v>
      </c>
      <c r="I7" s="13">
        <v>1</v>
      </c>
      <c r="J7" s="13">
        <v>1</v>
      </c>
      <c r="K7" s="13" t="s">
        <v>83</v>
      </c>
      <c r="L7" s="44">
        <v>46027.6141666667</v>
      </c>
      <c r="M7" s="13" t="s">
        <v>23</v>
      </c>
      <c r="N7" s="13" t="s">
        <v>84</v>
      </c>
      <c r="O7" s="4"/>
    </row>
    <row r="8" s="3" customFormat="1" customHeight="1" spans="1:15">
      <c r="B8" s="18"/>
      <c r="C8" s="4"/>
      <c r="D8" s="13"/>
      <c r="E8" s="13"/>
      <c r="F8" s="13"/>
      <c r="G8" s="13"/>
      <c r="H8" s="13"/>
      <c r="I8" s="13"/>
      <c r="J8" s="13"/>
      <c r="K8" s="13"/>
      <c r="L8" s="44"/>
      <c r="M8" s="13"/>
      <c r="N8" s="13"/>
      <c r="O8" s="4"/>
    </row>
    <row r="9" s="3" customFormat="1" customHeight="1" spans="1:15">
      <c r="B9" s="18"/>
      <c r="C9" s="4"/>
      <c r="D9" s="13"/>
      <c r="E9" s="13"/>
      <c r="F9" s="13"/>
      <c r="G9" s="13"/>
      <c r="H9" s="13"/>
      <c r="I9" s="13"/>
      <c r="J9" s="13"/>
      <c r="K9" s="13"/>
      <c r="L9" s="44"/>
      <c r="M9" s="13"/>
      <c r="N9" s="13"/>
      <c r="O9" s="4"/>
    </row>
    <row r="10" s="3" customFormat="1" customHeight="1" spans="1:15">
      <c r="B10" s="18"/>
      <c r="C10" s="4"/>
      <c r="D10" s="13"/>
      <c r="E10" s="13"/>
      <c r="F10" s="13"/>
      <c r="G10" s="13"/>
      <c r="H10" s="13"/>
      <c r="I10" s="13"/>
      <c r="J10" s="13"/>
      <c r="K10" s="13"/>
      <c r="L10" s="44"/>
      <c r="M10" s="13"/>
      <c r="N10" s="13"/>
      <c r="O10" s="4"/>
    </row>
    <row r="11" s="3" customFormat="1" customHeight="1" spans="1:15">
      <c r="B11" s="18"/>
      <c r="C11" s="4"/>
      <c r="D11" s="13"/>
      <c r="E11" s="13"/>
      <c r="F11" s="13"/>
      <c r="G11" s="13"/>
      <c r="H11" s="13"/>
      <c r="I11" s="13"/>
      <c r="J11" s="13"/>
      <c r="K11" s="13"/>
      <c r="L11" s="44"/>
      <c r="M11" s="13"/>
      <c r="N11" s="13"/>
      <c r="O11" s="4"/>
    </row>
    <row r="12" s="3" customFormat="1" customHeight="1" spans="1:15">
      <c r="B12" s="18"/>
      <c r="C12" s="4"/>
      <c r="D12" s="13"/>
      <c r="E12" s="13"/>
      <c r="F12" s="13"/>
      <c r="G12" s="13"/>
      <c r="H12" s="13"/>
      <c r="I12" s="13"/>
      <c r="J12" s="13"/>
      <c r="K12" s="13"/>
      <c r="L12" s="44"/>
      <c r="M12" s="13"/>
      <c r="N12" s="13"/>
      <c r="O12" s="4"/>
    </row>
    <row r="13" s="3" customFormat="1" customHeight="1" spans="1:15">
      <c r="B13" s="18"/>
      <c r="C13" s="4"/>
      <c r="D13" s="13"/>
      <c r="E13" s="13"/>
      <c r="F13" s="13"/>
      <c r="G13" s="13"/>
      <c r="H13" s="13"/>
      <c r="I13" s="13"/>
      <c r="J13" s="13"/>
      <c r="K13" s="13"/>
      <c r="L13" s="44"/>
      <c r="M13" s="13"/>
      <c r="N13" s="13"/>
      <c r="O13" s="4"/>
    </row>
  </sheetData>
  <sheetProtection formatCells="0" formatColumns="0" formatRows="0" insertRows="0" insertColumns="0" insertHyperlinks="0" deleteColumns="0" deleteRows="0" sort="0" autoFilter="0" pivotTables="0"/>
  <autoFilter xmlns:etc="http://www.wps.cn/officeDocument/2017/etCustomData" ref="D4:K188" etc:filterBottomFollowUsedRange="0">
    <extLst/>
  </autoFilter>
  <dataValidations count="1">
    <dataValidation allowBlank="1" showInputMessage="1" showErrorMessage="1" sqref="K5:K1048576"/>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pageSetUpPr fitToPage="1"/>
  </sheetPr>
  <dimension ref="A1:I20"/>
  <sheetViews>
    <sheetView showGridLines="0" topLeftCell="AE1" workbookViewId="0">
      <selection activeCell="AJ5" sqref="AJ5"/>
    </sheetView>
  </sheetViews>
  <sheetFormatPr defaultColWidth="9" defaultRowHeight="20.1" customHeight="1"/>
  <cols>
    <col min="1" max="1" width="4.625" style="3" customWidth="1"/>
    <col min="2" max="2" width="3.375" style="4" customWidth="1"/>
    <col min="3" max="8" width="20.625" style="51" customWidth="1"/>
    <col min="9" max="9" width="3.375" style="4" customWidth="1"/>
    <col min="10" max="16384" width="9" style="3"/>
  </cols>
  <sheetData>
    <row r="1" s="1" customFormat="1" ht="60" customHeight="1" spans="1:9">
      <c r="A1" s="7"/>
      <c r="C1" s="52"/>
      <c r="D1" s="52"/>
      <c r="E1" s="52"/>
      <c r="F1" s="52"/>
      <c r="G1" s="52"/>
      <c r="H1" s="52"/>
    </row>
    <row r="2" s="2" customFormat="1" ht="39.95" customHeight="1" spans="1:9">
      <c r="C2" s="53"/>
      <c r="D2" s="53"/>
      <c r="E2" s="53"/>
      <c r="F2" s="53"/>
      <c r="G2" s="53"/>
      <c r="H2" s="53"/>
    </row>
    <row r="3" s="2" customFormat="1" customHeight="1" spans="1:9">
      <c r="B3" s="9"/>
      <c r="C3" s="54"/>
      <c r="D3" s="54"/>
      <c r="E3" s="54"/>
      <c r="F3" s="54"/>
      <c r="G3" s="54"/>
      <c r="H3" s="54"/>
      <c r="I3" s="9"/>
    </row>
    <row r="4" s="2" customFormat="1" ht="40" customHeight="1" spans="1:9">
      <c r="B4" s="9"/>
      <c r="C4" s="55" t="s">
        <v>86</v>
      </c>
      <c r="D4" s="55"/>
      <c r="E4" s="55"/>
      <c r="F4" s="55"/>
      <c r="G4" s="55"/>
      <c r="H4" s="55"/>
      <c r="I4" s="9"/>
    </row>
    <row r="5" s="2" customFormat="1" ht="30" customHeight="1" spans="1:9">
      <c r="B5" s="9"/>
      <c r="C5" s="56" t="s">
        <v>87</v>
      </c>
      <c r="D5" s="57"/>
      <c r="E5" s="56"/>
      <c r="F5" s="57"/>
      <c r="G5" s="56" t="s">
        <v>88</v>
      </c>
      <c r="H5" s="58"/>
      <c r="I5" s="9"/>
    </row>
    <row r="6" s="2" customFormat="1" ht="30" customHeight="1" spans="1:9">
      <c r="B6" s="9"/>
      <c r="C6" s="56" t="s">
        <v>89</v>
      </c>
      <c r="D6" s="57"/>
      <c r="E6" s="63"/>
      <c r="F6" s="63"/>
      <c r="G6" s="56" t="s">
        <v>90</v>
      </c>
      <c r="H6" s="57"/>
      <c r="I6" s="9"/>
    </row>
    <row r="7" s="2" customFormat="1" ht="30" customHeight="1" spans="1:9">
      <c r="B7" s="9"/>
      <c r="C7" s="59" t="s">
        <v>26</v>
      </c>
      <c r="D7" s="59" t="s">
        <v>27</v>
      </c>
      <c r="E7" s="59" t="s">
        <v>28</v>
      </c>
      <c r="F7" s="59" t="s">
        <v>30</v>
      </c>
      <c r="G7" s="59" t="s">
        <v>34</v>
      </c>
      <c r="H7" s="59" t="s">
        <v>31</v>
      </c>
      <c r="I7" s="9"/>
    </row>
    <row r="8" customHeight="1" spans="1:9">
      <c r="C8" s="60"/>
      <c r="D8" s="60"/>
      <c r="E8" s="60"/>
      <c r="F8" s="60"/>
      <c r="G8" s="60"/>
      <c r="H8" s="60"/>
    </row>
    <row r="9" customHeight="1" spans="1:9">
      <c r="C9" s="60"/>
      <c r="D9" s="60"/>
      <c r="E9" s="60"/>
      <c r="F9" s="60"/>
      <c r="G9" s="60"/>
      <c r="H9" s="60"/>
    </row>
    <row r="10" customHeight="1" spans="1:9">
      <c r="C10" s="60"/>
      <c r="D10" s="60"/>
      <c r="E10" s="60"/>
      <c r="F10" s="60"/>
      <c r="G10" s="60"/>
      <c r="H10" s="60"/>
    </row>
    <row r="11" customHeight="1" spans="1:9">
      <c r="C11" s="60"/>
      <c r="D11" s="60"/>
      <c r="E11" s="60"/>
      <c r="F11" s="60"/>
      <c r="G11" s="60"/>
      <c r="H11" s="60"/>
    </row>
    <row r="12" customHeight="1" spans="1:9">
      <c r="C12" s="60"/>
      <c r="D12" s="60"/>
      <c r="E12" s="60"/>
      <c r="F12" s="60"/>
      <c r="G12" s="60"/>
      <c r="H12" s="60"/>
    </row>
    <row r="13" customHeight="1" spans="1:9">
      <c r="C13" s="60"/>
      <c r="D13" s="60"/>
      <c r="E13" s="60"/>
      <c r="F13" s="60"/>
      <c r="G13" s="60"/>
      <c r="H13" s="60"/>
    </row>
    <row r="14" customHeight="1" spans="1:9">
      <c r="C14" s="60"/>
      <c r="D14" s="60"/>
      <c r="E14" s="60"/>
      <c r="F14" s="60"/>
      <c r="G14" s="60"/>
      <c r="H14" s="60"/>
    </row>
    <row r="15" customHeight="1" spans="1:9">
      <c r="C15" s="60"/>
      <c r="D15" s="60"/>
      <c r="E15" s="60"/>
      <c r="F15" s="60"/>
      <c r="G15" s="60"/>
      <c r="H15" s="60"/>
    </row>
    <row r="16" customHeight="1" spans="1:9">
      <c r="C16" s="60"/>
      <c r="D16" s="60"/>
      <c r="E16" s="60"/>
      <c r="F16" s="60"/>
      <c r="G16" s="60"/>
      <c r="H16" s="60"/>
    </row>
    <row r="17" customHeight="1" spans="3:8">
      <c r="C17" s="60"/>
      <c r="D17" s="60"/>
      <c r="E17" s="60"/>
      <c r="F17" s="60"/>
      <c r="G17" s="60"/>
      <c r="H17" s="60"/>
    </row>
    <row r="18" customHeight="1" spans="3:8">
      <c r="C18" s="60"/>
      <c r="D18" s="60"/>
      <c r="E18" s="60"/>
      <c r="F18" s="60"/>
      <c r="G18" s="60"/>
      <c r="H18" s="60"/>
    </row>
    <row r="19" customHeight="1" spans="3:8">
      <c r="C19" s="60"/>
      <c r="D19" s="60"/>
      <c r="E19" s="60"/>
      <c r="F19" s="60"/>
      <c r="G19" s="60"/>
      <c r="H19" s="60"/>
    </row>
    <row r="20" ht="30" customHeight="1" spans="3:8">
      <c r="C20" s="61" t="s">
        <v>91</v>
      </c>
      <c r="D20" s="62">
        <f>G20</f>
        <v>0</v>
      </c>
      <c r="E20" s="62"/>
      <c r="F20" s="61" t="s">
        <v>92</v>
      </c>
      <c r="G20" s="61">
        <f>SUM(H8:H19)</f>
        <v>0</v>
      </c>
      <c r="H20" s="61"/>
    </row>
  </sheetData>
  <mergeCells count="3">
    <mergeCell ref="C4:H4"/>
    <mergeCell ref="D20:E20"/>
    <mergeCell ref="G20:H20"/>
  </mergeCells>
  <pageMargins left="0.393055555555556" right="0.393055555555556" top="0.393055555555556" bottom="0.393055555555556" header="0.5" footer="0.5"/>
  <pageSetup paperSize="9" scale="72" fitToHeight="0" orientation="portrait" horizontalDpi="600"/>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G9" sqref="G9"/>
    </sheetView>
  </sheetViews>
  <sheetFormatPr defaultColWidth="9" defaultRowHeight="20.1" customHeight="1"/>
  <cols>
    <col min="1" max="1" width="4.625" style="3" customWidth="1"/>
    <col min="2" max="2" width="3.375" style="4" customWidth="1"/>
    <col min="3" max="8" width="20.625" style="51" customWidth="1"/>
    <col min="9" max="9" width="3.375" style="4" customWidth="1"/>
    <col min="10" max="16384" width="9" style="3"/>
  </cols>
  <sheetData>
    <row r="1" s="1" customFormat="1" ht="60" customHeight="1" spans="1:9">
      <c r="A1" s="7"/>
      <c r="C1" s="52"/>
      <c r="D1" s="52"/>
      <c r="E1" s="52"/>
      <c r="F1" s="52"/>
      <c r="G1" s="52"/>
      <c r="H1" s="52"/>
    </row>
    <row r="2" s="2" customFormat="1" ht="39.95" customHeight="1" spans="1:9">
      <c r="C2" s="53"/>
      <c r="D2" s="53"/>
      <c r="E2" s="53"/>
      <c r="F2" s="53"/>
      <c r="G2" s="53"/>
      <c r="H2" s="53"/>
    </row>
    <row r="3" s="2" customFormat="1" customHeight="1" spans="1:9">
      <c r="B3" s="9"/>
      <c r="C3" s="54"/>
      <c r="D3" s="54"/>
      <c r="E3" s="54"/>
      <c r="F3" s="54"/>
      <c r="G3" s="54"/>
      <c r="H3" s="54"/>
      <c r="I3" s="9"/>
    </row>
    <row r="4" s="2" customFormat="1" ht="40" customHeight="1" spans="1:9">
      <c r="B4" s="9"/>
      <c r="C4" s="55" t="s">
        <v>93</v>
      </c>
      <c r="D4" s="55"/>
      <c r="E4" s="55"/>
      <c r="F4" s="55"/>
      <c r="G4" s="55"/>
      <c r="H4" s="55"/>
      <c r="I4" s="9"/>
    </row>
    <row r="5" s="2" customFormat="1" ht="30" customHeight="1" spans="1:9">
      <c r="B5" s="9"/>
      <c r="C5" s="56" t="s">
        <v>94</v>
      </c>
      <c r="D5" s="57">
        <v>11</v>
      </c>
      <c r="E5" s="56" t="s">
        <v>95</v>
      </c>
      <c r="F5" s="57" t="s">
        <v>96</v>
      </c>
      <c r="G5" s="56" t="s">
        <v>97</v>
      </c>
      <c r="H5" s="58">
        <v>46084.3780902778</v>
      </c>
      <c r="I5" s="9"/>
    </row>
    <row r="6" s="2" customFormat="1" ht="30" customHeight="1" spans="1:9">
      <c r="B6" s="9"/>
      <c r="C6" s="59" t="s">
        <v>26</v>
      </c>
      <c r="D6" s="59" t="s">
        <v>27</v>
      </c>
      <c r="E6" s="59" t="s">
        <v>28</v>
      </c>
      <c r="F6" s="59" t="s">
        <v>30</v>
      </c>
      <c r="G6" s="59" t="s">
        <v>34</v>
      </c>
      <c r="H6" s="59" t="s">
        <v>31</v>
      </c>
      <c r="I6" s="9"/>
    </row>
    <row r="7" customHeight="1" spans="1:9">
      <c r="C7" s="60" t="s">
        <v>36</v>
      </c>
      <c r="D7" s="60" t="s">
        <v>37</v>
      </c>
      <c r="E7" s="60" t="s">
        <v>38</v>
      </c>
      <c r="F7" s="60">
        <v>12</v>
      </c>
      <c r="G7" s="60">
        <v>1</v>
      </c>
      <c r="H7" s="60">
        <v>12</v>
      </c>
    </row>
    <row r="8" customHeight="1" spans="1:9">
      <c r="C8" s="60"/>
      <c r="D8" s="60"/>
      <c r="E8" s="60"/>
      <c r="F8" s="60"/>
      <c r="G8" s="60"/>
      <c r="H8" s="60"/>
    </row>
    <row r="9" customHeight="1" spans="1:9">
      <c r="C9" s="60"/>
      <c r="D9" s="60"/>
      <c r="E9" s="60"/>
      <c r="F9" s="60"/>
      <c r="G9" s="60"/>
      <c r="H9" s="60"/>
    </row>
    <row r="10" customHeight="1" spans="1:9">
      <c r="C10" s="60"/>
      <c r="D10" s="60"/>
      <c r="E10" s="60"/>
      <c r="F10" s="60"/>
      <c r="G10" s="60"/>
      <c r="H10" s="60"/>
    </row>
    <row r="11" customHeight="1" spans="1:9">
      <c r="C11" s="60"/>
      <c r="D11" s="60"/>
      <c r="E11" s="60"/>
      <c r="F11" s="60"/>
      <c r="G11" s="60"/>
      <c r="H11" s="60"/>
    </row>
    <row r="12" customHeight="1" spans="1:9">
      <c r="C12" s="60"/>
      <c r="D12" s="60"/>
      <c r="E12" s="60"/>
      <c r="F12" s="60"/>
      <c r="G12" s="60"/>
      <c r="H12" s="60"/>
    </row>
    <row r="13" customHeight="1" spans="1:9">
      <c r="C13" s="60"/>
      <c r="D13" s="60"/>
      <c r="E13" s="60"/>
      <c r="F13" s="60"/>
      <c r="G13" s="60"/>
      <c r="H13" s="60"/>
    </row>
    <row r="14" customHeight="1" spans="1:9">
      <c r="C14" s="60"/>
      <c r="D14" s="60"/>
      <c r="E14" s="60"/>
      <c r="F14" s="60"/>
      <c r="G14" s="60"/>
      <c r="H14" s="60"/>
    </row>
    <row r="15" customHeight="1" spans="1:9">
      <c r="C15" s="60"/>
      <c r="D15" s="60"/>
      <c r="E15" s="60"/>
      <c r="F15" s="60"/>
      <c r="G15" s="60"/>
      <c r="H15" s="60"/>
    </row>
    <row r="16" customHeight="1" spans="1:9">
      <c r="C16" s="60"/>
      <c r="D16" s="60"/>
      <c r="E16" s="60"/>
      <c r="F16" s="60"/>
      <c r="G16" s="60"/>
      <c r="H16" s="60"/>
    </row>
    <row r="17" customHeight="1" spans="3:8">
      <c r="C17" s="60"/>
      <c r="D17" s="60"/>
      <c r="E17" s="60"/>
      <c r="F17" s="60"/>
      <c r="G17" s="60"/>
      <c r="H17" s="60"/>
    </row>
    <row r="18" customHeight="1" spans="3:8">
      <c r="C18" s="60"/>
      <c r="D18" s="60"/>
      <c r="E18" s="60"/>
      <c r="F18" s="60"/>
      <c r="G18" s="60"/>
      <c r="H18" s="60"/>
    </row>
    <row r="19" ht="30" customHeight="1" spans="3:8">
      <c r="C19" s="61" t="s">
        <v>91</v>
      </c>
      <c r="D19" s="62">
        <f>G19</f>
        <v>12</v>
      </c>
      <c r="E19" s="62"/>
      <c r="F19" s="61" t="s">
        <v>92</v>
      </c>
      <c r="G19" s="61">
        <f>SUM(H7:H18)</f>
        <v>12</v>
      </c>
      <c r="H19" s="61"/>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AF5" sqref="AF5"/>
    </sheetView>
  </sheetViews>
  <sheetFormatPr defaultColWidth="9" defaultRowHeight="20.1" customHeight="1"/>
  <cols>
    <col min="1" max="1" width="4.625" style="3" customWidth="1"/>
    <col min="2" max="2" width="3.375" style="4" customWidth="1"/>
    <col min="3" max="8" width="20.625" style="51" customWidth="1"/>
    <col min="9" max="9" width="3.375" style="4" customWidth="1"/>
    <col min="10" max="16384" width="9" style="3"/>
  </cols>
  <sheetData>
    <row r="1" s="1" customFormat="1" ht="60" customHeight="1" spans="1:9">
      <c r="A1" s="7"/>
      <c r="C1" s="52"/>
      <c r="D1" s="52"/>
      <c r="E1" s="52"/>
      <c r="F1" s="52"/>
      <c r="G1" s="52"/>
      <c r="H1" s="52"/>
    </row>
    <row r="2" s="2" customFormat="1" ht="39.95" customHeight="1" spans="1:9">
      <c r="C2" s="53"/>
      <c r="D2" s="53"/>
      <c r="E2" s="53"/>
      <c r="F2" s="53"/>
      <c r="G2" s="53"/>
      <c r="H2" s="53"/>
    </row>
    <row r="3" s="2" customFormat="1" customHeight="1" spans="1:9">
      <c r="B3" s="9"/>
      <c r="C3" s="54"/>
      <c r="D3" s="54"/>
      <c r="E3" s="54"/>
      <c r="F3" s="54"/>
      <c r="G3" s="54"/>
      <c r="H3" s="54"/>
      <c r="I3" s="9"/>
    </row>
    <row r="4" s="2" customFormat="1" ht="40" customHeight="1" spans="1:9">
      <c r="B4" s="9"/>
      <c r="C4" s="55" t="s">
        <v>98</v>
      </c>
      <c r="D4" s="55"/>
      <c r="E4" s="55"/>
      <c r="F4" s="55"/>
      <c r="G4" s="55"/>
      <c r="H4" s="55"/>
      <c r="I4" s="9"/>
    </row>
    <row r="5" s="2" customFormat="1" ht="30" customHeight="1" spans="1:9">
      <c r="B5" s="9"/>
      <c r="C5" s="56" t="s">
        <v>94</v>
      </c>
      <c r="D5" s="57" t="s">
        <v>99</v>
      </c>
      <c r="E5" s="56" t="s">
        <v>100</v>
      </c>
      <c r="F5" s="57" t="s">
        <v>101</v>
      </c>
      <c r="G5" s="56" t="s">
        <v>102</v>
      </c>
      <c r="H5" s="58">
        <v>45194</v>
      </c>
      <c r="I5" s="9"/>
    </row>
    <row r="6" s="2" customFormat="1" ht="30" customHeight="1" spans="1:9">
      <c r="B6" s="9"/>
      <c r="C6" s="59" t="s">
        <v>26</v>
      </c>
      <c r="D6" s="59" t="s">
        <v>27</v>
      </c>
      <c r="E6" s="59" t="s">
        <v>28</v>
      </c>
      <c r="F6" s="59" t="s">
        <v>30</v>
      </c>
      <c r="G6" s="59" t="s">
        <v>34</v>
      </c>
      <c r="H6" s="59" t="s">
        <v>31</v>
      </c>
      <c r="I6" s="9"/>
    </row>
    <row r="7" s="3" customFormat="1" customHeight="1" spans="1:9">
      <c r="B7" s="4"/>
      <c r="C7" s="60" t="s">
        <v>36</v>
      </c>
      <c r="D7" s="60" t="s">
        <v>103</v>
      </c>
      <c r="E7" s="60" t="s">
        <v>38</v>
      </c>
      <c r="F7" s="60">
        <v>20</v>
      </c>
      <c r="G7" s="60">
        <v>20</v>
      </c>
      <c r="H7" s="60">
        <v>400</v>
      </c>
      <c r="I7" s="4"/>
    </row>
    <row r="8" s="3" customFormat="1" customHeight="1" spans="1:9">
      <c r="B8" s="4"/>
      <c r="C8" s="60" t="s">
        <v>40</v>
      </c>
      <c r="D8" s="60" t="s">
        <v>41</v>
      </c>
      <c r="E8" s="60" t="s">
        <v>42</v>
      </c>
      <c r="F8" s="60">
        <v>20</v>
      </c>
      <c r="G8" s="60">
        <v>20</v>
      </c>
      <c r="H8" s="60">
        <v>400</v>
      </c>
      <c r="I8" s="4"/>
    </row>
    <row r="9" s="3" customFormat="1" customHeight="1" spans="1:9">
      <c r="B9" s="4"/>
      <c r="C9" s="60" t="s">
        <v>44</v>
      </c>
      <c r="D9" s="60" t="s">
        <v>45</v>
      </c>
      <c r="E9" s="60" t="s">
        <v>46</v>
      </c>
      <c r="F9" s="60">
        <v>20</v>
      </c>
      <c r="G9" s="60">
        <v>20</v>
      </c>
      <c r="H9" s="60">
        <v>400</v>
      </c>
      <c r="I9" s="4"/>
    </row>
    <row r="10" s="3" customFormat="1" customHeight="1" spans="1:9">
      <c r="B10" s="4"/>
      <c r="C10" s="60" t="s">
        <v>48</v>
      </c>
      <c r="D10" s="60">
        <v>778899</v>
      </c>
      <c r="E10" s="60" t="s">
        <v>46</v>
      </c>
      <c r="F10" s="60">
        <v>20</v>
      </c>
      <c r="G10" s="60">
        <v>20</v>
      </c>
      <c r="H10" s="60">
        <v>400</v>
      </c>
      <c r="I10" s="4"/>
    </row>
    <row r="11" s="3" customFormat="1" customHeight="1" spans="1:9">
      <c r="B11" s="4"/>
      <c r="C11" s="60" t="s">
        <v>104</v>
      </c>
      <c r="D11" s="60" t="s">
        <v>105</v>
      </c>
      <c r="E11" s="60" t="s">
        <v>46</v>
      </c>
      <c r="F11" s="60">
        <v>20</v>
      </c>
      <c r="G11" s="60">
        <v>20</v>
      </c>
      <c r="H11" s="60">
        <v>400</v>
      </c>
      <c r="I11" s="4"/>
    </row>
    <row r="12" s="3" customFormat="1" customHeight="1" spans="1:9">
      <c r="B12" s="4"/>
      <c r="C12" s="60" t="s">
        <v>106</v>
      </c>
      <c r="D12" s="60">
        <v>222</v>
      </c>
      <c r="E12" s="60" t="s">
        <v>106</v>
      </c>
      <c r="F12" s="60">
        <v>20</v>
      </c>
      <c r="G12" s="60">
        <v>20</v>
      </c>
      <c r="H12" s="60">
        <v>400</v>
      </c>
      <c r="I12" s="4"/>
    </row>
    <row r="13" s="3" customFormat="1" customHeight="1" spans="1:9">
      <c r="B13" s="4"/>
      <c r="C13" s="60" t="s">
        <v>106</v>
      </c>
      <c r="D13" s="60" t="s">
        <v>106</v>
      </c>
      <c r="E13" s="60" t="s">
        <v>106</v>
      </c>
      <c r="F13" s="60">
        <v>20</v>
      </c>
      <c r="G13" s="60">
        <v>20</v>
      </c>
      <c r="H13" s="60">
        <v>400</v>
      </c>
      <c r="I13" s="4"/>
    </row>
    <row r="14" s="3" customFormat="1" customHeight="1" spans="1:9">
      <c r="B14" s="4"/>
      <c r="C14" s="60"/>
      <c r="D14" s="60"/>
      <c r="E14" s="60"/>
      <c r="F14" s="60"/>
      <c r="G14" s="60"/>
      <c r="H14" s="60"/>
      <c r="I14" s="4"/>
    </row>
    <row r="15" s="3" customFormat="1" customHeight="1" spans="1:9">
      <c r="B15" s="4"/>
      <c r="C15" s="60"/>
      <c r="D15" s="60"/>
      <c r="E15" s="60"/>
      <c r="F15" s="60"/>
      <c r="G15" s="60"/>
      <c r="H15" s="60"/>
      <c r="I15" s="4"/>
    </row>
    <row r="16" s="3" customFormat="1" customHeight="1" spans="1:9">
      <c r="B16" s="4"/>
      <c r="C16" s="60"/>
      <c r="D16" s="60"/>
      <c r="E16" s="60"/>
      <c r="F16" s="60"/>
      <c r="G16" s="60"/>
      <c r="H16" s="60"/>
      <c r="I16" s="4"/>
    </row>
    <row r="17" s="3" customFormat="1" customHeight="1" spans="2:9">
      <c r="B17" s="4"/>
      <c r="C17" s="60"/>
      <c r="D17" s="60"/>
      <c r="E17" s="60"/>
      <c r="F17" s="60"/>
      <c r="G17" s="60"/>
      <c r="H17" s="60"/>
      <c r="I17" s="4"/>
    </row>
    <row r="18" s="3" customFormat="1" customHeight="1" spans="2:9">
      <c r="B18" s="4"/>
      <c r="C18" s="60"/>
      <c r="D18" s="60"/>
      <c r="E18" s="60"/>
      <c r="F18" s="60"/>
      <c r="G18" s="60"/>
      <c r="H18" s="60"/>
      <c r="I18" s="4"/>
    </row>
    <row r="19" s="3" customFormat="1" ht="30" customHeight="1" spans="2:9">
      <c r="B19" s="4"/>
      <c r="C19" s="61" t="s">
        <v>91</v>
      </c>
      <c r="D19" s="62">
        <f>G19</f>
        <v>2800</v>
      </c>
      <c r="E19" s="62"/>
      <c r="F19" s="61" t="s">
        <v>92</v>
      </c>
      <c r="G19" s="61">
        <f>SUM(H7:H18)</f>
        <v>2800</v>
      </c>
      <c r="H19" s="61"/>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J8" sqref="J8"/>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1">
      <c r="A1" s="7"/>
    </row>
    <row r="2" s="2" customFormat="1" ht="39.95" customHeight="1" spans="1:11">
      <c r="J2" s="50" t="s">
        <v>107</v>
      </c>
    </row>
    <row r="3" s="2" customFormat="1" customHeight="1" spans="1:11">
      <c r="B3" s="9"/>
      <c r="C3" s="9"/>
      <c r="D3" s="9"/>
      <c r="E3" s="9"/>
      <c r="F3" s="9"/>
      <c r="G3" s="9"/>
      <c r="H3" s="9"/>
      <c r="I3" s="9"/>
      <c r="J3" s="9"/>
      <c r="K3" s="9"/>
    </row>
    <row r="4" s="2" customFormat="1" ht="30" customHeight="1" spans="1:11">
      <c r="B4" s="9"/>
      <c r="C4" s="9" t="s">
        <v>76</v>
      </c>
      <c r="D4" s="48" t="s">
        <v>25</v>
      </c>
      <c r="E4" s="48" t="s">
        <v>26</v>
      </c>
      <c r="F4" s="48" t="s">
        <v>27</v>
      </c>
      <c r="G4" s="48" t="s">
        <v>28</v>
      </c>
      <c r="H4" s="48" t="s">
        <v>108</v>
      </c>
      <c r="I4" s="48" t="s">
        <v>109</v>
      </c>
      <c r="J4" s="48"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12"/>
  <sheetViews>
    <sheetView showGridLines="0" workbookViewId="0">
      <pane ySplit="4" topLeftCell="A5" activePane="bottomLeft" state="frozen"/>
      <selection/>
      <selection pane="bottomLeft" activeCell="G9" sqref="G9"/>
    </sheetView>
  </sheetViews>
  <sheetFormatPr defaultColWidth="9" defaultRowHeight="20.1" customHeight="1"/>
  <cols>
    <col min="1" max="1" width="4.625" style="3" customWidth="1"/>
    <col min="2" max="2" width="3.375" style="4" customWidth="1"/>
    <col min="3" max="10" width="16.875" style="13" customWidth="1"/>
    <col min="11" max="11" width="3.375" style="4" customWidth="1"/>
    <col min="12" max="12" width="4.25" style="3" customWidth="1"/>
    <col min="13" max="13" width="9" style="3"/>
    <col min="14" max="20" width="9" style="6"/>
  </cols>
  <sheetData>
    <row r="1" s="1" customFormat="1" ht="60" customHeight="1" spans="1:11">
      <c r="A1" s="7"/>
    </row>
    <row r="2" s="2" customFormat="1" ht="39.95" customHeight="1" spans="1:11">
      <c r="H2" s="50" t="s">
        <v>110</v>
      </c>
      <c r="I2" s="50"/>
      <c r="J2" s="50" t="s">
        <v>111</v>
      </c>
    </row>
    <row r="3" s="2" customFormat="1" customHeight="1" spans="1:11">
      <c r="B3" s="9"/>
      <c r="C3" s="9"/>
      <c r="D3" s="9"/>
      <c r="E3" s="9"/>
      <c r="F3" s="9"/>
      <c r="G3" s="9"/>
      <c r="H3" s="9"/>
      <c r="I3" s="9"/>
      <c r="J3" s="9"/>
      <c r="K3" s="9"/>
    </row>
    <row r="4" s="2" customFormat="1" ht="30" customHeight="1" spans="1:11">
      <c r="B4" s="9"/>
      <c r="C4" s="48" t="s">
        <v>25</v>
      </c>
      <c r="D4" s="48" t="s">
        <v>26</v>
      </c>
      <c r="E4" s="48" t="s">
        <v>27</v>
      </c>
      <c r="F4" s="48" t="s">
        <v>28</v>
      </c>
      <c r="G4" s="48" t="s">
        <v>112</v>
      </c>
      <c r="H4" s="48" t="s">
        <v>113</v>
      </c>
      <c r="I4" s="48" t="s">
        <v>114</v>
      </c>
      <c r="J4" s="48" t="s">
        <v>115</v>
      </c>
      <c r="K4" s="9"/>
    </row>
    <row r="5" customHeight="1" spans="1:11">
      <c r="C5" s="13">
        <v>1</v>
      </c>
      <c r="D5" s="13" t="s">
        <v>36</v>
      </c>
      <c r="E5" s="13" t="s">
        <v>37</v>
      </c>
      <c r="F5" s="13" t="s">
        <v>38</v>
      </c>
      <c r="G5" s="13">
        <v>140</v>
      </c>
      <c r="H5" s="13">
        <v>51304</v>
      </c>
      <c r="I5" s="13">
        <v>140</v>
      </c>
      <c r="J5" s="13">
        <v>51304</v>
      </c>
    </row>
    <row r="6" customHeight="1" spans="1:11">
      <c r="C6" s="13">
        <v>2</v>
      </c>
      <c r="D6" s="13" t="s">
        <v>40</v>
      </c>
      <c r="E6" s="13" t="s">
        <v>41</v>
      </c>
      <c r="F6" s="13" t="s">
        <v>42</v>
      </c>
      <c r="G6" s="13">
        <v>209</v>
      </c>
      <c r="H6" s="13">
        <v>-20951</v>
      </c>
      <c r="I6" s="13">
        <v>209</v>
      </c>
      <c r="J6" s="13">
        <v>-20951</v>
      </c>
    </row>
    <row r="7" customHeight="1" spans="1:11">
      <c r="C7" s="13">
        <v>3</v>
      </c>
      <c r="D7" s="13" t="s">
        <v>44</v>
      </c>
      <c r="E7" s="13" t="s">
        <v>45</v>
      </c>
      <c r="F7" s="13" t="s">
        <v>46</v>
      </c>
      <c r="G7" s="13">
        <v>21357</v>
      </c>
      <c r="H7" s="13">
        <v>44955</v>
      </c>
      <c r="I7" s="13">
        <v>21357</v>
      </c>
      <c r="J7" s="13">
        <v>44955</v>
      </c>
    </row>
    <row r="8" customHeight="1" spans="1:11">
      <c r="C8" s="13">
        <v>4</v>
      </c>
      <c r="D8" s="13" t="s">
        <v>48</v>
      </c>
      <c r="E8" s="13">
        <v>778899</v>
      </c>
      <c r="F8" s="13" t="s">
        <v>46</v>
      </c>
      <c r="G8" s="13">
        <v>238</v>
      </c>
      <c r="H8" s="13">
        <v>22047</v>
      </c>
      <c r="I8" s="13">
        <v>238</v>
      </c>
      <c r="J8" s="13">
        <v>22047</v>
      </c>
    </row>
    <row r="9" customHeight="1" spans="1:11">
      <c r="C9" s="13">
        <v>5</v>
      </c>
      <c r="D9" s="13" t="s">
        <v>49</v>
      </c>
      <c r="E9" s="13" t="s">
        <v>50</v>
      </c>
      <c r="F9" s="13" t="s">
        <v>51</v>
      </c>
      <c r="G9" s="13">
        <v>9</v>
      </c>
      <c r="H9" s="13">
        <v>8</v>
      </c>
      <c r="I9" s="13">
        <v>9</v>
      </c>
      <c r="J9" s="13">
        <v>8</v>
      </c>
    </row>
    <row r="10" customHeight="1" spans="1:11">
      <c r="C10" s="13">
        <v>6</v>
      </c>
      <c r="D10" s="13" t="s">
        <v>52</v>
      </c>
      <c r="E10" s="13" t="s">
        <v>53</v>
      </c>
      <c r="F10" s="13" t="s">
        <v>54</v>
      </c>
      <c r="G10" s="13">
        <v>0</v>
      </c>
      <c r="H10" s="13">
        <v>19</v>
      </c>
      <c r="I10" s="13">
        <v>0</v>
      </c>
      <c r="J10" s="13">
        <v>19</v>
      </c>
    </row>
    <row r="11" customHeight="1" spans="1:11">
      <c r="C11" s="13">
        <v>7</v>
      </c>
      <c r="D11" s="13" t="s">
        <v>55</v>
      </c>
      <c r="E11" s="13" t="s">
        <v>56</v>
      </c>
      <c r="F11" s="13" t="s">
        <v>57</v>
      </c>
      <c r="G11" s="13">
        <v>-3</v>
      </c>
      <c r="H11" s="13">
        <v>35</v>
      </c>
      <c r="I11" s="13">
        <v>-3</v>
      </c>
      <c r="J11" s="13">
        <v>35</v>
      </c>
    </row>
    <row r="12" customHeight="1" spans="1:11">
      <c r="C12" s="13">
        <v>8</v>
      </c>
      <c r="D12" s="13" t="s">
        <v>59</v>
      </c>
      <c r="E12" s="13" t="s">
        <v>50</v>
      </c>
      <c r="F12" s="13" t="s">
        <v>42</v>
      </c>
      <c r="G12" s="13">
        <v>144</v>
      </c>
      <c r="H12" s="13">
        <v>1606</v>
      </c>
      <c r="I12" s="13">
        <v>144</v>
      </c>
      <c r="J12" s="13">
        <v>1606</v>
      </c>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I9"/>
  <sheetViews>
    <sheetView showGridLines="0" workbookViewId="0">
      <pane ySplit="4" topLeftCell="A5" activePane="bottomLeft" state="frozen"/>
      <selection/>
      <selection pane="bottomLeft" activeCell="G10" sqref="G10"/>
    </sheetView>
  </sheetViews>
  <sheetFormatPr defaultColWidth="9" defaultRowHeight="20.1" customHeight="1"/>
  <cols>
    <col min="1" max="1" width="4.625" style="3" customWidth="1"/>
    <col min="2" max="2" width="3.375" style="4" customWidth="1"/>
    <col min="3" max="8" width="16.875" style="13" customWidth="1"/>
    <col min="9" max="9" width="3.375" style="4" customWidth="1"/>
    <col min="10" max="10" width="4.25" style="3" customWidth="1"/>
    <col min="11" max="11" width="9" style="3"/>
    <col min="12" max="18" width="9" style="6"/>
  </cols>
  <sheetData>
    <row r="1" s="1" customFormat="1" ht="60" customHeight="1" spans="1:9">
      <c r="A1" s="7"/>
    </row>
    <row r="2" s="2" customFormat="1" ht="39.95" customHeight="1" spans="1:9">
      <c r="H2" s="50"/>
    </row>
    <row r="3" s="2" customFormat="1" customHeight="1" spans="1:9">
      <c r="B3" s="9"/>
      <c r="C3" s="9"/>
      <c r="D3" s="9"/>
      <c r="E3" s="9"/>
      <c r="F3" s="9"/>
      <c r="G3" s="9"/>
      <c r="H3" s="9"/>
      <c r="I3" s="9"/>
    </row>
    <row r="4" s="2" customFormat="1" ht="30" customHeight="1" spans="1:9">
      <c r="B4" s="9"/>
      <c r="C4" s="48" t="s">
        <v>25</v>
      </c>
      <c r="D4" s="48" t="s">
        <v>26</v>
      </c>
      <c r="E4" s="48" t="s">
        <v>27</v>
      </c>
      <c r="F4" s="48" t="s">
        <v>28</v>
      </c>
      <c r="G4" s="48" t="s">
        <v>32</v>
      </c>
      <c r="H4" s="48" t="s">
        <v>116</v>
      </c>
      <c r="I4" s="9"/>
    </row>
    <row r="5" customHeight="1" spans="1:9">
      <c r="C5" s="13">
        <v>1</v>
      </c>
      <c r="D5" s="13" t="s">
        <v>36</v>
      </c>
      <c r="E5" s="13" t="s">
        <v>37</v>
      </c>
      <c r="F5" s="13" t="s">
        <v>38</v>
      </c>
      <c r="G5" s="13">
        <v>140</v>
      </c>
      <c r="H5" s="13">
        <v>51304</v>
      </c>
    </row>
    <row r="6" customHeight="1" spans="1:9">
      <c r="C6" s="13">
        <v>2</v>
      </c>
      <c r="D6" s="13" t="s">
        <v>40</v>
      </c>
      <c r="E6" s="13" t="s">
        <v>41</v>
      </c>
      <c r="F6" s="13" t="s">
        <v>42</v>
      </c>
      <c r="G6" s="13">
        <v>209</v>
      </c>
      <c r="H6" s="13">
        <v>-20951</v>
      </c>
    </row>
    <row r="7" customHeight="1" spans="1:9">
      <c r="C7" s="13">
        <v>3</v>
      </c>
      <c r="D7" s="13" t="s">
        <v>44</v>
      </c>
      <c r="E7" s="13" t="s">
        <v>45</v>
      </c>
      <c r="F7" s="13" t="s">
        <v>46</v>
      </c>
      <c r="G7" s="13">
        <v>21357</v>
      </c>
      <c r="H7" s="13">
        <v>44955</v>
      </c>
    </row>
    <row r="8" customHeight="1" spans="1:9">
      <c r="C8" s="13">
        <v>4</v>
      </c>
      <c r="D8" s="13" t="s">
        <v>48</v>
      </c>
      <c r="E8" s="13">
        <v>778899</v>
      </c>
      <c r="F8" s="13" t="s">
        <v>46</v>
      </c>
      <c r="G8" s="13">
        <v>238</v>
      </c>
      <c r="H8" s="13">
        <v>22047</v>
      </c>
    </row>
    <row r="9" customHeight="1" spans="1:9">
      <c r="C9" s="13">
        <v>5</v>
      </c>
      <c r="D9" s="13" t="s">
        <v>59</v>
      </c>
      <c r="E9" s="13" t="s">
        <v>50</v>
      </c>
      <c r="F9" s="13" t="s">
        <v>42</v>
      </c>
      <c r="G9" s="13">
        <v>144</v>
      </c>
      <c r="H9" s="13">
        <v>1606</v>
      </c>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215" activePane="bottomLeft" state="frozen"/>
      <selection/>
      <selection pane="bottomLeft" activeCell="G220" sqref="G220"/>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4"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7"/>
      <c r="L1" s="45"/>
    </row>
    <row r="2" s="2" customFormat="1" ht="39.95" customHeight="1" spans="1:15">
      <c r="L2" s="46"/>
    </row>
    <row r="3" s="2" customFormat="1" customHeight="1" spans="1:15">
      <c r="B3" s="9"/>
      <c r="C3" s="9"/>
      <c r="D3" s="9"/>
      <c r="E3" s="9"/>
      <c r="F3" s="9"/>
      <c r="G3" s="9"/>
      <c r="H3" s="9"/>
      <c r="I3" s="9"/>
      <c r="J3" s="9"/>
      <c r="K3" s="9"/>
      <c r="L3" s="47"/>
      <c r="M3" s="9"/>
      <c r="N3" s="9"/>
      <c r="O3" s="9"/>
    </row>
    <row r="4" s="2" customFormat="1" ht="30" customHeight="1" spans="1:15">
      <c r="B4" s="21" t="s">
        <v>75</v>
      </c>
      <c r="C4" s="9" t="s">
        <v>76</v>
      </c>
      <c r="D4" s="48" t="s">
        <v>25</v>
      </c>
      <c r="E4" s="48" t="s">
        <v>77</v>
      </c>
      <c r="F4" s="48" t="s">
        <v>27</v>
      </c>
      <c r="G4" s="48" t="s">
        <v>26</v>
      </c>
      <c r="H4" s="48" t="s">
        <v>28</v>
      </c>
      <c r="I4" s="48" t="s">
        <v>78</v>
      </c>
      <c r="J4" s="48" t="s">
        <v>30</v>
      </c>
      <c r="K4" s="48" t="s">
        <v>117</v>
      </c>
      <c r="L4" s="49" t="s">
        <v>80</v>
      </c>
      <c r="M4" s="48" t="s">
        <v>81</v>
      </c>
      <c r="N4" s="48" t="s">
        <v>118</v>
      </c>
      <c r="O4" s="9"/>
    </row>
    <row r="5" s="3" customFormat="1" customHeight="1" spans="1:15">
      <c r="B5" s="18"/>
      <c r="C5" s="4"/>
      <c r="D5" s="13"/>
      <c r="E5" s="13"/>
      <c r="F5" s="13"/>
      <c r="G5" s="13"/>
      <c r="H5" s="13"/>
      <c r="I5" s="13"/>
      <c r="J5" s="13"/>
      <c r="K5" s="13"/>
      <c r="L5" s="44"/>
      <c r="M5" s="13"/>
      <c r="N5" s="13"/>
      <c r="O5" s="4"/>
    </row>
    <row r="6" s="3" customFormat="1" customHeight="1" spans="1:15">
      <c r="B6" s="18"/>
      <c r="C6" s="4"/>
      <c r="D6" s="13"/>
      <c r="E6" s="13"/>
      <c r="F6" s="13"/>
      <c r="G6" s="13"/>
      <c r="H6" s="13"/>
      <c r="I6" s="13"/>
      <c r="J6" s="13"/>
      <c r="K6" s="13"/>
      <c r="L6" s="44"/>
      <c r="M6" s="13"/>
      <c r="N6" s="13"/>
      <c r="O6" s="4"/>
    </row>
    <row r="7" s="3" customFormat="1" customHeight="1" spans="1:15">
      <c r="B7" s="18"/>
      <c r="C7" s="4"/>
      <c r="D7" s="13"/>
      <c r="E7" s="13"/>
      <c r="F7" s="13"/>
      <c r="G7" s="13"/>
      <c r="H7" s="13"/>
      <c r="I7" s="13"/>
      <c r="J7" s="13"/>
      <c r="K7" s="13"/>
      <c r="L7" s="44"/>
      <c r="M7" s="13"/>
      <c r="N7" s="13"/>
      <c r="O7" s="4"/>
    </row>
    <row r="8" s="3" customFormat="1" customHeight="1" spans="1:15">
      <c r="B8" s="18"/>
      <c r="C8" s="4"/>
      <c r="D8" s="13"/>
      <c r="E8" s="13"/>
      <c r="F8" s="13"/>
      <c r="G8" s="13"/>
      <c r="H8" s="13"/>
      <c r="I8" s="13"/>
      <c r="J8" s="13"/>
      <c r="K8" s="13"/>
      <c r="L8" s="44"/>
      <c r="M8" s="13"/>
      <c r="N8" s="13"/>
      <c r="O8" s="4"/>
    </row>
    <row r="9" s="3" customFormat="1" customHeight="1" spans="1:15">
      <c r="B9" s="18"/>
      <c r="C9" s="4"/>
      <c r="D9" s="13"/>
      <c r="E9" s="13"/>
      <c r="F9" s="13"/>
      <c r="G9" s="13"/>
      <c r="H9" s="13"/>
      <c r="I9" s="13"/>
      <c r="J9" s="13"/>
      <c r="K9" s="13"/>
      <c r="L9" s="44"/>
      <c r="M9" s="13"/>
      <c r="N9" s="13"/>
      <c r="O9" s="4"/>
    </row>
    <row r="10" s="3" customFormat="1" customHeight="1" spans="1:15">
      <c r="B10" s="18"/>
      <c r="C10" s="4"/>
      <c r="D10" s="13"/>
      <c r="E10" s="13"/>
      <c r="F10" s="13"/>
      <c r="G10" s="13"/>
      <c r="H10" s="13"/>
      <c r="I10" s="13"/>
      <c r="J10" s="13"/>
      <c r="K10" s="13"/>
      <c r="L10" s="44"/>
      <c r="M10" s="13"/>
      <c r="N10" s="13"/>
      <c r="O10" s="4"/>
    </row>
    <row r="11" s="3" customFormat="1" customHeight="1" spans="1:15">
      <c r="B11" s="18"/>
      <c r="C11" s="4"/>
      <c r="D11" s="13"/>
      <c r="E11" s="13"/>
      <c r="F11" s="13"/>
      <c r="G11" s="13"/>
      <c r="H11" s="13"/>
      <c r="I11" s="13"/>
      <c r="J11" s="13"/>
      <c r="K11" s="13"/>
      <c r="L11" s="44"/>
      <c r="M11" s="13"/>
      <c r="N11" s="13"/>
      <c r="O11" s="4"/>
    </row>
    <row r="12" s="3" customFormat="1" customHeight="1" spans="1:15">
      <c r="B12" s="18"/>
      <c r="C12" s="4"/>
      <c r="D12" s="13"/>
      <c r="E12" s="13"/>
      <c r="F12" s="13"/>
      <c r="G12" s="13"/>
      <c r="H12" s="13"/>
      <c r="I12" s="13"/>
      <c r="J12" s="13"/>
      <c r="K12" s="13"/>
      <c r="L12" s="44"/>
      <c r="M12" s="13"/>
      <c r="N12" s="13"/>
      <c r="O12" s="4"/>
    </row>
    <row r="13" s="3" customFormat="1" customHeight="1" spans="1:15">
      <c r="B13" s="18"/>
      <c r="C13" s="4"/>
      <c r="D13" s="13"/>
      <c r="E13" s="13"/>
      <c r="F13" s="13"/>
      <c r="G13" s="13"/>
      <c r="H13" s="13"/>
      <c r="I13" s="13"/>
      <c r="J13" s="13"/>
      <c r="K13" s="13"/>
      <c r="L13" s="44"/>
      <c r="M13" s="13"/>
      <c r="N13" s="13"/>
      <c r="O13" s="4"/>
    </row>
  </sheetData>
  <sheetProtection formatCells="0" formatColumns="0" formatRows="0" insertRows="0" insertColumns="0" insertHyperlinks="0" deleteColumns="0" deleteRows="0" sort="0" autoFilter="0" pivotTables="0"/>
  <autoFilter xmlns:etc="http://www.wps.cn/officeDocument/2017/etCustomData" ref="D4:K197"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F9" sqref="F9"/>
    </sheetView>
  </sheetViews>
  <sheetFormatPr defaultColWidth="9" defaultRowHeight="20.1" customHeight="1"/>
  <cols>
    <col min="1" max="1" width="4.625" style="31" customWidth="1"/>
    <col min="2" max="2" width="3.375" style="32" customWidth="1"/>
    <col min="3" max="3" width="4.625" style="32" hidden="1" customWidth="1"/>
    <col min="4" max="4" width="16.875" style="33" customWidth="1"/>
    <col min="5" max="7" width="16.875" style="17" customWidth="1"/>
    <col min="8" max="16" width="16.875" style="33" customWidth="1"/>
    <col min="17" max="17" width="3.375" style="32" customWidth="1"/>
    <col min="18" max="18" width="9" style="31" hidden="1" customWidth="1"/>
    <col min="19" max="19" width="9" style="31"/>
    <col min="20" max="16384" width="9" style="34"/>
  </cols>
  <sheetData>
    <row r="1" s="29" customFormat="1" ht="60" customHeight="1" spans="1:17">
      <c r="A1" s="35"/>
      <c r="E1" s="36"/>
      <c r="F1" s="36"/>
      <c r="G1" s="36"/>
    </row>
    <row r="2" s="30" customFormat="1" ht="39.95" customHeight="1" spans="1:17">
      <c r="E2" s="37"/>
      <c r="F2" s="37"/>
      <c r="G2" s="37"/>
      <c r="H2" s="38" t="s">
        <v>33</v>
      </c>
      <c r="I2" s="38"/>
    </row>
    <row r="3" s="30" customFormat="1" customHeight="1" spans="1:17">
      <c r="B3" s="39"/>
      <c r="C3" s="39"/>
      <c r="D3" s="39"/>
      <c r="E3" s="40"/>
      <c r="F3" s="40"/>
      <c r="G3" s="40"/>
      <c r="H3" s="39"/>
      <c r="I3" s="39"/>
      <c r="J3" s="39"/>
      <c r="K3" s="39"/>
      <c r="L3" s="39"/>
      <c r="M3" s="39"/>
      <c r="N3" s="39"/>
      <c r="O3" s="39"/>
      <c r="P3" s="39"/>
      <c r="Q3" s="39"/>
    </row>
    <row r="4" s="30" customFormat="1" ht="24.95" customHeight="1" spans="1:17">
      <c r="B4" s="39"/>
      <c r="C4" s="39" t="s">
        <v>76</v>
      </c>
      <c r="D4" s="16" t="s">
        <v>25</v>
      </c>
      <c r="E4" s="41" t="s">
        <v>27</v>
      </c>
      <c r="F4" s="41" t="s">
        <v>26</v>
      </c>
      <c r="G4" s="41" t="s">
        <v>28</v>
      </c>
      <c r="H4" s="16" t="s">
        <v>119</v>
      </c>
      <c r="I4" s="16"/>
      <c r="J4" s="16" t="s">
        <v>120</v>
      </c>
      <c r="K4" s="16"/>
      <c r="L4" s="16" t="s">
        <v>121</v>
      </c>
      <c r="M4" s="16"/>
      <c r="N4" s="16" t="s">
        <v>122</v>
      </c>
      <c r="O4" s="16"/>
      <c r="P4" s="16" t="s">
        <v>123</v>
      </c>
      <c r="Q4" s="39"/>
    </row>
    <row r="5" s="30" customFormat="1" ht="24.95" customHeight="1" spans="1:17">
      <c r="B5" s="39"/>
      <c r="C5" s="39"/>
      <c r="D5" s="42"/>
      <c r="E5" s="43"/>
      <c r="F5" s="43"/>
      <c r="G5" s="43"/>
      <c r="H5" s="42" t="s">
        <v>30</v>
      </c>
      <c r="I5" s="42" t="s">
        <v>31</v>
      </c>
      <c r="J5" s="42" t="s">
        <v>30</v>
      </c>
      <c r="K5" s="42" t="s">
        <v>31</v>
      </c>
      <c r="L5" s="42" t="s">
        <v>30</v>
      </c>
      <c r="M5" s="42" t="s">
        <v>31</v>
      </c>
      <c r="N5" s="42" t="s">
        <v>30</v>
      </c>
      <c r="O5" s="42" t="s">
        <v>31</v>
      </c>
      <c r="P5" s="42"/>
      <c r="Q5" s="39"/>
    </row>
    <row r="6" s="31" customFormat="1" customHeight="1" spans="1:17">
      <c r="B6" s="32"/>
      <c r="C6" s="32"/>
      <c r="D6" s="33"/>
      <c r="E6" s="17"/>
      <c r="F6" s="17"/>
      <c r="G6" s="17"/>
      <c r="H6" s="33"/>
      <c r="I6" s="33"/>
      <c r="J6" s="33"/>
      <c r="K6" s="33"/>
      <c r="L6" s="33"/>
      <c r="M6" s="33"/>
      <c r="N6" s="33"/>
      <c r="O6" s="33"/>
      <c r="P6" s="33"/>
      <c r="Q6" s="32"/>
    </row>
    <row r="7" s="31" customFormat="1" customHeight="1" spans="1:17">
      <c r="B7" s="32"/>
      <c r="C7" s="32"/>
      <c r="D7" s="33"/>
      <c r="E7" s="17"/>
      <c r="F7" s="17"/>
      <c r="G7" s="17"/>
      <c r="H7" s="33"/>
      <c r="I7" s="33"/>
      <c r="J7" s="33"/>
      <c r="K7" s="33"/>
      <c r="L7" s="33"/>
      <c r="M7" s="33"/>
      <c r="N7" s="33"/>
      <c r="O7" s="33"/>
      <c r="P7" s="33"/>
      <c r="Q7" s="32"/>
    </row>
    <row r="8" s="31" customFormat="1" customHeight="1" spans="1:17">
      <c r="B8" s="32"/>
      <c r="C8" s="32"/>
      <c r="D8" s="33"/>
      <c r="E8" s="17"/>
      <c r="F8" s="17"/>
      <c r="G8" s="17"/>
      <c r="H8" s="33"/>
      <c r="I8" s="33"/>
      <c r="J8" s="33"/>
      <c r="K8" s="33"/>
      <c r="L8" s="33"/>
      <c r="M8" s="33"/>
      <c r="N8" s="33"/>
      <c r="O8" s="33"/>
      <c r="P8" s="33"/>
      <c r="Q8" s="32"/>
    </row>
    <row r="9" s="31" customFormat="1" customHeight="1" spans="1:17">
      <c r="B9" s="32"/>
      <c r="C9" s="32"/>
      <c r="D9" s="33"/>
      <c r="E9" s="17"/>
      <c r="F9" s="17"/>
      <c r="G9" s="17"/>
      <c r="H9" s="33"/>
      <c r="I9" s="33"/>
      <c r="J9" s="33"/>
      <c r="K9" s="33"/>
      <c r="L9" s="33"/>
      <c r="M9" s="33"/>
      <c r="N9" s="33"/>
      <c r="O9" s="33"/>
      <c r="P9" s="33"/>
      <c r="Q9" s="32"/>
    </row>
    <row r="10" s="31" customFormat="1" customHeight="1" spans="1:17">
      <c r="B10" s="32"/>
      <c r="C10" s="32"/>
      <c r="D10" s="33"/>
      <c r="E10" s="17"/>
      <c r="F10" s="17"/>
      <c r="G10" s="17"/>
      <c r="H10" s="33"/>
      <c r="I10" s="33"/>
      <c r="J10" s="33"/>
      <c r="K10" s="33"/>
      <c r="L10" s="33"/>
      <c r="M10" s="33"/>
      <c r="N10" s="33"/>
      <c r="O10" s="33"/>
      <c r="P10" s="33"/>
      <c r="Q10" s="32"/>
    </row>
    <row r="11" s="31" customFormat="1" customHeight="1" spans="1:17">
      <c r="B11" s="32"/>
      <c r="C11" s="32"/>
      <c r="D11" s="33"/>
      <c r="E11" s="17"/>
      <c r="F11" s="17"/>
      <c r="G11" s="17"/>
      <c r="H11" s="33"/>
      <c r="I11" s="33"/>
      <c r="J11" s="33"/>
      <c r="K11" s="33"/>
      <c r="L11" s="33"/>
      <c r="M11" s="33"/>
      <c r="N11" s="33"/>
      <c r="O11" s="33"/>
      <c r="P11" s="33"/>
      <c r="Q11" s="32"/>
    </row>
    <row r="12" s="31" customFormat="1" customHeight="1" spans="1:17">
      <c r="B12" s="32"/>
      <c r="C12" s="32"/>
      <c r="D12" s="33"/>
      <c r="E12" s="17"/>
      <c r="F12" s="17"/>
      <c r="G12" s="17"/>
      <c r="H12" s="33"/>
      <c r="I12" s="33"/>
      <c r="J12" s="33"/>
      <c r="K12" s="33"/>
      <c r="L12" s="33"/>
      <c r="M12" s="33"/>
      <c r="N12" s="33"/>
      <c r="O12" s="33"/>
      <c r="P12" s="33"/>
      <c r="Q12" s="32"/>
    </row>
    <row r="13" s="31" customFormat="1" customHeight="1" spans="1:17">
      <c r="B13" s="32"/>
      <c r="C13" s="32"/>
      <c r="D13" s="33"/>
      <c r="E13" s="17"/>
      <c r="F13" s="17"/>
      <c r="G13" s="17"/>
      <c r="H13" s="33"/>
      <c r="I13" s="33"/>
      <c r="J13" s="33"/>
      <c r="K13" s="33"/>
      <c r="L13" s="33"/>
      <c r="M13" s="33"/>
      <c r="N13" s="33"/>
      <c r="O13" s="33"/>
      <c r="P13" s="33"/>
      <c r="Q13" s="32"/>
    </row>
    <row r="14" s="31" customFormat="1" customHeight="1" spans="1:17">
      <c r="B14" s="32"/>
      <c r="C14" s="32"/>
      <c r="D14" s="33"/>
      <c r="E14" s="17"/>
      <c r="F14" s="17"/>
      <c r="G14" s="17"/>
      <c r="H14" s="33"/>
      <c r="I14" s="33"/>
      <c r="J14" s="33"/>
      <c r="K14" s="33"/>
      <c r="L14" s="33"/>
      <c r="M14" s="33"/>
      <c r="N14" s="33"/>
      <c r="O14" s="33"/>
      <c r="P14" s="33"/>
      <c r="Q14" s="32"/>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F12" sqref="F12"/>
    </sheetView>
  </sheetViews>
  <sheetFormatPr defaultColWidth="9" defaultRowHeight="20.1" customHeight="1"/>
  <cols>
    <col min="1" max="1" width="4.625" style="3" customWidth="1"/>
    <col min="2" max="2" width="3.375" style="4" customWidth="1"/>
    <col min="3" max="3" width="4.625" style="4" hidden="1" customWidth="1"/>
    <col min="4" max="4" width="18.875" style="25" customWidth="1"/>
    <col min="5" max="10" width="16.875" style="13" customWidth="1"/>
    <col min="11" max="11" width="3.375" style="4" customWidth="1"/>
    <col min="12" max="12" width="9" style="3" customWidth="1"/>
    <col min="13" max="16384" width="9" style="3"/>
  </cols>
  <sheetData>
    <row r="1" s="1" customFormat="1" ht="60" customHeight="1" spans="1:11">
      <c r="A1" s="7"/>
    </row>
    <row r="2" s="2" customFormat="1" ht="39.95" customHeight="1"/>
    <row r="3" s="2" customFormat="1" customHeight="1" spans="1:11">
      <c r="B3" s="9"/>
      <c r="C3" s="9"/>
      <c r="D3" s="9"/>
      <c r="E3" s="9"/>
      <c r="F3" s="9"/>
      <c r="G3" s="9"/>
      <c r="H3" s="9"/>
      <c r="I3" s="9"/>
      <c r="J3" s="9"/>
      <c r="K3" s="9"/>
    </row>
    <row r="4" s="2" customFormat="1" ht="24.95" customHeight="1" spans="1:11">
      <c r="B4" s="9"/>
      <c r="C4" s="9" t="s">
        <v>76</v>
      </c>
      <c r="D4" s="16" t="s">
        <v>27</v>
      </c>
      <c r="E4" s="16" t="s">
        <v>26</v>
      </c>
      <c r="F4" s="16" t="s">
        <v>68</v>
      </c>
      <c r="G4" s="27" t="s">
        <v>120</v>
      </c>
      <c r="H4" s="28"/>
      <c r="I4" s="27" t="s">
        <v>121</v>
      </c>
      <c r="J4" s="28"/>
      <c r="K4" s="9"/>
    </row>
    <row r="5" s="2" customFormat="1" ht="24.95" customHeight="1" spans="1:11">
      <c r="B5" s="9"/>
      <c r="C5" s="9"/>
      <c r="D5" s="16"/>
      <c r="E5" s="16"/>
      <c r="F5" s="16"/>
      <c r="G5" s="16" t="s">
        <v>30</v>
      </c>
      <c r="H5" s="16" t="s">
        <v>31</v>
      </c>
      <c r="I5" s="16" t="s">
        <v>30</v>
      </c>
      <c r="J5" s="16" t="s">
        <v>31</v>
      </c>
      <c r="K5" s="9"/>
    </row>
    <row r="6" s="3" customFormat="1" customHeight="1" spans="1:11">
      <c r="B6" s="4"/>
      <c r="C6" s="4"/>
      <c r="D6" s="25" t="s">
        <v>124</v>
      </c>
      <c r="E6" s="13" t="s">
        <v>36</v>
      </c>
      <c r="F6" s="13" t="s">
        <v>125</v>
      </c>
      <c r="G6" s="13">
        <v>80</v>
      </c>
      <c r="H6" s="13">
        <v>5280</v>
      </c>
      <c r="I6" s="13">
        <v>65</v>
      </c>
      <c r="J6" s="13">
        <v>5720</v>
      </c>
      <c r="K6" s="4"/>
    </row>
    <row r="7" s="3" customFormat="1" customHeight="1" spans="1:11">
      <c r="B7" s="4"/>
      <c r="C7" s="4"/>
      <c r="D7" s="25" t="s">
        <v>126</v>
      </c>
      <c r="E7" s="13" t="s">
        <v>36</v>
      </c>
      <c r="F7" s="13" t="s">
        <v>125</v>
      </c>
      <c r="G7" s="13">
        <v>120</v>
      </c>
      <c r="H7" s="13">
        <v>46000</v>
      </c>
      <c r="I7" s="13">
        <v>0</v>
      </c>
      <c r="J7" s="13">
        <v>0</v>
      </c>
      <c r="K7" s="4"/>
    </row>
    <row r="8" s="3" customFormat="1" customHeight="1" spans="1:11">
      <c r="B8" s="4"/>
      <c r="C8" s="4"/>
      <c r="D8" s="25" t="s">
        <v>37</v>
      </c>
      <c r="E8" s="13" t="s">
        <v>36</v>
      </c>
      <c r="F8" s="13" t="s">
        <v>38</v>
      </c>
      <c r="G8" s="13">
        <v>230</v>
      </c>
      <c r="H8" s="13">
        <v>14989</v>
      </c>
      <c r="I8" s="13">
        <v>344</v>
      </c>
      <c r="J8" s="13">
        <v>16851</v>
      </c>
      <c r="K8" s="4"/>
    </row>
    <row r="9" s="3" customFormat="1" customHeight="1" spans="1:11">
      <c r="B9" s="4"/>
      <c r="C9" s="4"/>
      <c r="D9" s="25" t="s">
        <v>37</v>
      </c>
      <c r="E9" s="13" t="s">
        <v>36</v>
      </c>
      <c r="F9" s="13" t="s">
        <v>125</v>
      </c>
      <c r="G9" s="13">
        <v>230</v>
      </c>
      <c r="H9" s="13">
        <v>14989</v>
      </c>
      <c r="I9" s="13">
        <v>344</v>
      </c>
      <c r="J9" s="13">
        <v>16851</v>
      </c>
      <c r="K9" s="4"/>
    </row>
    <row r="10" s="3" customFormat="1" customHeight="1" spans="1:11">
      <c r="B10" s="4"/>
      <c r="C10" s="4"/>
      <c r="D10" s="25" t="s">
        <v>103</v>
      </c>
      <c r="E10" s="13" t="s">
        <v>36</v>
      </c>
      <c r="F10" s="13" t="s">
        <v>38</v>
      </c>
      <c r="G10" s="13">
        <v>200</v>
      </c>
      <c r="H10" s="13">
        <v>14000</v>
      </c>
      <c r="I10" s="13">
        <v>20</v>
      </c>
      <c r="J10" s="13">
        <v>400</v>
      </c>
      <c r="K10" s="4"/>
    </row>
    <row r="11" s="3" customFormat="1" customHeight="1" spans="1:11">
      <c r="B11" s="4"/>
      <c r="C11" s="4"/>
      <c r="D11" s="25"/>
      <c r="E11" s="13"/>
      <c r="F11" s="13"/>
      <c r="G11" s="13"/>
      <c r="H11" s="13"/>
      <c r="I11" s="13"/>
      <c r="J11" s="13"/>
      <c r="K11" s="4"/>
    </row>
    <row r="12" s="3" customFormat="1" customHeight="1" spans="1:11">
      <c r="B12" s="4"/>
      <c r="C12" s="4"/>
      <c r="D12" s="25"/>
      <c r="E12" s="13"/>
      <c r="F12" s="13"/>
      <c r="G12" s="13"/>
      <c r="H12" s="13"/>
      <c r="I12" s="13"/>
      <c r="J12" s="13"/>
      <c r="K12" s="4"/>
    </row>
    <row r="13" s="3" customFormat="1" customHeight="1" spans="1:11">
      <c r="B13" s="4"/>
      <c r="C13" s="4"/>
      <c r="D13" s="25"/>
      <c r="E13" s="13"/>
      <c r="F13" s="13"/>
      <c r="G13" s="13"/>
      <c r="H13" s="13"/>
      <c r="I13" s="13"/>
      <c r="J13" s="13"/>
      <c r="K13" s="4"/>
    </row>
    <row r="14" s="3" customFormat="1" customHeight="1" spans="1:11">
      <c r="B14" s="4"/>
      <c r="C14" s="4"/>
      <c r="D14" s="25"/>
      <c r="E14" s="13"/>
      <c r="F14" s="13"/>
      <c r="G14" s="13"/>
      <c r="H14" s="13"/>
      <c r="I14" s="13"/>
      <c r="J14" s="13"/>
      <c r="K14" s="4"/>
    </row>
    <row r="15" s="3" customFormat="1" customHeight="1" spans="1:11">
      <c r="B15" s="4"/>
      <c r="C15" s="4"/>
      <c r="D15" s="25"/>
      <c r="E15" s="13"/>
      <c r="F15" s="13"/>
      <c r="G15" s="13"/>
      <c r="H15" s="13"/>
      <c r="I15" s="13"/>
      <c r="J15" s="13"/>
      <c r="K15" s="4"/>
    </row>
    <row r="16" s="3" customFormat="1" customHeight="1" spans="1:11">
      <c r="B16" s="4"/>
      <c r="C16" s="4"/>
      <c r="D16" s="25"/>
      <c r="E16" s="13"/>
      <c r="F16" s="13"/>
      <c r="G16" s="13"/>
      <c r="H16" s="13"/>
      <c r="I16" s="13"/>
      <c r="J16" s="13"/>
      <c r="K16" s="4"/>
    </row>
    <row r="17" s="3" customFormat="1" customHeight="1" spans="2:11">
      <c r="B17" s="4"/>
      <c r="C17" s="4"/>
      <c r="D17" s="25"/>
      <c r="E17" s="13"/>
      <c r="F17" s="13"/>
      <c r="G17" s="13"/>
      <c r="H17" s="13"/>
      <c r="I17" s="13"/>
      <c r="J17" s="13"/>
      <c r="K17" s="4"/>
    </row>
    <row r="18" s="3" customFormat="1" customHeight="1" spans="2:11">
      <c r="B18" s="4"/>
      <c r="C18" s="4"/>
      <c r="D18" s="25"/>
      <c r="E18" s="13"/>
      <c r="F18" s="13"/>
      <c r="G18" s="13"/>
      <c r="H18" s="13"/>
      <c r="I18" s="13"/>
      <c r="J18" s="13"/>
      <c r="K18" s="4"/>
    </row>
    <row r="19" s="3" customFormat="1" customHeight="1" spans="2:11">
      <c r="B19" s="4"/>
      <c r="C19" s="4"/>
      <c r="D19" s="25"/>
      <c r="E19" s="13"/>
      <c r="F19" s="13"/>
      <c r="G19" s="13"/>
      <c r="H19" s="13"/>
      <c r="I19" s="13"/>
      <c r="J19" s="13"/>
      <c r="K19" s="4"/>
    </row>
    <row r="20" s="3" customFormat="1" customHeight="1" spans="2:11">
      <c r="B20" s="4"/>
      <c r="C20" s="4"/>
      <c r="D20" s="25"/>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orientation="landscape"/>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dimension ref="A1:J19"/>
  <sheetViews>
    <sheetView showGridLines="0" workbookViewId="0">
      <selection activeCell="H13" sqref="H13"/>
    </sheetView>
  </sheetViews>
  <sheetFormatPr defaultColWidth="9" defaultRowHeight="20.1" customHeight="1"/>
  <cols>
    <col min="1" max="1" width="4.625" style="3" customWidth="1"/>
    <col min="2" max="2" width="3.375" style="4" customWidth="1"/>
    <col min="3" max="3" width="4.625" style="4" hidden="1" customWidth="1"/>
    <col min="4" max="4" width="18.875" style="25" customWidth="1"/>
    <col min="5" max="9" width="16.875" style="13" customWidth="1"/>
    <col min="10" max="10" width="3.375" style="4" customWidth="1"/>
    <col min="11" max="11" width="9" style="3" customWidth="1"/>
    <col min="12" max="16384" width="9" style="3"/>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24.95" customHeight="1" spans="1:10">
      <c r="B4" s="9"/>
      <c r="C4" s="9"/>
      <c r="D4" s="16" t="s">
        <v>127</v>
      </c>
      <c r="E4" s="16" t="s">
        <v>27</v>
      </c>
      <c r="F4" s="26" t="s">
        <v>28</v>
      </c>
      <c r="G4" s="26" t="s">
        <v>26</v>
      </c>
      <c r="H4" s="26" t="s">
        <v>128</v>
      </c>
      <c r="I4" s="26" t="s">
        <v>129</v>
      </c>
      <c r="J4" s="9"/>
    </row>
    <row r="5" s="3" customFormat="1" customHeight="1" spans="1:10">
      <c r="B5" s="4"/>
      <c r="C5" s="4"/>
      <c r="D5" s="25" t="s">
        <v>124</v>
      </c>
      <c r="E5" s="13" t="s">
        <v>36</v>
      </c>
      <c r="F5" s="13" t="s">
        <v>125</v>
      </c>
      <c r="G5" s="13">
        <v>80</v>
      </c>
      <c r="H5" s="13">
        <v>5280</v>
      </c>
      <c r="I5" s="13">
        <v>65</v>
      </c>
      <c r="J5" s="4"/>
    </row>
    <row r="6" s="3" customFormat="1" customHeight="1" spans="1:10">
      <c r="B6" s="4"/>
      <c r="C6" s="4"/>
      <c r="D6" s="25"/>
      <c r="E6" s="13"/>
      <c r="F6" s="13"/>
      <c r="G6" s="13"/>
      <c r="H6" s="13"/>
      <c r="I6" s="13"/>
      <c r="J6" s="4"/>
    </row>
    <row r="7" s="3" customFormat="1" customHeight="1" spans="1:10">
      <c r="B7" s="4"/>
      <c r="C7" s="4"/>
      <c r="D7" s="25"/>
      <c r="E7" s="13"/>
      <c r="F7" s="13"/>
      <c r="G7" s="13"/>
      <c r="H7" s="13"/>
      <c r="I7" s="13"/>
      <c r="J7" s="4"/>
    </row>
    <row r="8" s="3" customFormat="1" customHeight="1" spans="1:10">
      <c r="B8" s="4"/>
      <c r="C8" s="4"/>
      <c r="D8" s="25"/>
      <c r="E8" s="13"/>
      <c r="F8" s="13"/>
      <c r="G8" s="13"/>
      <c r="H8" s="13"/>
      <c r="I8" s="13"/>
      <c r="J8" s="4"/>
    </row>
    <row r="9" s="3" customFormat="1" customHeight="1" spans="1:10">
      <c r="B9" s="4"/>
      <c r="C9" s="4"/>
      <c r="D9" s="25"/>
      <c r="E9" s="13"/>
      <c r="F9" s="13"/>
      <c r="G9" s="13"/>
      <c r="H9" s="13"/>
      <c r="I9" s="13"/>
      <c r="J9" s="4"/>
    </row>
    <row r="10" s="3" customFormat="1" customHeight="1" spans="1:10">
      <c r="B10" s="4"/>
      <c r="C10" s="4"/>
      <c r="D10" s="25"/>
      <c r="E10" s="13"/>
      <c r="F10" s="13"/>
      <c r="G10" s="13"/>
      <c r="H10" s="13"/>
      <c r="I10" s="13"/>
      <c r="J10" s="4"/>
    </row>
    <row r="11" s="3" customFormat="1" customHeight="1" spans="1:10">
      <c r="B11" s="4"/>
      <c r="C11" s="4"/>
      <c r="D11" s="25"/>
      <c r="E11" s="13"/>
      <c r="F11" s="13"/>
      <c r="G11" s="13"/>
      <c r="H11" s="13"/>
      <c r="I11" s="13"/>
      <c r="J11" s="4"/>
    </row>
    <row r="12" s="3" customFormat="1" customHeight="1" spans="1:10">
      <c r="B12" s="4"/>
      <c r="C12" s="4"/>
      <c r="D12" s="25"/>
      <c r="E12" s="13"/>
      <c r="F12" s="13"/>
      <c r="G12" s="13"/>
      <c r="H12" s="13"/>
      <c r="I12" s="13"/>
      <c r="J12" s="4"/>
    </row>
    <row r="13" s="3" customFormat="1" customHeight="1" spans="1:10">
      <c r="B13" s="4"/>
      <c r="C13" s="4"/>
      <c r="D13" s="25"/>
      <c r="E13" s="13"/>
      <c r="F13" s="13"/>
      <c r="G13" s="13"/>
      <c r="H13" s="13"/>
      <c r="I13" s="13"/>
      <c r="J13" s="4"/>
    </row>
    <row r="14" s="3" customFormat="1" customHeight="1" spans="1:10">
      <c r="B14" s="4"/>
      <c r="C14" s="4"/>
      <c r="D14" s="25"/>
      <c r="E14" s="13"/>
      <c r="F14" s="13"/>
      <c r="G14" s="13"/>
      <c r="H14" s="13"/>
      <c r="I14" s="13"/>
      <c r="J14" s="4"/>
    </row>
    <row r="15" s="3" customFormat="1" customHeight="1" spans="1:10">
      <c r="B15" s="4"/>
      <c r="C15" s="4"/>
      <c r="D15" s="25"/>
      <c r="E15" s="13"/>
      <c r="F15" s="13"/>
      <c r="G15" s="13"/>
      <c r="H15" s="13"/>
      <c r="I15" s="13"/>
      <c r="J15" s="4"/>
    </row>
    <row r="16" s="3" customFormat="1" customHeight="1" spans="1:10">
      <c r="B16" s="4"/>
      <c r="C16" s="4"/>
      <c r="D16" s="25"/>
      <c r="E16" s="13"/>
      <c r="F16" s="13"/>
      <c r="G16" s="13"/>
      <c r="H16" s="13"/>
      <c r="I16" s="13"/>
      <c r="J16" s="4"/>
    </row>
    <row r="17" s="3" customFormat="1" customHeight="1" spans="2:10">
      <c r="B17" s="4"/>
      <c r="C17" s="4"/>
      <c r="D17" s="25"/>
      <c r="E17" s="13"/>
      <c r="F17" s="13"/>
      <c r="G17" s="13"/>
      <c r="H17" s="13"/>
      <c r="I17" s="13"/>
      <c r="J17" s="4"/>
    </row>
    <row r="18" s="3" customFormat="1" customHeight="1" spans="2:10">
      <c r="B18" s="4"/>
      <c r="C18" s="4"/>
      <c r="D18" s="25"/>
      <c r="E18" s="13"/>
      <c r="F18" s="13"/>
      <c r="G18" s="13"/>
      <c r="H18" s="13"/>
      <c r="I18" s="13"/>
      <c r="J18" s="4"/>
    </row>
    <row r="19" s="3" customFormat="1" customHeight="1" spans="2:10">
      <c r="B19" s="4"/>
      <c r="C19" s="4"/>
      <c r="D19" s="25"/>
      <c r="E19" s="13"/>
      <c r="F19" s="13"/>
      <c r="G19" s="13"/>
      <c r="H19" s="13"/>
      <c r="I19" s="13"/>
      <c r="J19" s="4"/>
    </row>
  </sheetData>
  <pageMargins left="0.75" right="0.75" top="1" bottom="1" header="0.5" footer="0.5"/>
  <pageSetup paperSize="9" orientation="landscape"/>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12"/>
  <sheetViews>
    <sheetView showGridLines="0" workbookViewId="0">
      <pane ySplit="4" topLeftCell="A5" activePane="bottomLeft" state="frozen"/>
      <selection/>
      <selection pane="bottomLeft" activeCell="I9" sqref="I9"/>
    </sheetView>
  </sheetViews>
  <sheetFormatPr defaultColWidth="9" defaultRowHeight="20.1" customHeight="1"/>
  <cols>
    <col min="1" max="1" width="4.625" style="3" customWidth="1"/>
    <col min="2" max="2" width="5.625" style="18" customWidth="1"/>
    <col min="3" max="3" width="4.625" style="4" hidden="1" customWidth="1"/>
    <col min="4" max="8" width="16.875" style="13" customWidth="1"/>
    <col min="9" max="9" width="16.875" style="19" customWidth="1"/>
    <col min="10" max="12" width="16.875" style="13" customWidth="1"/>
    <col min="13" max="13" width="3.375" style="4" customWidth="1"/>
    <col min="14" max="14" width="9" style="3" customWidth="1"/>
    <col min="15" max="16384" width="9" style="3"/>
  </cols>
  <sheetData>
    <row r="1" s="1" customFormat="1" ht="60" customHeight="1" spans="1:13">
      <c r="A1" s="7"/>
    </row>
    <row r="2" s="2" customFormat="1" ht="39.95" customHeight="1"/>
    <row r="3" s="2" customFormat="1" customHeight="1" spans="1:13">
      <c r="B3" s="9"/>
      <c r="C3" s="9"/>
      <c r="D3" s="20"/>
      <c r="E3" s="9"/>
      <c r="F3" s="9"/>
      <c r="G3" s="9"/>
      <c r="H3" s="9"/>
      <c r="I3" s="9"/>
      <c r="J3" s="9"/>
      <c r="K3" s="9"/>
      <c r="L3" s="9"/>
      <c r="M3" s="9"/>
    </row>
    <row r="4" s="2" customFormat="1" ht="30" customHeight="1" spans="1:13">
      <c r="B4" s="21" t="s">
        <v>75</v>
      </c>
      <c r="C4" s="9" t="s">
        <v>76</v>
      </c>
      <c r="D4" s="22" t="s">
        <v>25</v>
      </c>
      <c r="E4" s="16" t="s">
        <v>26</v>
      </c>
      <c r="F4" s="16" t="s">
        <v>27</v>
      </c>
      <c r="G4" s="16" t="s">
        <v>28</v>
      </c>
      <c r="H4" s="16" t="s">
        <v>29</v>
      </c>
      <c r="I4" s="16" t="s">
        <v>130</v>
      </c>
      <c r="J4" s="16" t="s">
        <v>127</v>
      </c>
      <c r="K4" s="16" t="s">
        <v>131</v>
      </c>
      <c r="L4" s="16" t="s">
        <v>123</v>
      </c>
      <c r="M4" s="9"/>
    </row>
    <row r="5" customHeight="1" spans="1:13">
      <c r="D5" s="19"/>
      <c r="I5" s="23"/>
    </row>
    <row r="6" customHeight="1" spans="1:13">
      <c r="D6" s="19"/>
      <c r="I6" s="24"/>
    </row>
    <row r="7" customHeight="1" spans="1:13">
      <c r="I7"/>
    </row>
    <row r="9" customHeight="1" spans="1:13">
      <c r="I9"/>
    </row>
    <row r="12" customHeight="1" spans="1:13">
      <c r="I12" s="24"/>
    </row>
  </sheetData>
  <sheetProtection formatCells="0" formatColumns="0" formatRows="0" insertRows="0" insertColumns="0" insertHyperlinks="0" deleteColumns="0" deleteRows="0" sort="0" autoFilter="0" pivotTables="0"/>
  <hyperlinks>
    <hyperlink ref="I5" r:id="rId4"/>
  </hyperlinks>
  <pageMargins left="0.75" right="0.75" top="1" bottom="1" header="0.5" footer="0.5"/>
  <pageSetup paperSize="9" orientation="landscape"/>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17" activePane="bottomLeft" state="frozen"/>
      <selection/>
      <selection pane="bottomLeft" activeCell="J20" sqref="J20"/>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76</v>
      </c>
      <c r="D4" s="16" t="s">
        <v>25</v>
      </c>
      <c r="E4" s="16" t="s">
        <v>132</v>
      </c>
      <c r="F4" s="16" t="s">
        <v>133</v>
      </c>
      <c r="G4" s="16" t="s">
        <v>134</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J7" sqref="J7"/>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76</v>
      </c>
      <c r="D4" s="16" t="s">
        <v>25</v>
      </c>
      <c r="E4" s="16" t="s">
        <v>135</v>
      </c>
      <c r="F4" s="16" t="s">
        <v>133</v>
      </c>
      <c r="G4" s="16" t="s">
        <v>134</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G7" sqref="G7"/>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30" customHeight="1" spans="1:10">
      <c r="B4" s="9"/>
      <c r="C4" s="9" t="s">
        <v>76</v>
      </c>
      <c r="D4" s="16" t="s">
        <v>25</v>
      </c>
      <c r="E4" s="16" t="s">
        <v>27</v>
      </c>
      <c r="F4" s="16" t="s">
        <v>26</v>
      </c>
      <c r="G4" s="16" t="s">
        <v>28</v>
      </c>
      <c r="H4" s="16" t="s">
        <v>29</v>
      </c>
      <c r="I4" s="16" t="s">
        <v>136</v>
      </c>
      <c r="J4" s="9"/>
    </row>
    <row r="5" s="3" customFormat="1" customHeight="1" spans="1:10">
      <c r="B5" s="4"/>
      <c r="C5" s="4"/>
      <c r="D5" s="13"/>
      <c r="E5" s="13"/>
      <c r="F5" s="13"/>
      <c r="G5" s="17"/>
      <c r="H5" s="17"/>
      <c r="I5" s="17"/>
      <c r="J5" s="4"/>
    </row>
    <row r="6" s="3" customFormat="1" customHeight="1" spans="1:10">
      <c r="B6" s="4"/>
      <c r="C6" s="4"/>
      <c r="D6" s="13"/>
      <c r="E6" s="13"/>
      <c r="F6" s="13"/>
      <c r="G6" s="17"/>
      <c r="H6" s="17"/>
      <c r="I6" s="17"/>
      <c r="J6" s="4"/>
    </row>
    <row r="7" s="3" customFormat="1" customHeight="1" spans="1:10">
      <c r="B7" s="4"/>
      <c r="C7" s="4"/>
      <c r="D7" s="13"/>
      <c r="E7" s="13"/>
      <c r="F7" s="13"/>
      <c r="G7" s="17"/>
      <c r="H7" s="17"/>
      <c r="I7" s="17"/>
      <c r="J7" s="4"/>
    </row>
    <row r="8" s="3" customFormat="1" customHeight="1" spans="1:10">
      <c r="B8" s="4"/>
      <c r="C8" s="4"/>
      <c r="D8" s="13"/>
      <c r="E8" s="13"/>
      <c r="F8" s="13"/>
      <c r="G8" s="17"/>
      <c r="H8" s="17"/>
      <c r="I8" s="17"/>
      <c r="J8" s="4"/>
    </row>
    <row r="9" s="3" customFormat="1" customHeight="1" spans="1:10">
      <c r="B9" s="4"/>
      <c r="C9" s="4"/>
      <c r="D9" s="13"/>
      <c r="E9" s="13"/>
      <c r="F9" s="13"/>
      <c r="G9" s="17"/>
      <c r="H9" s="17"/>
      <c r="I9" s="17"/>
      <c r="J9" s="4"/>
    </row>
    <row r="10" s="3" customFormat="1" customHeight="1" spans="1:10">
      <c r="B10" s="4"/>
      <c r="C10" s="4"/>
      <c r="D10" s="13"/>
      <c r="E10" s="13"/>
      <c r="F10" s="13"/>
      <c r="G10" s="17"/>
      <c r="H10" s="17"/>
      <c r="I10" s="17"/>
      <c r="J10" s="4"/>
    </row>
    <row r="11" s="3" customFormat="1" customHeight="1" spans="1:10">
      <c r="B11" s="4"/>
      <c r="C11" s="4"/>
      <c r="D11" s="13"/>
      <c r="E11" s="13"/>
      <c r="F11" s="13"/>
      <c r="G11" s="17"/>
      <c r="H11" s="17"/>
      <c r="I11" s="17"/>
      <c r="J11" s="4"/>
    </row>
    <row r="12" s="3" customFormat="1" customHeight="1" spans="1:10">
      <c r="B12" s="4"/>
      <c r="C12" s="4"/>
      <c r="D12" s="13"/>
      <c r="E12" s="13"/>
      <c r="F12" s="13"/>
      <c r="G12" s="17"/>
      <c r="H12" s="17"/>
      <c r="I12" s="17"/>
      <c r="J12" s="4"/>
    </row>
    <row r="13" s="3" customFormat="1" customHeight="1" spans="1: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E13"/>
  <sheetViews>
    <sheetView showGridLines="0" workbookViewId="0">
      <pane ySplit="4" topLeftCell="A5" activePane="bottomLeft" state="frozen"/>
      <selection/>
      <selection pane="bottomLeft" activeCell="H7" sqref="H7"/>
    </sheetView>
  </sheetViews>
  <sheetFormatPr defaultColWidth="9" defaultRowHeight="20.1" customHeight="1" outlineLevelCol="4"/>
  <cols>
    <col min="1" max="1" width="4.625" style="3" customWidth="1"/>
    <col min="2" max="2" width="3.625" style="4" customWidth="1"/>
    <col min="3" max="3" width="4" style="4" hidden="1" customWidth="1"/>
    <col min="4" max="4" width="16.875" style="13" customWidth="1"/>
    <col min="5" max="5" width="3.625" style="4" customWidth="1"/>
    <col min="6" max="6" width="6.75" style="3" customWidth="1"/>
    <col min="7" max="10" width="9" style="3"/>
    <col min="11" max="11" width="9" style="3" hidden="1" customWidth="1"/>
    <col min="12" max="15" width="9" style="3"/>
    <col min="16" max="16384" width="9" style="6"/>
  </cols>
  <sheetData>
    <row r="1" s="1" customFormat="1" ht="60" customHeight="1" spans="1:5">
      <c r="A1" s="7"/>
    </row>
    <row r="2" s="2" customFormat="1" ht="39.95" customHeight="1"/>
    <row r="3" s="2" customFormat="1" customHeight="1" spans="1:5">
      <c r="B3" s="9"/>
      <c r="C3" s="9"/>
      <c r="D3" s="9"/>
      <c r="E3" s="9"/>
    </row>
    <row r="4" s="2" customFormat="1" ht="30" customHeight="1" spans="1:5">
      <c r="B4" s="9"/>
      <c r="C4" s="9" t="s">
        <v>76</v>
      </c>
      <c r="D4" s="16" t="s">
        <v>71</v>
      </c>
      <c r="E4" s="9"/>
    </row>
    <row r="5" s="3" customFormat="1" customHeight="1" spans="1:5">
      <c r="B5" s="4"/>
      <c r="C5" s="4">
        <v>4</v>
      </c>
      <c r="D5" s="13" t="s">
        <v>35</v>
      </c>
      <c r="E5" s="4"/>
    </row>
    <row r="6" s="3" customFormat="1" customHeight="1" spans="1:5">
      <c r="B6" s="4"/>
      <c r="C6" s="4">
        <v>17</v>
      </c>
      <c r="D6" s="13" t="s">
        <v>61</v>
      </c>
      <c r="E6" s="4"/>
    </row>
    <row r="7" s="3" customFormat="1" customHeight="1" spans="1:5">
      <c r="B7" s="4"/>
      <c r="C7" s="4"/>
      <c r="D7" s="13"/>
      <c r="E7" s="4"/>
    </row>
    <row r="8" s="3" customFormat="1" customHeight="1" spans="1:5">
      <c r="B8" s="4"/>
      <c r="C8" s="4"/>
      <c r="D8" s="13"/>
      <c r="E8" s="4"/>
    </row>
    <row r="9" s="3" customFormat="1" customHeight="1" spans="1:5">
      <c r="B9" s="4"/>
      <c r="C9" s="4"/>
      <c r="D9" s="13"/>
      <c r="E9" s="4"/>
    </row>
    <row r="10" s="3" customFormat="1" customHeight="1" spans="1:5">
      <c r="B10" s="4"/>
      <c r="C10" s="4"/>
      <c r="D10" s="13"/>
      <c r="E10" s="4"/>
    </row>
    <row r="11" s="3" customFormat="1" customHeight="1" spans="1:5">
      <c r="B11" s="4"/>
      <c r="C11" s="4"/>
      <c r="D11" s="13"/>
      <c r="E11" s="4"/>
    </row>
    <row r="12" s="3" customFormat="1" customHeight="1" spans="1:5">
      <c r="B12" s="4"/>
      <c r="C12" s="4"/>
      <c r="D12" s="13"/>
      <c r="E12" s="4"/>
    </row>
    <row r="13" s="3" customFormat="1" customHeight="1" spans="1:5">
      <c r="B13" s="4"/>
      <c r="C13" s="4"/>
      <c r="D13" s="13"/>
      <c r="E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I9" sqref="I9"/>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4"/>
      <c r="S1" s="14"/>
      <c r="T1" s="14">
        <v>1</v>
      </c>
    </row>
    <row r="2" s="2" customFormat="1" ht="39.95" customHeight="1"/>
    <row r="3" s="2" customFormat="1" customHeight="1" spans="1:20">
      <c r="B3" s="9"/>
      <c r="C3" s="9"/>
      <c r="D3" s="9"/>
      <c r="E3" s="9"/>
      <c r="F3" s="9"/>
      <c r="G3" s="9"/>
      <c r="H3" s="9"/>
      <c r="I3" s="9"/>
      <c r="J3" s="9"/>
      <c r="K3" s="9"/>
    </row>
    <row r="4" s="2" customFormat="1" ht="30" customHeight="1" spans="1:20">
      <c r="B4" s="9"/>
      <c r="C4" s="15" t="s">
        <v>76</v>
      </c>
      <c r="D4" s="16" t="s">
        <v>137</v>
      </c>
      <c r="E4" s="16" t="s">
        <v>138</v>
      </c>
      <c r="F4" s="16" t="s">
        <v>139</v>
      </c>
      <c r="G4" s="16" t="s">
        <v>140</v>
      </c>
      <c r="H4" s="16" t="s">
        <v>141</v>
      </c>
      <c r="I4" s="16" t="s">
        <v>142</v>
      </c>
      <c r="J4" s="16" t="s">
        <v>143</v>
      </c>
      <c r="K4" s="9"/>
    </row>
    <row r="5" s="3" customFormat="1" customHeight="1" spans="1:20">
      <c r="B5" s="4"/>
      <c r="C5" s="12"/>
      <c r="D5" s="13"/>
      <c r="E5" s="13"/>
      <c r="F5" s="13"/>
      <c r="G5" s="13"/>
      <c r="H5" s="13"/>
      <c r="I5" s="13"/>
      <c r="J5" s="13"/>
      <c r="K5" s="4"/>
    </row>
    <row r="6" s="3" customFormat="1" customHeight="1" spans="1:20">
      <c r="B6" s="4"/>
      <c r="C6" s="12"/>
      <c r="D6" s="13"/>
      <c r="E6" s="13"/>
      <c r="F6" s="13"/>
      <c r="G6" s="13"/>
      <c r="H6" s="13"/>
      <c r="I6" s="13"/>
      <c r="J6" s="13"/>
      <c r="K6" s="4"/>
    </row>
    <row r="7" s="3" customFormat="1" customHeight="1" spans="1:20">
      <c r="B7" s="4"/>
      <c r="C7" s="12"/>
      <c r="D7" s="13"/>
      <c r="E7" s="13"/>
      <c r="F7" s="13"/>
      <c r="G7" s="13"/>
      <c r="H7" s="13"/>
      <c r="I7" s="13"/>
      <c r="J7" s="13"/>
      <c r="K7" s="4"/>
    </row>
    <row r="8" s="3" customFormat="1" customHeight="1" spans="1:20">
      <c r="B8" s="4"/>
      <c r="C8" s="12"/>
      <c r="D8" s="13"/>
      <c r="E8" s="13"/>
      <c r="F8" s="13"/>
      <c r="G8" s="13"/>
      <c r="H8" s="13"/>
      <c r="I8" s="13"/>
      <c r="J8" s="13"/>
      <c r="K8" s="4"/>
    </row>
    <row r="9" s="3" customFormat="1" customHeight="1" spans="1:20">
      <c r="B9" s="4"/>
      <c r="C9" s="12"/>
      <c r="D9" s="13"/>
      <c r="E9" s="13"/>
      <c r="F9" s="13"/>
      <c r="G9" s="13"/>
      <c r="H9" s="13"/>
      <c r="I9" s="13"/>
      <c r="J9" s="13"/>
      <c r="K9" s="4"/>
    </row>
    <row r="10" s="3" customFormat="1" customHeight="1" spans="1:20">
      <c r="B10" s="4"/>
      <c r="C10" s="12"/>
      <c r="D10" s="13"/>
      <c r="E10" s="13"/>
      <c r="F10" s="13"/>
      <c r="G10" s="13"/>
      <c r="H10" s="13"/>
      <c r="I10" s="13"/>
      <c r="J10" s="13"/>
      <c r="K10" s="4"/>
    </row>
    <row r="11" s="3" customFormat="1" customHeight="1" spans="1:20">
      <c r="B11" s="4"/>
      <c r="C11" s="12"/>
      <c r="D11" s="13"/>
      <c r="E11" s="13"/>
      <c r="F11" s="13"/>
      <c r="G11" s="13"/>
      <c r="H11" s="13"/>
      <c r="I11" s="13"/>
      <c r="J11" s="13"/>
      <c r="K11" s="4"/>
    </row>
    <row r="12" s="3" customFormat="1" customHeight="1" spans="1:20">
      <c r="B12" s="4"/>
      <c r="C12" s="12"/>
      <c r="D12" s="13"/>
      <c r="E12" s="13"/>
      <c r="F12" s="13"/>
      <c r="G12" s="13"/>
      <c r="H12" s="13"/>
      <c r="I12" s="13"/>
      <c r="J12" s="13"/>
      <c r="K12" s="4"/>
    </row>
    <row r="13" s="3" customFormat="1" customHeight="1" spans="1:20">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32"/>
  <sheetViews>
    <sheetView workbookViewId="0">
      <pane ySplit="2" topLeftCell="A3" activePane="bottomLeft" state="frozen"/>
      <selection/>
      <selection pane="bottomLeft" activeCell="D3" sqref="D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5">
      <c r="A1" s="7"/>
      <c r="D1" s="8"/>
    </row>
    <row r="2" s="2" customFormat="1" ht="39.95" customHeight="1" spans="1:5">
      <c r="D2" s="3"/>
    </row>
    <row r="3" s="2" customFormat="1" customHeight="1" spans="1:5">
      <c r="B3" s="9"/>
      <c r="C3" s="9"/>
      <c r="D3" s="10" t="s">
        <v>144</v>
      </c>
      <c r="E3" s="9"/>
    </row>
    <row r="4" s="3" customFormat="1" customHeight="1" spans="1:5">
      <c r="B4" s="4"/>
      <c r="C4" s="4"/>
      <c r="D4" s="11"/>
      <c r="E4" s="4"/>
    </row>
    <row r="5" s="3" customFormat="1" customHeight="1" spans="1:5">
      <c r="B5" s="4"/>
      <c r="C5" s="4"/>
      <c r="D5" s="11"/>
      <c r="E5" s="4"/>
    </row>
    <row r="6" s="3" customFormat="1" customHeight="1" spans="1:5">
      <c r="B6" s="4"/>
      <c r="C6" s="4"/>
      <c r="D6" s="11"/>
      <c r="E6" s="4"/>
    </row>
    <row r="7" s="3" customFormat="1" customHeight="1" spans="1:5">
      <c r="B7" s="4"/>
      <c r="C7" s="4"/>
      <c r="D7" s="11"/>
      <c r="E7" s="4"/>
    </row>
    <row r="8" s="3" customFormat="1" customHeight="1" spans="1:5">
      <c r="B8" s="4"/>
      <c r="C8" s="4"/>
      <c r="D8" s="11"/>
      <c r="E8" s="4"/>
    </row>
    <row r="9" s="3" customFormat="1" customHeight="1" spans="1:5">
      <c r="B9" s="4"/>
      <c r="C9" s="4"/>
      <c r="D9" s="11"/>
      <c r="E9" s="4"/>
    </row>
    <row r="10" s="3" customFormat="1" customHeight="1" spans="1:5">
      <c r="B10" s="4"/>
      <c r="C10" s="4"/>
      <c r="D10" s="11"/>
      <c r="E10" s="4"/>
    </row>
    <row r="11" s="3" customFormat="1" customHeight="1" spans="1:5">
      <c r="B11" s="4"/>
      <c r="C11" s="4"/>
      <c r="D11" s="11"/>
      <c r="E11" s="4"/>
    </row>
    <row r="12" s="3" customFormat="1" customHeight="1" spans="1:5">
      <c r="B12" s="4"/>
      <c r="C12" s="4"/>
      <c r="D12" s="11"/>
      <c r="E12" s="4"/>
    </row>
    <row r="13" customHeight="1" spans="1:5">
      <c r="D13" s="11"/>
    </row>
    <row r="14" customHeight="1" spans="1:5">
      <c r="D14" s="11"/>
    </row>
    <row r="15" customHeight="1" spans="1:5">
      <c r="D15" s="11"/>
    </row>
    <row r="16" customHeight="1" spans="1:5">
      <c r="D16" s="11"/>
    </row>
    <row r="17" customHeight="1" spans="4:4">
      <c r="D17" s="11"/>
    </row>
    <row r="18" customHeight="1" spans="4:4">
      <c r="D18" s="11"/>
    </row>
    <row r="19" customHeight="1" spans="4:4">
      <c r="D19" s="11"/>
    </row>
    <row r="20" customHeight="1" spans="4:4">
      <c r="D20" s="11"/>
    </row>
    <row r="21" customHeight="1" spans="4:4">
      <c r="D21" s="11"/>
    </row>
    <row r="22" customHeight="1" spans="4:4">
      <c r="D22" s="11"/>
    </row>
    <row r="23" customHeight="1" spans="4:4">
      <c r="D23" s="11"/>
    </row>
    <row r="24" customHeight="1" spans="4:4">
      <c r="D24" s="11"/>
    </row>
    <row r="25" customHeight="1" spans="4:4">
      <c r="D25" s="11"/>
    </row>
    <row r="26" customHeight="1" spans="4:4">
      <c r="D26" s="11"/>
    </row>
    <row r="27" customHeight="1" spans="4:4">
      <c r="D27" s="11"/>
    </row>
    <row r="28" customHeight="1" spans="4:4">
      <c r="D28" s="11"/>
    </row>
    <row r="29" customHeight="1" spans="4:4">
      <c r="D29" s="11"/>
    </row>
    <row r="30" customHeight="1" spans="4:4">
      <c r="D30" s="11"/>
    </row>
    <row r="31" customHeight="1" spans="4:4">
      <c r="D31" s="11"/>
    </row>
    <row r="32" customHeight="1" spans="4:4">
      <c r="D32" s="11"/>
    </row>
  </sheetData>
  <pageMargins left="0.75" right="0.75" top="1" bottom="1" header="0.5" footer="0.5"/>
  <pageSetup paperSize="9"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4" master="" otherUserPermission="visible"/>
  <rangeList sheetStid="22" master="" otherUserPermission="visible"/>
  <rangeList sheetStid="23" master="" otherUserPermission="visible"/>
  <rangeList sheetStid="24" master="" otherUserPermission="visible"/>
  <rangeList sheetStid="25" master="" otherUserPermission="visible"/>
  <rangeList sheetStid="31" master="" otherUserPermission="visible"/>
  <rangeList sheetStid="32" master="" otherUserPermission="visible"/>
  <rangeList sheetStid="33" master="" otherUserPermission="visible"/>
  <rangeList sheetStid="27" master="" otherUserPermission="visible"/>
  <rangeList sheetStid="28" master="" otherUserPermission="visible"/>
  <rangeList sheetStid="26" master="" otherUserPermission="visible"/>
  <rangeList sheetStid="16" master="" otherUserPermission="visible"/>
  <rangeList sheetStid="17" master="" otherUserPermission="visible"/>
  <rangeList sheetStid="5" master="" otherUserPermission="visible"/>
  <rangeList sheetStid="29" master="" otherUserPermission="visible"/>
  <rangeList sheetStid="30" master="" otherUserPermission="visible"/>
  <rangeList sheetStid="6" master="" otherUserPermission="visible"/>
  <rangeList sheetStid="7" master="" otherUserPermission="visible"/>
  <rangeList sheetStid="15" master="" otherUserPermission="visible"/>
  <rangeList sheetStid="34" master="" otherUserPermission="visible"/>
  <rangeList sheetStid="9" master="" otherUserPermission="visible"/>
  <rangeList sheetStid="10" master="" otherUserPermission="visible"/>
  <rangeList sheetStid="11" master="" otherUserPermission="visible"/>
  <rangeList sheetStid="12" master="" otherUserPermission="visible"/>
  <rangeList sheetStid="19"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31</vt:i4>
      </vt:variant>
    </vt:vector>
  </HeadingPairs>
  <TitlesOfParts>
    <vt:vector size="31" baseType="lpstr">
      <vt:lpstr>首页</vt:lpstr>
      <vt:lpstr>说明书</vt:lpstr>
      <vt:lpstr>加密</vt:lpstr>
      <vt:lpstr>入库</vt:lpstr>
      <vt:lpstr>出库</vt:lpstr>
      <vt:lpstr>库存调拨</vt:lpstr>
      <vt:lpstr>库存盘点</vt:lpstr>
      <vt:lpstr>销售退货</vt:lpstr>
      <vt:lpstr>采购退货</vt:lpstr>
      <vt:lpstr>销售退货统计</vt:lpstr>
      <vt:lpstr>采购退货统计</vt:lpstr>
      <vt:lpstr>进出明细统计</vt:lpstr>
      <vt:lpstr>采购单</vt:lpstr>
      <vt:lpstr>采购未入库明细</vt:lpstr>
      <vt:lpstr>单据</vt:lpstr>
      <vt:lpstr>入库单</vt:lpstr>
      <vt:lpstr>出库单</vt:lpstr>
      <vt:lpstr>期初数</vt:lpstr>
      <vt:lpstr>期末数</vt:lpstr>
      <vt:lpstr>库存积压统计</vt:lpstr>
      <vt:lpstr>明细</vt:lpstr>
      <vt:lpstr>进销存</vt:lpstr>
      <vt:lpstr>商品进出查询</vt:lpstr>
      <vt:lpstr>客户|供应商查询</vt:lpstr>
      <vt:lpstr>基础资料</vt:lpstr>
      <vt:lpstr>客户资料</vt:lpstr>
      <vt:lpstr>供应商资料</vt:lpstr>
      <vt:lpstr>笔记</vt:lpstr>
      <vt:lpstr>仓库资料</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2026-03-13T02:47:58Z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y fmtid="{D5CDD505-2E9C-101B-9397-08002B2CF9AE}" pid="5" name="CalculationRule">
    <vt:i4>0</vt:i4>
  </property>
</Properties>
</file>