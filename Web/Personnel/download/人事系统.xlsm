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19635" windowHeight="7245" tabRatio="815"/>
  </bookViews>
  <sheets>
    <sheet name="首页" sheetId="1" r:id="rId1"/>
    <sheet name="说明书" sheetId="2" r:id="rId2"/>
    <sheet name="Sheet3" sheetId="3" state="veryHidden" r:id="rId3"/>
    <sheet name="考勤" sheetId="7" state="veryHidden" r:id="rId4"/>
    <sheet name="人员信息管理" sheetId="4" state="veryHidden" r:id="rId5"/>
    <sheet name="数据暂存" sheetId="5" state="veryHidden" r:id="rId6"/>
    <sheet name="工资明细" sheetId="10" state="veryHidden" r:id="rId7"/>
    <sheet name="考勤记录" sheetId="8" state="veryHidden" r:id="rId8"/>
    <sheet name="配置表" sheetId="6" state="veryHidden" r:id="rId9"/>
    <sheet name="报盘" sheetId="11" state="veryHidden" r:id="rId10"/>
    <sheet name="审批记录" sheetId="12" state="veryHidden" r:id="rId11"/>
    <sheet name="报税" sheetId="9" state="veryHidden" r:id="rId12"/>
    <sheet name="部门汇总" sheetId="13" state="veryHidden" r:id="rId13"/>
    <sheet name="社保" sheetId="14" state="veryHidden" r:id="rId14"/>
    <sheet name="员工档案" sheetId="15" state="veryHidden" r:id="rId15"/>
    <sheet name="个人所得税" sheetId="16" state="veryHidden" r:id="rId16"/>
    <sheet name="工资条" sheetId="17" state="veryHidden" r:id="rId17"/>
    <sheet name="生日提醒" sheetId="18" state="veryHidden" r:id="rId18"/>
    <sheet name="简历管理" sheetId="19" state="veryHidden" r:id="rId19"/>
    <sheet name="简历审批" sheetId="22" state="veryHidden" r:id="rId20"/>
    <sheet name="面试管理" sheetId="23" state="veryHidden" r:id="rId21"/>
    <sheet name="离职申请" sheetId="25" state="veryHidden" r:id="rId22"/>
    <sheet name="离职审批" sheetId="24" state="veryHidden" r:id="rId23"/>
    <sheet name="请假审批" sheetId="26" state="veryHidden" r:id="rId24"/>
    <sheet name="动态工资明细" sheetId="29" state="veryHidden" r:id="rId25"/>
    <sheet name="统计图" sheetId="31" state="veryHidden" r:id="rId26"/>
    <sheet name="动态公式" sheetId="30" state="veryHidden" r:id="rId27"/>
    <sheet name="签到" sheetId="27" state="veryHidden" r:id="rId28"/>
    <sheet name="工作时间配置" sheetId="28" state="veryHidden" r:id="rId29"/>
    <sheet name="文件详情" sheetId="21" state="veryHidden" r:id="rId30"/>
  </sheets>
  <definedNames>
    <definedName name="_xlnm.Print_Area" localSheetId="16">工资条!$C$4:$BA$14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C4" authorId="0">
      <text>
        <r>
          <rPr>
            <sz val="9"/>
            <rFont val="宋体"/>
            <charset val="134"/>
          </rPr>
          <t>双击此列姓名弹出修改窗口</t>
        </r>
      </text>
    </comment>
    <comment ref="P4" authorId="0">
      <text>
        <r>
          <rPr>
            <sz val="9"/>
            <rFont val="宋体"/>
            <charset val="134"/>
          </rPr>
          <t xml:space="preserve">双击角标单元格查看计算公式
</t>
        </r>
      </text>
    </comment>
    <comment ref="S4" authorId="0">
      <text>
        <r>
          <rPr>
            <sz val="9"/>
            <rFont val="宋体"/>
            <charset val="134"/>
          </rPr>
          <t>双击角标单元格查看计算公式</t>
        </r>
      </text>
    </comment>
    <comment ref="U4" authorId="0">
      <text>
        <r>
          <rPr>
            <sz val="9"/>
            <rFont val="宋体"/>
            <charset val="134"/>
          </rPr>
          <t>双击角标单元格查看计算公式</t>
        </r>
      </text>
    </comment>
    <comment ref="V4" authorId="0">
      <text>
        <r>
          <rPr>
            <sz val="9"/>
            <rFont val="宋体"/>
            <charset val="134"/>
          </rPr>
          <t>双击角标单元格查看计算公式</t>
        </r>
      </text>
    </comment>
    <comment ref="AA4" authorId="0">
      <text>
        <r>
          <rPr>
            <sz val="9"/>
            <rFont val="宋体"/>
            <charset val="134"/>
          </rPr>
          <t>双击角标单元格查看计算公式</t>
        </r>
      </text>
    </comment>
    <comment ref="AB4" authorId="0">
      <text>
        <r>
          <rPr>
            <sz val="9"/>
            <rFont val="宋体"/>
            <charset val="134"/>
          </rPr>
          <t>双击角标单元格查看计算公式</t>
        </r>
      </text>
    </comment>
    <comment ref="AC4" authorId="0">
      <text>
        <r>
          <rPr>
            <sz val="9"/>
            <rFont val="宋体"/>
            <charset val="134"/>
          </rPr>
          <t>双击角标单元格查看计算公式</t>
        </r>
      </text>
    </comment>
    <comment ref="AD4" authorId="0">
      <text>
        <r>
          <rPr>
            <sz val="9"/>
            <rFont val="宋体"/>
            <charset val="134"/>
          </rPr>
          <t>双击角标单元格查看计算公式</t>
        </r>
      </text>
    </comment>
    <comment ref="AE4" authorId="0">
      <text>
        <r>
          <rPr>
            <sz val="9"/>
            <rFont val="宋体"/>
            <charset val="134"/>
          </rPr>
          <t>双击角标单元格查看计算公式</t>
        </r>
      </text>
    </comment>
    <comment ref="AF4" authorId="0">
      <text>
        <r>
          <rPr>
            <sz val="9"/>
            <rFont val="宋体"/>
            <charset val="134"/>
          </rPr>
          <t>双击角标单元格查看计算公式</t>
        </r>
      </text>
    </comment>
    <comment ref="AG4" authorId="0">
      <text>
        <r>
          <rPr>
            <sz val="9"/>
            <rFont val="宋体"/>
            <charset val="134"/>
          </rPr>
          <t>双击角标单元格查看计算公式</t>
        </r>
      </text>
    </comment>
    <comment ref="AJ4" authorId="0">
      <text>
        <r>
          <rPr>
            <sz val="9"/>
            <rFont val="宋体"/>
            <charset val="134"/>
          </rPr>
          <t>双击角标单元格查看计算公式</t>
        </r>
      </text>
    </comment>
    <comment ref="AK4" authorId="0">
      <text>
        <r>
          <rPr>
            <sz val="9"/>
            <rFont val="宋体"/>
            <charset val="134"/>
          </rPr>
          <t>双击角标单元格查看计算公式</t>
        </r>
      </text>
    </comment>
    <comment ref="AL4" authorId="0">
      <text>
        <r>
          <rPr>
            <sz val="9"/>
            <rFont val="宋体"/>
            <charset val="134"/>
          </rPr>
          <t>双击角标单元格查看计算公式</t>
        </r>
      </text>
    </comment>
    <comment ref="AM4" authorId="0">
      <text>
        <r>
          <rPr>
            <sz val="9"/>
            <rFont val="宋体"/>
            <charset val="134"/>
          </rPr>
          <t>双击角标单元格查看计算公式</t>
        </r>
      </text>
    </comment>
    <comment ref="AN4" authorId="0">
      <text>
        <r>
          <rPr>
            <sz val="9"/>
            <rFont val="宋体"/>
            <charset val="134"/>
          </rPr>
          <t>双击角标单元格查看计算公式</t>
        </r>
      </text>
    </comment>
    <comment ref="AO4" authorId="0">
      <text>
        <r>
          <rPr>
            <sz val="9"/>
            <rFont val="宋体"/>
            <charset val="134"/>
          </rPr>
          <t>双击角标单元格查看计算公式</t>
        </r>
      </text>
    </comment>
    <comment ref="AS4" authorId="0">
      <text>
        <r>
          <rPr>
            <sz val="9"/>
            <rFont val="宋体"/>
            <charset val="134"/>
          </rPr>
          <t>双击角标单元格查看计算公式</t>
        </r>
      </text>
    </comment>
    <comment ref="AT4" authorId="0">
      <text>
        <r>
          <rPr>
            <sz val="9"/>
            <rFont val="宋体"/>
            <charset val="134"/>
          </rPr>
          <t>双击角标单元格查看计算公式</t>
        </r>
      </text>
    </comment>
    <comment ref="AU4" authorId="0">
      <text>
        <r>
          <rPr>
            <sz val="9"/>
            <rFont val="宋体"/>
            <charset val="134"/>
          </rPr>
          <t>双击角标单元格查看计算公式</t>
        </r>
      </text>
    </comment>
    <comment ref="AX4" authorId="0">
      <text>
        <r>
          <rPr>
            <sz val="9"/>
            <rFont val="宋体"/>
            <charset val="134"/>
          </rPr>
          <t>双击角标单元格查看计算公式</t>
        </r>
      </text>
    </comment>
    <comment ref="AZ4" authorId="0">
      <text>
        <r>
          <rPr>
            <sz val="9"/>
            <rFont val="宋体"/>
            <charset val="134"/>
          </rPr>
          <t>双击角标单元格查看计算公式</t>
        </r>
      </text>
    </comment>
  </commentList>
</comments>
</file>

<file path=xl/comments2.xml><?xml version="1.0" encoding="utf-8"?>
<comments xmlns="http://schemas.openxmlformats.org/spreadsheetml/2006/main">
  <authors>
    <author>Administrator</author>
  </authors>
  <commentList>
    <comment ref="C4" authorId="0">
      <text>
        <r>
          <rPr>
            <sz val="9"/>
            <rFont val="宋体"/>
            <charset val="134"/>
          </rPr>
          <t>双击部门内容弹出部门详情</t>
        </r>
      </text>
    </comment>
    <comment ref="G4"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C4" authorId="0">
      <text>
        <r>
          <rPr>
            <sz val="9"/>
            <rFont val="宋体"/>
            <charset val="134"/>
          </rPr>
          <t xml:space="preserve">双击部门内容弹出部门详情
</t>
        </r>
      </text>
    </comment>
    <comment ref="F4" authorId="0">
      <text>
        <r>
          <rPr>
            <sz val="9"/>
            <rFont val="宋体"/>
            <charset val="134"/>
          </rPr>
          <t>双击此处有提示</t>
        </r>
      </text>
    </comment>
  </commentList>
</comments>
</file>

<file path=xl/comments4.xml><?xml version="1.0" encoding="utf-8"?>
<comments xmlns="http://schemas.openxmlformats.org/spreadsheetml/2006/main">
  <authors>
    <author>Administrator</author>
  </authors>
  <commentList>
    <comment ref="D4" authorId="0">
      <text>
        <r>
          <rPr>
            <sz val="9"/>
            <rFont val="宋体"/>
            <charset val="134"/>
          </rPr>
          <t>双击红角标处显示计算公式</t>
        </r>
      </text>
    </comment>
    <comment ref="E4" authorId="0">
      <text>
        <r>
          <rPr>
            <sz val="9"/>
            <rFont val="宋体"/>
            <charset val="134"/>
          </rPr>
          <t xml:space="preserve">双击红角标处显示计算公式
</t>
        </r>
      </text>
    </comment>
    <comment ref="F4" authorId="0">
      <text>
        <r>
          <rPr>
            <sz val="9"/>
            <rFont val="宋体"/>
            <charset val="134"/>
          </rPr>
          <t xml:space="preserve">双击红角标处显示计算公式
</t>
        </r>
      </text>
    </comment>
  </commentList>
</comments>
</file>

<file path=xl/sharedStrings.xml><?xml version="1.0" encoding="utf-8"?>
<sst xmlns="http://schemas.openxmlformats.org/spreadsheetml/2006/main" count="774" uniqueCount="331">
  <si>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</si>
  <si>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考勤</t>
  </si>
  <si>
    <t>当前页:</t>
  </si>
  <si>
    <t>1.</t>
  </si>
  <si>
    <t>点击刷新按钮，显示所有考勤信息。</t>
  </si>
  <si>
    <t>2.</t>
  </si>
  <si>
    <t>在表格上填写或修改已有数据后点击保存按钮即可保存。</t>
  </si>
  <si>
    <t>3.</t>
  </si>
  <si>
    <t>在表格上选中想要删除的数据后点击删除按钮即可删除。</t>
  </si>
  <si>
    <t>4.</t>
  </si>
  <si>
    <t>点击查询按钮，在弹出的窗口中输入条件点击确定按钮后即可查询。</t>
  </si>
  <si>
    <t>点击刷新按钮，显示所有人员信息。</t>
  </si>
  <si>
    <t>双击已有信息的姓名位置，可弹出权限设置窗口，设置每个页面的权限后点击确定按钮即可保存。</t>
  </si>
  <si>
    <t>5.</t>
  </si>
  <si>
    <t>点击刷新按钮，显示所有工资明细。</t>
  </si>
  <si>
    <t>点击新增按钮，在弹出的窗口中填写工资信息后点击保存按钮即可保存。在窗口中双击姓名位置可选择人员信息</t>
  </si>
  <si>
    <t>中的人员，选择后拉取对应信息到窗口中。点击计算按钮，可从配置表获取对应的配置信息计算工资。</t>
  </si>
  <si>
    <t>双击已有工资明细的姓名位置可弹出修改窗口，在窗口中修改信息后点击确定按钮即可保存。</t>
  </si>
  <si>
    <t>点击刷新按钮，显示所有考勤记录信息。</t>
  </si>
  <si>
    <t>点击刷新按钮，显示所有配置信息。</t>
  </si>
  <si>
    <t>点击刷新按钮，显示所有报盘信息。</t>
  </si>
  <si>
    <t>点击审批按钮，获取表格当前显示的信息，在窗口中生成审批信息，补全信息后点击确定按钮即可保存审批信息。</t>
  </si>
  <si>
    <t>审批信息需要到审批记录表中查看。</t>
  </si>
  <si>
    <t>点击刷新按钮，显示所有审批记录。</t>
  </si>
  <si>
    <t>在表格上修改已有数据后点击保存按钮即可保存。</t>
  </si>
  <si>
    <t>点击刷新按钮，显示所有报税信息。</t>
  </si>
  <si>
    <t>点击刷新按钮，显示所有部门的汇总信息。</t>
  </si>
  <si>
    <t>双击已有汇总信息的部门位置，可弹出窗口显示部门下的详细人员信息。</t>
  </si>
  <si>
    <t>点击刷新按钮，显示所有部门的社保汇总信息。</t>
  </si>
  <si>
    <t>点击刷新按钮，显示所有人员详细信息。</t>
  </si>
  <si>
    <t>点击刷新按钮，根据税率汇总所有员工的个人所得税缴税情况。</t>
  </si>
  <si>
    <t>点击刷新按钮，显示所有员工的工资信息。</t>
  </si>
  <si>
    <t>上海恒晨人力资源有限公司_hr</t>
  </si>
  <si>
    <t>▌  考勤</t>
  </si>
  <si>
    <t>年</t>
  </si>
  <si>
    <t>月</t>
  </si>
  <si>
    <t>姓名</t>
  </si>
  <si>
    <t>全勤天数</t>
  </si>
  <si>
    <t>实际天数</t>
  </si>
  <si>
    <t>请假/小时</t>
  </si>
  <si>
    <t>加班/小时</t>
  </si>
  <si>
    <t>迟到天数</t>
  </si>
  <si>
    <t>秦岚</t>
  </si>
  <si>
    <t>出勤</t>
  </si>
  <si>
    <t>▌  人员信息管理</t>
  </si>
  <si>
    <t>部门</t>
  </si>
  <si>
    <t>职务</t>
  </si>
  <si>
    <t>账号</t>
  </si>
  <si>
    <t>密码</t>
  </si>
  <si>
    <t>身份证号</t>
  </si>
  <si>
    <t>民族</t>
  </si>
  <si>
    <t>籍贯</t>
  </si>
  <si>
    <t>手机号</t>
  </si>
  <si>
    <t>学历</t>
  </si>
  <si>
    <t>出生日期</t>
  </si>
  <si>
    <t>婚姻状况</t>
  </si>
  <si>
    <t>就职状态</t>
  </si>
  <si>
    <t>基本工资</t>
  </si>
  <si>
    <t>绩效工资</t>
  </si>
  <si>
    <t>银行卡号</t>
  </si>
  <si>
    <t>入职时间</t>
  </si>
  <si>
    <t>工龄</t>
  </si>
  <si>
    <t>现住址</t>
  </si>
  <si>
    <t>家庭地址</t>
  </si>
  <si>
    <t>银行卡支行</t>
  </si>
  <si>
    <t>是否购买社保</t>
  </si>
  <si>
    <t>公积金账号</t>
  </si>
  <si>
    <t>社保账号</t>
  </si>
  <si>
    <t>劳动合同签订有效期限</t>
  </si>
  <si>
    <t>劳动合同第二次续签</t>
  </si>
  <si>
    <t>备注</t>
  </si>
  <si>
    <t>调薪时间</t>
  </si>
  <si>
    <t>管理员</t>
  </si>
  <si>
    <t>管理部</t>
  </si>
  <si>
    <t>部员</t>
  </si>
  <si>
    <t>0316183333</t>
  </si>
  <si>
    <t>33123456</t>
  </si>
  <si>
    <t>21028220000101231X</t>
  </si>
  <si>
    <t>汉</t>
  </si>
  <si>
    <t>辽宁</t>
  </si>
  <si>
    <t>14855829402</t>
  </si>
  <si>
    <t>本科</t>
  </si>
  <si>
    <t>未婚</t>
  </si>
  <si>
    <t>在职</t>
  </si>
  <si>
    <t>1849537258492836</t>
  </si>
  <si>
    <t>2022/11/1;2023-04-12;2023/4/12;2023/4/12</t>
  </si>
  <si>
    <t>id</t>
  </si>
  <si>
    <t>公司</t>
  </si>
  <si>
    <t>人员id</t>
  </si>
  <si>
    <t>增</t>
  </si>
  <si>
    <t>删</t>
  </si>
  <si>
    <t>改</t>
  </si>
  <si>
    <t>查</t>
  </si>
  <si>
    <t>查看此表</t>
  </si>
  <si>
    <t>表名</t>
  </si>
  <si>
    <t>岗位</t>
  </si>
  <si>
    <t>银行账号</t>
  </si>
  <si>
    <t>效绩工资</t>
  </si>
  <si>
    <t>岗位工资</t>
  </si>
  <si>
    <t>标准工资</t>
  </si>
  <si>
    <t>跨度工资</t>
  </si>
  <si>
    <t>职称津贴</t>
  </si>
  <si>
    <t>月出勤天数</t>
  </si>
  <si>
    <t>加班时间</t>
  </si>
  <si>
    <t>加班费</t>
  </si>
  <si>
    <t>全勤应发</t>
  </si>
  <si>
    <t>缺勤天数</t>
  </si>
  <si>
    <t>缺勤扣款</t>
  </si>
  <si>
    <t>迟到扣款</t>
  </si>
  <si>
    <t>应发工资</t>
  </si>
  <si>
    <t>社保基数</t>
  </si>
  <si>
    <t>医疗技术</t>
  </si>
  <si>
    <t>公积金基数</t>
  </si>
  <si>
    <t>年金基数</t>
  </si>
  <si>
    <t>企业养老</t>
  </si>
  <si>
    <t>企业失业</t>
  </si>
  <si>
    <t>企业医疗</t>
  </si>
  <si>
    <t>企业工伤</t>
  </si>
  <si>
    <t>企业生育</t>
  </si>
  <si>
    <t>企业公积金</t>
  </si>
  <si>
    <t>企业年金</t>
  </si>
  <si>
    <t>滞纳金</t>
  </si>
  <si>
    <t>利息</t>
  </si>
  <si>
    <t>企业小计</t>
  </si>
  <si>
    <t>个人养老</t>
  </si>
  <si>
    <t>个人失业</t>
  </si>
  <si>
    <t>个人医疗</t>
  </si>
  <si>
    <t>大额医疗</t>
  </si>
  <si>
    <t>个人公积金</t>
  </si>
  <si>
    <t>个人小计</t>
  </si>
  <si>
    <t>税前工资</t>
  </si>
  <si>
    <t>应税工资</t>
  </si>
  <si>
    <t>税率</t>
  </si>
  <si>
    <t>扣除数</t>
  </si>
  <si>
    <t>代扣个人所得税</t>
  </si>
  <si>
    <t>1%年金</t>
  </si>
  <si>
    <t>实发工资</t>
  </si>
  <si>
    <t>录入时间</t>
  </si>
  <si>
    <t>养老小计</t>
  </si>
  <si>
    <t>失业小计</t>
  </si>
  <si>
    <t>企业合计</t>
  </si>
  <si>
    <t>个人合计</t>
  </si>
  <si>
    <t>待处理</t>
  </si>
  <si>
    <t>待审批</t>
  </si>
  <si>
    <t>去掉周六</t>
  </si>
  <si>
    <t>刘信</t>
  </si>
  <si>
    <t>yhltd</t>
  </si>
  <si>
    <t>赵海生</t>
  </si>
  <si>
    <t>人事部</t>
  </si>
  <si>
    <t>刘鑫</t>
  </si>
  <si>
    <t>测试部</t>
  </si>
  <si>
    <t>驳回</t>
  </si>
  <si>
    <t>去掉周日</t>
  </si>
  <si>
    <t>人员信息管理</t>
  </si>
  <si>
    <t>经理</t>
  </si>
  <si>
    <t>211233199809092121</t>
  </si>
  <si>
    <t>185927385482038</t>
  </si>
  <si>
    <t>古玉琴</t>
  </si>
  <si>
    <t>员工</t>
  </si>
  <si>
    <t>通过</t>
  </si>
  <si>
    <t>双休</t>
  </si>
  <si>
    <t>报盘</t>
  </si>
  <si>
    <t>李玉生</t>
  </si>
  <si>
    <t>副部长</t>
  </si>
  <si>
    <t>210282199506092311</t>
  </si>
  <si>
    <t>1895283749587393</t>
  </si>
  <si>
    <t>王丹翠</t>
  </si>
  <si>
    <t>配置表</t>
  </si>
  <si>
    <t>210282200408052311</t>
  </si>
  <si>
    <t>1952750192743925</t>
  </si>
  <si>
    <t>谷玉琴</t>
  </si>
  <si>
    <t>工资明细</t>
  </si>
  <si>
    <t>刘聪</t>
  </si>
  <si>
    <t>21028219900505231X</t>
  </si>
  <si>
    <t>报税</t>
  </si>
  <si>
    <t>210222200101242311</t>
  </si>
  <si>
    <t>1847295747623482</t>
  </si>
  <si>
    <t>考勤记录</t>
  </si>
  <si>
    <t>210282200101032311</t>
  </si>
  <si>
    <t>184729575384927</t>
  </si>
  <si>
    <t>部门汇总</t>
  </si>
  <si>
    <t>林昆宇</t>
  </si>
  <si>
    <t>210282199309232311</t>
  </si>
  <si>
    <t>1867584967584738</t>
  </si>
  <si>
    <t>社保</t>
  </si>
  <si>
    <t>林至阳</t>
  </si>
  <si>
    <t>工程部</t>
  </si>
  <si>
    <t>21028220001212231X</t>
  </si>
  <si>
    <t>1437563847583957</t>
  </si>
  <si>
    <t>员工档案</t>
  </si>
  <si>
    <t>个人所得税</t>
  </si>
  <si>
    <t>工资条</t>
  </si>
  <si>
    <t>简历管理</t>
  </si>
  <si>
    <t>简历审批</t>
  </si>
  <si>
    <t>面试管理</t>
  </si>
  <si>
    <t>离职审批</t>
  </si>
  <si>
    <t>离职申请</t>
  </si>
  <si>
    <t>请假审批</t>
  </si>
  <si>
    <t>签到</t>
  </si>
  <si>
    <t>工作时间配置</t>
  </si>
  <si>
    <t>动态工资明细</t>
  </si>
  <si>
    <t>统计图</t>
  </si>
  <si>
    <t>动态公式</t>
  </si>
  <si>
    <t>▌  工资明细</t>
  </si>
  <si>
    <t>当月工资合计</t>
  </si>
  <si>
    <t>个人生育</t>
  </si>
  <si>
    <t>个人年金4%</t>
  </si>
  <si>
    <t>年金1%</t>
  </si>
  <si>
    <t>验算公式</t>
  </si>
  <si>
    <t>工资年月</t>
  </si>
  <si>
    <t>0</t>
  </si>
  <si>
    <t>▌  考勤记录</t>
  </si>
  <si>
    <t>应到</t>
  </si>
  <si>
    <t>实到</t>
  </si>
  <si>
    <t>请假</t>
  </si>
  <si>
    <t>加班</t>
  </si>
  <si>
    <t>迟到</t>
  </si>
  <si>
    <t>▌  配置表</t>
  </si>
  <si>
    <t>部门配置</t>
  </si>
  <si>
    <t>职务配置</t>
  </si>
  <si>
    <t>个人年金</t>
  </si>
  <si>
    <t>工资</t>
  </si>
  <si>
    <t>保安部</t>
  </si>
  <si>
    <t>▌  报盘</t>
  </si>
  <si>
    <t>员工姓名</t>
  </si>
  <si>
    <t>录入日期</t>
  </si>
  <si>
    <t>个人支出</t>
  </si>
  <si>
    <t>企业支出</t>
  </si>
  <si>
    <t>▌  审批记录</t>
  </si>
  <si>
    <t>员工人数</t>
  </si>
  <si>
    <t>审批人</t>
  </si>
  <si>
    <t>日期</t>
  </si>
  <si>
    <t>▌  报税</t>
  </si>
  <si>
    <t>证件类型</t>
  </si>
  <si>
    <t>证件号码</t>
  </si>
  <si>
    <t>收入金额</t>
  </si>
  <si>
    <t>基本养老保险</t>
  </si>
  <si>
    <t>失业保险金</t>
  </si>
  <si>
    <t>住房公积金</t>
  </si>
  <si>
    <t>年金(个人部分)</t>
  </si>
  <si>
    <t>身份证</t>
  </si>
  <si>
    <t>▌  部门汇总</t>
  </si>
  <si>
    <t>人数</t>
  </si>
  <si>
    <t>▌  社保</t>
  </si>
  <si>
    <t>▌  员工档案</t>
  </si>
  <si>
    <t>▌  个人所得税</t>
  </si>
  <si>
    <t>计税工资</t>
  </si>
  <si>
    <t>计税人数</t>
  </si>
  <si>
    <t>合计</t>
  </si>
  <si>
    <t>▌  工资条</t>
  </si>
  <si>
    <t>当月合计工资</t>
  </si>
  <si>
    <t>▌  生日提醒</t>
  </si>
  <si>
    <t>星期日</t>
  </si>
  <si>
    <t>星期一</t>
  </si>
  <si>
    <t>星期二</t>
  </si>
  <si>
    <t>星期三</t>
  </si>
  <si>
    <t>星期四</t>
  </si>
  <si>
    <t>星期五</t>
  </si>
  <si>
    <t>星期六</t>
  </si>
  <si>
    <t>▌  简历管理</t>
  </si>
  <si>
    <t>目标岗位</t>
  </si>
  <si>
    <t>提交时间</t>
  </si>
  <si>
    <t>文件</t>
  </si>
  <si>
    <t>状态</t>
  </si>
  <si>
    <t>上传文件</t>
  </si>
  <si>
    <t>▌  简历审批</t>
  </si>
  <si>
    <t>▌  面试管理</t>
  </si>
  <si>
    <t>面试评价</t>
  </si>
  <si>
    <t>▌  离职申请</t>
  </si>
  <si>
    <t>请假结果</t>
  </si>
  <si>
    <t>提交审批</t>
  </si>
  <si>
    <t>提交日期</t>
  </si>
  <si>
    <t>审批结果</t>
  </si>
  <si>
    <t>审批原因</t>
  </si>
  <si>
    <t>申请原因</t>
  </si>
  <si>
    <t>▌  离职审批</t>
  </si>
  <si>
    <t>请假原因</t>
  </si>
  <si>
    <t>审批状态</t>
  </si>
  <si>
    <t>张三</t>
  </si>
  <si>
    <t>2026-03-17</t>
  </si>
  <si>
    <t>12</t>
  </si>
  <si>
    <t>▌  请假审批</t>
  </si>
  <si>
    <t>起始请假时间</t>
  </si>
  <si>
    <t>截止请假时间</t>
  </si>
  <si>
    <t>2026-03-16 19:20:18</t>
  </si>
  <si>
    <t>2026-03-16</t>
  </si>
  <si>
    <t>1212</t>
  </si>
  <si>
    <t>▌  动态工资明细</t>
  </si>
  <si>
    <t>基础薪资</t>
  </si>
  <si>
    <t>绩效</t>
  </si>
  <si>
    <t>刘改</t>
  </si>
  <si>
    <t>秦海</t>
  </si>
  <si>
    <t>3000</t>
  </si>
  <si>
    <t>700</t>
  </si>
  <si>
    <t>▌  统计图</t>
  </si>
  <si>
    <t>目标字段</t>
  </si>
  <si>
    <t>统计字段</t>
  </si>
  <si>
    <t>▌  动态公式</t>
  </si>
  <si>
    <t>公式</t>
  </si>
  <si>
    <t>基础薪资+绩效</t>
  </si>
  <si>
    <t>▌  签到</t>
  </si>
  <si>
    <t>签到信息</t>
  </si>
  <si>
    <t>起始时间</t>
  </si>
  <si>
    <t>2026-02-18</t>
  </si>
  <si>
    <t>2026-02-25</t>
  </si>
  <si>
    <t>刘海</t>
  </si>
  <si>
    <t>截止时间</t>
  </si>
  <si>
    <t>请先获取签到信息</t>
  </si>
  <si>
    <t>双击早签</t>
  </si>
  <si>
    <t>双击晚签</t>
  </si>
  <si>
    <t>签到状态:旷勤</t>
  </si>
  <si>
    <t>▌  工作时间配置</t>
  </si>
  <si>
    <t>当前工作安排</t>
  </si>
  <si>
    <t>上班时间</t>
  </si>
  <si>
    <t>下班时间</t>
  </si>
  <si>
    <t>午休开始时间</t>
  </si>
  <si>
    <t>午休结束时间</t>
  </si>
  <si>
    <t>工作日期</t>
  </si>
  <si>
    <t>添加工作配置</t>
  </si>
  <si>
    <t>["2026-03-16","2026-03-17","2026-03-18","2026-03-19","2026-03-20","2026-03-21","2026-03-22","2026-03-23","2026-03-24","2026-03-25","2026-03-26","2026-03-27","2026-03-28","2026-03-29","2026-03-30","2026-03-31","2026-04-01","2026-04-02","2026-04-03","2026-04-04","2026-04-05","2026-04-06","2026-04-07","2026-04-08","2026-04-09","2026-04-10","2026-04-11","2026-04-12","2026-04-13","2026-04-14","2026-04-15","2026-04-16"]</t>
  </si>
  <si>
    <t>工作开始日期</t>
  </si>
  <si>
    <t>2026-02-12</t>
  </si>
  <si>
    <t>工作结束日期</t>
  </si>
  <si>
    <t>2026-02-28</t>
  </si>
  <si>
    <t>09:00</t>
  </si>
  <si>
    <t>工作配置</t>
  </si>
  <si>
    <t>▌  文件详情</t>
  </si>
  <si>
    <t>链接</t>
  </si>
  <si>
    <t>操作</t>
  </si>
  <si>
    <t>http://yhocn.cn:9088/人事系统/简历文件/简历_管理员.jpg</t>
  </si>
  <si>
    <t>双击删除</t>
  </si>
</sst>
</file>

<file path=xl/styles.xml><?xml version="1.0" encoding="utf-8"?>
<styleSheet xmlns="http://schemas.openxmlformats.org/spreadsheetml/2006/main" xmlns:mc="http://schemas.openxmlformats.org/markup-compatibility/2006" xmlns:xr9="http://schemas.microsoft.com/office/spreadsheetml/2016/revision9" mc:Ignorable="xr9">
  <numFmts count="11">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h:mm:ss;@"/>
    <numFmt numFmtId="178" formatCode="0.00_);[Red]\(0.00\)"/>
    <numFmt numFmtId="179" formatCode="yyyy/m/d;@"/>
    <numFmt numFmtId="180" formatCode="yyyy&quot;年&quot;m&quot;月&quot;d&quot;日&quot;;@"/>
    <numFmt numFmtId="181" formatCode="yyyy\-mm\-dd"/>
    <numFmt numFmtId="182" formatCode="yyyy/mm/dd"/>
  </numFmts>
  <fonts count="43">
    <font>
      <sz val="12"/>
      <name val="宋体"/>
      <charset val="134"/>
    </font>
    <font>
      <sz val="18"/>
      <name val="宋体"/>
      <charset val="134"/>
    </font>
    <font>
      <sz val="12"/>
      <color theme="0"/>
      <name val="宋体"/>
      <charset val="134"/>
    </font>
    <font>
      <b/>
      <sz val="11"/>
      <color theme="0"/>
      <name val="等线"/>
      <charset val="134"/>
    </font>
    <font>
      <u/>
      <sz val="11"/>
      <color rgb="FF0000FF"/>
      <name val="宋体"/>
      <charset val="0"/>
      <scheme val="minor"/>
    </font>
    <font>
      <u/>
      <sz val="11"/>
      <color rgb="FF800080"/>
      <name val="宋体"/>
      <charset val="0"/>
      <scheme val="minor"/>
    </font>
    <font>
      <b/>
      <sz val="12"/>
      <color theme="0"/>
      <name val="宋体"/>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4"/>
      <name val="微软雅黑"/>
      <charset val="134"/>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5">
    <fill>
      <patternFill patternType="none"/>
    </fill>
    <fill>
      <patternFill patternType="gray125"/>
    </fill>
    <fill>
      <patternFill patternType="solid">
        <fgColor theme="0" tint="-0.05"/>
        <bgColor indexed="64"/>
      </patternFill>
    </fill>
    <fill>
      <patternFill patternType="solid">
        <fgColor rgb="FF002060"/>
        <bgColor indexed="64"/>
      </patternFill>
    </fill>
    <fill>
      <patternFill patternType="solid">
        <fgColor theme="0"/>
        <bgColor indexed="64"/>
      </patternFill>
    </fill>
    <fill>
      <patternFill patternType="solid">
        <fgColor theme="4" tint="-0.25"/>
        <bgColor indexed="64"/>
      </patternFill>
    </fill>
    <fill>
      <patternFill patternType="solid">
        <fgColor theme="9" tint="0.4"/>
        <bgColor indexed="64"/>
      </patternFill>
    </fill>
    <fill>
      <patternFill patternType="solid">
        <fgColor theme="4" tint="0.4"/>
        <bgColor indexed="64"/>
      </patternFill>
    </fill>
    <fill>
      <patternFill patternType="solid">
        <fgColor theme="5" tint="0.4"/>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medium">
        <color theme="0"/>
      </left>
      <right style="medium">
        <color theme="0"/>
      </right>
      <top style="medium">
        <color theme="0"/>
      </top>
      <bottom style="medium">
        <color theme="0"/>
      </bottom>
      <diagonal/>
    </border>
    <border>
      <left style="thin">
        <color theme="2" tint="-0.25"/>
      </left>
      <right style="thin">
        <color theme="2" tint="-0.25"/>
      </right>
      <top style="thin">
        <color theme="2" tint="-0.25"/>
      </top>
      <bottom style="thin">
        <color theme="2" tint="-0.25"/>
      </bottom>
      <diagonal/>
    </border>
    <border>
      <left style="thin">
        <color theme="2" tint="-0.5"/>
      </left>
      <right/>
      <top style="thin">
        <color theme="2" tint="-0.5"/>
      </top>
      <bottom style="thin">
        <color theme="2" tint="-0.5"/>
      </bottom>
      <diagonal/>
    </border>
    <border>
      <left/>
      <right/>
      <top style="thin">
        <color theme="2" tint="-0.5"/>
      </top>
      <bottom style="thin">
        <color theme="2" tint="-0.5"/>
      </bottom>
      <diagonal/>
    </border>
    <border>
      <left style="thin">
        <color theme="2" tint="-0.5"/>
      </left>
      <right style="thin">
        <color theme="2" tint="-0.5"/>
      </right>
      <top style="thin">
        <color theme="2" tint="-0.5"/>
      </top>
      <bottom/>
      <diagonal/>
    </border>
    <border>
      <left style="thin">
        <color theme="2" tint="-0.5"/>
      </left>
      <right/>
      <top style="thin">
        <color theme="2" tint="-0.5"/>
      </top>
      <bottom/>
      <diagonal/>
    </border>
    <border>
      <left/>
      <right style="thin">
        <color theme="2" tint="-0.5"/>
      </right>
      <top style="thin">
        <color theme="2" tint="-0.5"/>
      </top>
      <bottom/>
      <diagonal/>
    </border>
    <border>
      <left style="thin">
        <color theme="2" tint="-0.5"/>
      </left>
      <right style="thin">
        <color theme="2" tint="-0.5"/>
      </right>
      <top style="thin">
        <color theme="2" tint="-0.5"/>
      </top>
      <bottom style="thin">
        <color theme="2" tint="-0.5"/>
      </bottom>
      <diagonal/>
    </border>
    <border>
      <left style="medium">
        <color theme="0"/>
      </left>
      <right/>
      <top style="medium">
        <color theme="0"/>
      </top>
      <bottom/>
      <diagonal/>
    </border>
    <border>
      <left/>
      <right style="medium">
        <color theme="0"/>
      </right>
      <top style="medium">
        <color theme="0"/>
      </top>
      <bottom/>
      <diagonal/>
    </border>
    <border>
      <left style="thin">
        <color theme="2" tint="-0.5"/>
      </left>
      <right style="thin">
        <color theme="2" tint="-0.5"/>
      </right>
      <top/>
      <bottom style="thin">
        <color theme="2" tint="-0.5"/>
      </bottom>
      <diagonal/>
    </border>
    <border>
      <left/>
      <right style="thin">
        <color theme="2" tint="-0.5"/>
      </right>
      <top style="thin">
        <color theme="2" tint="-0.5"/>
      </top>
      <bottom style="thin">
        <color theme="2" tint="-0.5"/>
      </bottom>
      <diagonal/>
    </border>
    <border>
      <left style="thin">
        <color theme="2" tint="-0.25"/>
      </left>
      <right style="thin">
        <color theme="2" tint="-0.25"/>
      </right>
      <top style="thin">
        <color theme="2" tint="-0.25"/>
      </top>
      <bottom/>
      <diagonal/>
    </border>
    <border>
      <left style="thin">
        <color theme="2" tint="-0.25"/>
      </left>
      <right style="thin">
        <color theme="2" tint="-0.25"/>
      </right>
      <top/>
      <bottom style="thin">
        <color theme="2" tint="-0.25"/>
      </bottom>
      <diagonal/>
    </border>
    <border>
      <left style="medium">
        <color theme="0"/>
      </left>
      <right style="medium">
        <color theme="0"/>
      </right>
      <top style="medium">
        <color theme="0"/>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4" fillId="0" borderId="0" applyNumberFormat="0" applyFill="0" applyBorder="0" applyAlignment="0" applyProtection="0">
      <alignment vertical="center"/>
    </xf>
    <xf numFmtId="0" fontId="5" fillId="0" borderId="0" applyNumberFormat="0" applyFill="0" applyBorder="0" applyAlignment="0" applyProtection="0">
      <alignment vertical="center"/>
    </xf>
    <xf numFmtId="0" fontId="8" fillId="14" borderId="16"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17" applyNumberFormat="0" applyFill="0" applyAlignment="0" applyProtection="0">
      <alignment vertical="center"/>
    </xf>
    <xf numFmtId="0" fontId="28" fillId="0" borderId="17" applyNumberFormat="0" applyFill="0" applyAlignment="0" applyProtection="0">
      <alignment vertical="center"/>
    </xf>
    <xf numFmtId="0" fontId="29" fillId="0" borderId="18" applyNumberFormat="0" applyFill="0" applyAlignment="0" applyProtection="0">
      <alignment vertical="center"/>
    </xf>
    <xf numFmtId="0" fontId="29" fillId="0" borderId="0" applyNumberFormat="0" applyFill="0" applyBorder="0" applyAlignment="0" applyProtection="0">
      <alignment vertical="center"/>
    </xf>
    <xf numFmtId="0" fontId="30" fillId="15" borderId="19" applyNumberFormat="0" applyAlignment="0" applyProtection="0">
      <alignment vertical="center"/>
    </xf>
    <xf numFmtId="0" fontId="31" fillId="16" borderId="20" applyNumberFormat="0" applyAlignment="0" applyProtection="0">
      <alignment vertical="center"/>
    </xf>
    <xf numFmtId="0" fontId="32" fillId="16" borderId="19" applyNumberFormat="0" applyAlignment="0" applyProtection="0">
      <alignment vertical="center"/>
    </xf>
    <xf numFmtId="0" fontId="33" fillId="17" borderId="21" applyNumberFormat="0" applyAlignment="0" applyProtection="0">
      <alignment vertical="center"/>
    </xf>
    <xf numFmtId="0" fontId="34" fillId="0" borderId="22" applyNumberFormat="0" applyFill="0" applyAlignment="0" applyProtection="0">
      <alignment vertical="center"/>
    </xf>
    <xf numFmtId="0" fontId="35" fillId="0" borderId="23" applyNumberFormat="0" applyFill="0" applyAlignment="0" applyProtection="0">
      <alignment vertical="center"/>
    </xf>
    <xf numFmtId="0" fontId="36" fillId="18" borderId="0" applyNumberFormat="0" applyBorder="0" applyAlignment="0" applyProtection="0">
      <alignment vertical="center"/>
    </xf>
    <xf numFmtId="0" fontId="37" fillId="19" borderId="0" applyNumberFormat="0" applyBorder="0" applyAlignment="0" applyProtection="0">
      <alignment vertical="center"/>
    </xf>
    <xf numFmtId="0" fontId="38"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xf numFmtId="0" fontId="39" fillId="41" borderId="0" applyNumberFormat="0" applyBorder="0" applyAlignment="0" applyProtection="0">
      <alignment vertical="center"/>
    </xf>
    <xf numFmtId="0" fontId="40" fillId="42" borderId="0" applyNumberFormat="0" applyBorder="0" applyAlignment="0" applyProtection="0">
      <alignment vertical="center"/>
    </xf>
    <xf numFmtId="0" fontId="40" fillId="43" borderId="0" applyNumberFormat="0" applyBorder="0" applyAlignment="0" applyProtection="0">
      <alignment vertical="center"/>
    </xf>
    <xf numFmtId="0" fontId="39" fillId="44" borderId="0" applyNumberFormat="0" applyBorder="0" applyAlignment="0" applyProtection="0">
      <alignment vertical="center"/>
    </xf>
  </cellStyleXfs>
  <cellXfs count="109">
    <xf numFmtId="0" fontId="0" fillId="0" borderId="0" xfId="0">
      <alignment vertical="center"/>
    </xf>
    <xf numFmtId="0" fontId="0" fillId="2" borderId="1" xfId="0" applyNumberFormat="1" applyFill="1" applyBorder="1" applyAlignment="1">
      <alignment horizontal="center" vertical="center"/>
    </xf>
    <xf numFmtId="0" fontId="0" fillId="0" borderId="0" xfId="0" applyAlignment="1">
      <alignment horizontal="center" vertical="center"/>
    </xf>
    <xf numFmtId="0" fontId="0" fillId="0" borderId="0" xfId="0" applyNumberFormat="1" applyAlignment="1">
      <alignment horizontal="center" vertical="center"/>
    </xf>
    <xf numFmtId="0" fontId="1" fillId="0" borderId="0" xfId="0" applyFont="1" applyBorder="1" applyAlignment="1">
      <alignment horizontal="left" vertical="center"/>
    </xf>
    <xf numFmtId="0" fontId="2" fillId="0" borderId="0" xfId="0" applyFont="1" applyAlignment="1">
      <alignment horizontal="center" vertical="center"/>
    </xf>
    <xf numFmtId="0" fontId="2" fillId="0" borderId="0" xfId="0" applyFont="1">
      <alignment vertical="center"/>
    </xf>
    <xf numFmtId="0" fontId="3" fillId="3" borderId="1" xfId="0" applyNumberFormat="1" applyFont="1" applyFill="1" applyBorder="1" applyAlignment="1">
      <alignment horizontal="center" vertical="center" wrapText="1"/>
    </xf>
    <xf numFmtId="176" fontId="3" fillId="3" borderId="1" xfId="0" applyNumberFormat="1" applyFont="1" applyFill="1" applyBorder="1" applyAlignment="1">
      <alignment horizontal="center" vertical="center" wrapText="1"/>
    </xf>
    <xf numFmtId="0" fontId="4" fillId="2" borderId="1" xfId="6" applyNumberFormat="1" applyFill="1" applyBorder="1" applyAlignment="1">
      <alignment horizontal="center" vertical="center"/>
    </xf>
    <xf numFmtId="0" fontId="5" fillId="2" borderId="1" xfId="6" applyNumberFormat="1" applyFont="1" applyFill="1" applyBorder="1" applyAlignment="1">
      <alignment horizontal="center" vertical="center"/>
    </xf>
    <xf numFmtId="49" fontId="0" fillId="0" borderId="0" xfId="0" applyNumberFormat="1" applyAlignment="1">
      <alignment horizontal="center" vertical="center"/>
    </xf>
    <xf numFmtId="177" fontId="0" fillId="0" borderId="2" xfId="0" applyNumberFormat="1" applyBorder="1" applyAlignment="1">
      <alignment horizontal="center" vertical="center"/>
    </xf>
    <xf numFmtId="0" fontId="0" fillId="0" borderId="2" xfId="0" applyBorder="1" applyAlignment="1">
      <alignment horizontal="center" vertical="center"/>
    </xf>
    <xf numFmtId="0" fontId="3" fillId="4" borderId="0" xfId="0" applyNumberFormat="1" applyFont="1" applyFill="1" applyAlignment="1">
      <alignment horizontal="center" vertical="center" wrapText="1"/>
    </xf>
    <xf numFmtId="0" fontId="3" fillId="3" borderId="3" xfId="0" applyNumberFormat="1" applyFont="1" applyFill="1" applyBorder="1" applyAlignment="1">
      <alignment horizontal="center" vertical="center" wrapText="1"/>
    </xf>
    <xf numFmtId="0" fontId="3" fillId="3" borderId="4" xfId="0" applyNumberFormat="1" applyFont="1" applyFill="1" applyBorder="1" applyAlignment="1">
      <alignment horizontal="center" vertical="center" wrapText="1"/>
    </xf>
    <xf numFmtId="0" fontId="3" fillId="3" borderId="5" xfId="0" applyNumberFormat="1" applyFont="1" applyFill="1" applyBorder="1" applyAlignment="1">
      <alignment horizontal="center" vertical="center" wrapText="1"/>
    </xf>
    <xf numFmtId="0" fontId="3" fillId="3" borderId="6" xfId="0" applyNumberFormat="1" applyFont="1" applyFill="1" applyBorder="1" applyAlignment="1">
      <alignment horizontal="center" vertical="center" wrapText="1"/>
    </xf>
    <xf numFmtId="0" fontId="3" fillId="3" borderId="7" xfId="0" applyNumberFormat="1" applyFont="1" applyFill="1" applyBorder="1" applyAlignment="1">
      <alignment horizontal="center" vertical="center" wrapText="1"/>
    </xf>
    <xf numFmtId="49" fontId="0" fillId="4" borderId="0" xfId="0" applyNumberFormat="1" applyFill="1" applyAlignment="1">
      <alignment horizontal="center" vertical="center"/>
    </xf>
    <xf numFmtId="0" fontId="6" fillId="5" borderId="8" xfId="0" applyFont="1" applyFill="1" applyBorder="1" applyAlignment="1">
      <alignment horizontal="center" vertical="center"/>
    </xf>
    <xf numFmtId="0" fontId="0" fillId="0" borderId="8" xfId="0" applyFont="1" applyBorder="1" applyAlignment="1">
      <alignment horizontal="center" vertical="center"/>
    </xf>
    <xf numFmtId="14" fontId="0" fillId="0" borderId="2" xfId="0" applyNumberFormat="1" applyBorder="1" applyAlignment="1">
      <alignment horizontal="center" vertical="center"/>
    </xf>
    <xf numFmtId="49" fontId="0" fillId="0" borderId="8" xfId="0" applyNumberFormat="1" applyFont="1" applyBorder="1" applyAlignment="1">
      <alignment horizontal="center" vertical="center"/>
    </xf>
    <xf numFmtId="49" fontId="0" fillId="0" borderId="2" xfId="0" applyNumberFormat="1" applyBorder="1" applyAlignment="1">
      <alignment horizontal="center" vertical="center"/>
    </xf>
    <xf numFmtId="20" fontId="0" fillId="0" borderId="2" xfId="0" applyNumberFormat="1" applyBorder="1" applyAlignment="1">
      <alignment horizontal="center" vertical="center"/>
    </xf>
    <xf numFmtId="0" fontId="0" fillId="0" borderId="0" xfId="0" applyNumberFormat="1">
      <alignment vertical="center"/>
    </xf>
    <xf numFmtId="176" fontId="0" fillId="0" borderId="0" xfId="0" applyNumberFormat="1">
      <alignment vertical="center"/>
    </xf>
    <xf numFmtId="0" fontId="3" fillId="0" borderId="0" xfId="0" applyNumberFormat="1" applyFont="1" applyFill="1" applyAlignment="1">
      <alignment horizontal="center" vertical="center" wrapText="1"/>
    </xf>
    <xf numFmtId="0" fontId="3" fillId="3" borderId="9" xfId="0" applyNumberFormat="1" applyFont="1" applyFill="1" applyBorder="1" applyAlignment="1">
      <alignment horizontal="center" vertical="center" wrapText="1"/>
    </xf>
    <xf numFmtId="0" fontId="3" fillId="3" borderId="10" xfId="0" applyNumberFormat="1" applyFont="1" applyFill="1" applyBorder="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49" fontId="0" fillId="0" borderId="8" xfId="0" applyNumberFormat="1" applyBorder="1" applyAlignment="1">
      <alignment horizontal="center" vertical="center"/>
    </xf>
    <xf numFmtId="49" fontId="0" fillId="0" borderId="11" xfId="0" applyNumberFormat="1" applyBorder="1" applyAlignment="1">
      <alignment horizontal="center" vertical="center"/>
    </xf>
    <xf numFmtId="0" fontId="6" fillId="6" borderId="0" xfId="0" applyFont="1" applyFill="1" applyAlignment="1">
      <alignment horizontal="center" vertical="center"/>
    </xf>
    <xf numFmtId="0" fontId="6" fillId="5" borderId="12" xfId="0" applyFont="1" applyFill="1" applyBorder="1" applyAlignment="1">
      <alignment horizontal="center" vertical="center"/>
    </xf>
    <xf numFmtId="0" fontId="0" fillId="0" borderId="8" xfId="0" applyBorder="1" applyAlignment="1">
      <alignment horizontal="left" vertical="top"/>
    </xf>
    <xf numFmtId="0" fontId="6" fillId="7" borderId="13" xfId="0" applyFont="1" applyFill="1" applyBorder="1" applyAlignment="1">
      <alignment horizontal="center" vertical="center"/>
    </xf>
    <xf numFmtId="0" fontId="6" fillId="8" borderId="13" xfId="0" applyFont="1" applyFill="1" applyBorder="1" applyAlignment="1">
      <alignment horizontal="center" vertical="center"/>
    </xf>
    <xf numFmtId="0" fontId="6" fillId="7" borderId="14" xfId="0" applyFont="1" applyFill="1" applyBorder="1" applyAlignment="1">
      <alignment horizontal="center" vertical="center"/>
    </xf>
    <xf numFmtId="0" fontId="6" fillId="8" borderId="14" xfId="0" applyFont="1" applyFill="1" applyBorder="1" applyAlignment="1">
      <alignment horizontal="center" vertical="center"/>
    </xf>
    <xf numFmtId="0" fontId="6" fillId="6" borderId="0" xfId="0" applyFont="1" applyFill="1" applyAlignment="1" applyProtection="1">
      <alignment horizontal="center" vertical="center"/>
      <protection locked="0"/>
    </xf>
    <xf numFmtId="0" fontId="0" fillId="6" borderId="0" xfId="0" applyFill="1" applyAlignment="1" applyProtection="1">
      <alignment horizontal="center" vertical="center"/>
      <protection locked="0"/>
    </xf>
    <xf numFmtId="20" fontId="2" fillId="0" borderId="0" xfId="0" applyNumberFormat="1" applyFont="1">
      <alignment vertical="center"/>
    </xf>
    <xf numFmtId="0" fontId="0" fillId="0" borderId="0" xfId="0" applyBorder="1">
      <alignment vertical="center"/>
    </xf>
    <xf numFmtId="0" fontId="0" fillId="2" borderId="8" xfId="0" applyNumberFormat="1" applyFill="1" applyBorder="1" applyAlignment="1">
      <alignment horizontal="center" vertical="center"/>
    </xf>
    <xf numFmtId="49" fontId="0" fillId="0" borderId="0" xfId="0" applyNumberFormat="1">
      <alignment vertical="center"/>
    </xf>
    <xf numFmtId="0" fontId="3" fillId="3" borderId="15" xfId="0" applyNumberFormat="1" applyFont="1" applyFill="1" applyBorder="1" applyAlignment="1">
      <alignment horizontal="center" vertical="center" wrapText="1"/>
    </xf>
    <xf numFmtId="0" fontId="0" fillId="0" borderId="0" xfId="0" applyNumberFormat="1" applyBorder="1">
      <alignment vertical="center"/>
    </xf>
    <xf numFmtId="58" fontId="0" fillId="2" borderId="8" xfId="0" applyNumberFormat="1" applyFill="1" applyBorder="1" applyAlignment="1">
      <alignment horizontal="center" vertical="center"/>
    </xf>
    <xf numFmtId="0" fontId="3" fillId="3" borderId="8" xfId="0" applyNumberFormat="1" applyFont="1" applyFill="1" applyBorder="1" applyAlignment="1">
      <alignment horizontal="center" vertical="center" wrapText="1"/>
    </xf>
    <xf numFmtId="0" fontId="0" fillId="0" borderId="8" xfId="0" applyBorder="1" applyAlignment="1">
      <alignment horizontal="center" vertical="center"/>
    </xf>
    <xf numFmtId="0" fontId="0" fillId="0" borderId="12" xfId="0" applyBorder="1">
      <alignment vertical="center"/>
    </xf>
    <xf numFmtId="176" fontId="0" fillId="2" borderId="8" xfId="0" applyNumberFormat="1" applyFill="1" applyBorder="1" applyAlignment="1">
      <alignment horizontal="center" vertical="center"/>
    </xf>
    <xf numFmtId="49" fontId="0" fillId="2" borderId="8" xfId="0" applyNumberFormat="1" applyFill="1" applyBorder="1" applyAlignment="1">
      <alignment horizontal="center" vertical="center"/>
    </xf>
    <xf numFmtId="0" fontId="0" fillId="0" borderId="8" xfId="0" applyBorder="1">
      <alignment vertical="center"/>
    </xf>
    <xf numFmtId="49" fontId="3" fillId="3" borderId="15" xfId="0" applyNumberFormat="1" applyFont="1" applyFill="1" applyBorder="1" applyAlignment="1">
      <alignment horizontal="center" vertical="center" wrapText="1"/>
    </xf>
    <xf numFmtId="176" fontId="3" fillId="3" borderId="15" xfId="0" applyNumberFormat="1" applyFont="1" applyFill="1" applyBorder="1" applyAlignment="1">
      <alignment horizontal="center" vertical="center" wrapText="1"/>
    </xf>
    <xf numFmtId="0" fontId="0" fillId="0" borderId="12" xfId="0" applyNumberFormat="1" applyBorder="1">
      <alignment vertical="center"/>
    </xf>
    <xf numFmtId="178" fontId="0" fillId="2" borderId="8" xfId="0" applyNumberFormat="1" applyFill="1" applyBorder="1" applyAlignment="1">
      <alignment horizontal="center" vertical="center"/>
    </xf>
    <xf numFmtId="0" fontId="0" fillId="0" borderId="8" xfId="0" applyNumberFormat="1" applyBorder="1" applyAlignment="1">
      <alignment horizontal="center" vertical="center"/>
    </xf>
    <xf numFmtId="176" fontId="0" fillId="2" borderId="1" xfId="0" applyNumberFormat="1" applyFill="1" applyBorder="1" applyAlignment="1">
      <alignment horizontal="center" vertical="center"/>
    </xf>
    <xf numFmtId="49" fontId="0" fillId="2" borderId="1" xfId="0" applyNumberFormat="1" applyFill="1" applyBorder="1" applyAlignment="1">
      <alignment horizontal="center" vertical="center"/>
    </xf>
    <xf numFmtId="49" fontId="3" fillId="3" borderId="1" xfId="0" applyNumberFormat="1" applyFont="1" applyFill="1" applyBorder="1" applyAlignment="1">
      <alignment horizontal="center" vertical="center" wrapText="1"/>
    </xf>
    <xf numFmtId="0" fontId="4" fillId="0" borderId="0" xfId="6">
      <alignment vertical="center"/>
    </xf>
    <xf numFmtId="0" fontId="5" fillId="0" borderId="0" xfId="6" applyFont="1">
      <alignment vertical="center"/>
    </xf>
    <xf numFmtId="14" fontId="0" fillId="2" borderId="1" xfId="0" applyNumberFormat="1" applyFill="1" applyBorder="1" applyAlignment="1">
      <alignment horizontal="center" vertical="center"/>
    </xf>
    <xf numFmtId="179" fontId="0" fillId="0" borderId="0" xfId="0" applyNumberFormat="1">
      <alignment vertical="center"/>
    </xf>
    <xf numFmtId="180" fontId="0" fillId="0" borderId="0" xfId="0" applyNumberFormat="1">
      <alignment vertical="center"/>
    </xf>
    <xf numFmtId="181" fontId="3" fillId="3" borderId="15" xfId="0" applyNumberFormat="1" applyFont="1" applyFill="1" applyBorder="1" applyAlignment="1">
      <alignment horizontal="center" vertical="center" wrapText="1"/>
    </xf>
    <xf numFmtId="14" fontId="0" fillId="0" borderId="0" xfId="0" applyNumberFormat="1">
      <alignment vertical="center"/>
    </xf>
    <xf numFmtId="0" fontId="0" fillId="0" borderId="1" xfId="0" applyNumberFormat="1" applyBorder="1">
      <alignment vertical="center"/>
    </xf>
    <xf numFmtId="181" fontId="0" fillId="2" borderId="1" xfId="0" applyNumberFormat="1" applyFill="1" applyBorder="1" applyAlignment="1">
      <alignment horizontal="center" vertical="center"/>
    </xf>
    <xf numFmtId="181" fontId="0" fillId="0" borderId="0" xfId="0" applyNumberFormat="1">
      <alignment vertical="center"/>
    </xf>
    <xf numFmtId="181" fontId="3" fillId="3" borderId="1" xfId="0" applyNumberFormat="1" applyFont="1" applyFill="1" applyBorder="1" applyAlignment="1">
      <alignment horizontal="center" vertical="center" wrapText="1"/>
    </xf>
    <xf numFmtId="11" fontId="0" fillId="2" borderId="1" xfId="0" applyNumberFormat="1" applyFill="1" applyBorder="1" applyAlignment="1">
      <alignment horizontal="center" vertical="center"/>
    </xf>
    <xf numFmtId="0" fontId="0" fillId="2" borderId="1" xfId="0" applyFill="1" applyBorder="1" applyAlignment="1">
      <alignment horizontal="center" vertical="center"/>
    </xf>
    <xf numFmtId="0" fontId="3" fillId="3" borderId="1" xfId="0" applyFont="1" applyFill="1" applyBorder="1" applyAlignment="1">
      <alignment horizontal="center" vertical="center" wrapText="1"/>
    </xf>
    <xf numFmtId="14" fontId="3" fillId="3" borderId="1" xfId="0" applyNumberFormat="1" applyFont="1" applyFill="1" applyBorder="1" applyAlignment="1">
      <alignment horizontal="center" vertical="center" wrapText="1"/>
    </xf>
    <xf numFmtId="182" fontId="0" fillId="0" borderId="0" xfId="0" applyNumberFormat="1">
      <alignment vertical="center"/>
    </xf>
    <xf numFmtId="0" fontId="7" fillId="9" borderId="0" xfId="0" applyFont="1" applyFill="1" applyAlignment="1" applyProtection="1">
      <alignment horizontal="left" vertical="center"/>
    </xf>
    <xf numFmtId="0" fontId="8" fillId="10" borderId="0" xfId="0" applyFont="1" applyFill="1" applyAlignment="1" applyProtection="1">
      <alignment vertical="center"/>
    </xf>
    <xf numFmtId="0" fontId="9" fillId="10" borderId="0" xfId="0" applyFont="1" applyFill="1" applyAlignment="1" applyProtection="1">
      <alignment horizontal="left" vertical="center"/>
    </xf>
    <xf numFmtId="0" fontId="9" fillId="4" borderId="0" xfId="0" applyFont="1" applyFill="1" applyAlignment="1" applyProtection="1">
      <alignment horizontal="left" vertical="center"/>
    </xf>
    <xf numFmtId="49" fontId="10" fillId="4" borderId="0" xfId="0" applyNumberFormat="1" applyFont="1" applyFill="1" applyAlignment="1" applyProtection="1">
      <alignment horizontal="right" vertical="center"/>
    </xf>
    <xf numFmtId="0" fontId="11" fillId="4" borderId="0" xfId="0" applyFont="1" applyFill="1" applyAlignment="1" applyProtection="1">
      <alignment horizontal="left" vertical="center"/>
    </xf>
    <xf numFmtId="0" fontId="12" fillId="9" borderId="0" xfId="0" applyFont="1" applyFill="1" applyAlignment="1" applyProtection="1">
      <alignment horizontal="center" vertical="center"/>
    </xf>
    <xf numFmtId="49" fontId="13" fillId="9" borderId="0" xfId="0" applyNumberFormat="1" applyFont="1" applyFill="1" applyAlignment="1" applyProtection="1">
      <alignment horizontal="left" vertical="center"/>
    </xf>
    <xf numFmtId="49" fontId="7" fillId="9" borderId="0" xfId="0" applyNumberFormat="1" applyFont="1" applyFill="1" applyAlignment="1" applyProtection="1">
      <alignment horizontal="left" vertical="center"/>
    </xf>
    <xf numFmtId="49" fontId="14" fillId="10" borderId="0" xfId="0" applyNumberFormat="1" applyFont="1" applyFill="1" applyAlignment="1" applyProtection="1">
      <alignment horizontal="right" vertical="center"/>
    </xf>
    <xf numFmtId="49" fontId="14" fillId="4" borderId="0" xfId="0" applyNumberFormat="1" applyFont="1" applyFill="1" applyAlignment="1" applyProtection="1">
      <alignment horizontal="center" vertical="center"/>
    </xf>
    <xf numFmtId="49" fontId="15" fillId="11" borderId="0" xfId="0" applyNumberFormat="1" applyFont="1" applyFill="1" applyAlignment="1" applyProtection="1">
      <alignment horizontal="center" vertical="center" wrapText="1"/>
    </xf>
    <xf numFmtId="0" fontId="16" fillId="11" borderId="0" xfId="0" applyFont="1" applyFill="1" applyAlignment="1" applyProtection="1">
      <alignment horizontal="center" vertical="center" wrapText="1"/>
    </xf>
    <xf numFmtId="176" fontId="17" fillId="11" borderId="0" xfId="0" applyNumberFormat="1" applyFont="1" applyFill="1" applyAlignment="1" applyProtection="1">
      <alignment horizontal="right" vertical="center" indent="1"/>
    </xf>
    <xf numFmtId="0" fontId="18" fillId="11" borderId="0" xfId="0" applyFont="1" applyFill="1" applyAlignment="1" applyProtection="1">
      <alignment horizontal="center" vertical="center" wrapText="1"/>
    </xf>
    <xf numFmtId="49" fontId="16" fillId="11" borderId="0" xfId="0" applyNumberFormat="1" applyFont="1" applyFill="1" applyAlignment="1" applyProtection="1">
      <alignment horizontal="center" vertical="center" wrapText="1"/>
    </xf>
    <xf numFmtId="0" fontId="18" fillId="11" borderId="0" xfId="0" applyFont="1" applyFill="1" applyAlignment="1" applyProtection="1">
      <alignment vertical="center" wrapText="1"/>
    </xf>
    <xf numFmtId="49" fontId="10" fillId="12" borderId="0" xfId="0" applyNumberFormat="1" applyFont="1" applyFill="1" applyAlignment="1" applyProtection="1">
      <alignment horizontal="center" vertical="center" wrapText="1"/>
    </xf>
    <xf numFmtId="0" fontId="19" fillId="12" borderId="0" xfId="0" applyFont="1" applyFill="1" applyAlignment="1" applyProtection="1">
      <alignment horizontal="center" vertical="center" wrapText="1"/>
    </xf>
    <xf numFmtId="0" fontId="11" fillId="12" borderId="0" xfId="0" applyFont="1" applyFill="1" applyAlignment="1" applyProtection="1">
      <alignment horizontal="left" vertical="center"/>
    </xf>
    <xf numFmtId="0" fontId="20" fillId="13" borderId="0" xfId="0" applyFont="1" applyFill="1" applyAlignment="1">
      <alignment vertical="center"/>
    </xf>
    <xf numFmtId="0" fontId="21" fillId="13" borderId="0" xfId="0" applyFont="1" applyFill="1" applyAlignment="1">
      <alignment vertical="center"/>
    </xf>
    <xf numFmtId="0" fontId="22" fillId="13" borderId="0" xfId="0" applyFont="1" applyFill="1" applyAlignment="1">
      <alignment vertical="center"/>
    </xf>
    <xf numFmtId="0" fontId="22" fillId="13" borderId="0" xfId="0" applyFont="1" applyFill="1" applyBorder="1" applyAlignment="1">
      <alignment vertical="center"/>
    </xf>
    <xf numFmtId="0" fontId="23" fillId="13" borderId="0" xfId="0" applyFont="1" applyFill="1" applyAlignment="1">
      <alignment vertical="center"/>
    </xf>
    <xf numFmtId="0" fontId="23" fillId="13" borderId="0" xfId="0" applyFont="1" applyFill="1" applyBorder="1" applyAlignment="1">
      <alignment vertical="center"/>
    </xf>
    <xf numFmtId="0" fontId="20" fillId="1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5" Type="http://schemas.openxmlformats.org/officeDocument/2006/relationships/styles" Target="styles.xml"/><Relationship Id="rId34" Type="http://schemas.microsoft.com/office/2006/relationships/vbaProject" Target="vbaProject.bin"/><Relationship Id="rId33" Type="http://schemas.openxmlformats.org/officeDocument/2006/relationships/sharedStrings" Target="sharedStrings.xml"/><Relationship Id="rId32" Type="http://schemas.openxmlformats.org/officeDocument/2006/relationships/theme" Target="theme/theme1.xml"/><Relationship Id="rId31" Type="http://schemas.openxmlformats.org/officeDocument/2006/relationships/customXml" Target="../customXml/item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"系列 1"</c:f>
              <c:strCache>
                <c:ptCount val="1"/>
                <c:pt idx="0">
                  <c:v>系列 1</c:v>
                </c:pt>
              </c:strCache>
            </c:strRef>
          </c:tx>
          <c:spPr>
            <a:solidFill>
              <a:schemeClr val="accent1"/>
            </a:solidFill>
            <a:ln>
              <a:noFill/>
            </a:ln>
            <a:effectLst/>
          </c:spPr>
          <c:invertIfNegative val="0"/>
          <c:dLbls>
            <c:delete val="1"/>
          </c:dLbls>
          <c:cat>
            <c:strRef>
              <c:f>统计图!$B$8:$B$21</c:f>
              <c:strCache>
                <c:ptCount val="14"/>
                <c:pt idx="0">
                  <c:v>刘改</c:v>
                </c:pt>
                <c:pt idx="1">
                  <c:v>秦海</c:v>
                </c:pt>
              </c:strCache>
            </c:strRef>
          </c:cat>
          <c:val>
            <c:numRef>
              <c:f>统计图!$C$8:$C$19</c:f>
              <c:numCache>
                <c:formatCode>General</c:formatCode>
                <c:ptCount val="12"/>
                <c:pt idx="0">
                  <c:v>1500</c:v>
                </c:pt>
                <c:pt idx="1">
                  <c:v>3700</c:v>
                </c:pt>
              </c:numCache>
            </c:numRef>
          </c:val>
        </c:ser>
        <c:dLbls>
          <c:showLegendKey val="0"/>
          <c:showVal val="0"/>
          <c:showCatName val="0"/>
          <c:showSerName val="0"/>
          <c:showPercent val="0"/>
          <c:showBubbleSize val="0"/>
        </c:dLbls>
        <c:gapWidth val="246"/>
        <c:overlap val="-28"/>
        <c:axId val="694478326"/>
        <c:axId val="516460637"/>
      </c:barChart>
      <c:catAx>
        <c:axId val="69447832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516460637"/>
        <c:crosses val="autoZero"/>
        <c:auto val="1"/>
        <c:lblAlgn val="ctr"/>
        <c:lblOffset val="100"/>
        <c:noMultiLvlLbl val="0"/>
      </c:catAx>
      <c:valAx>
        <c:axId val="516460637"/>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94478326"/>
        <c:crosses val="autoZero"/>
        <c:crossBetween val="between"/>
      </c:valAx>
      <c:spPr>
        <a:noFill/>
        <a:ln>
          <a:noFill/>
        </a:ln>
        <a:effectLst/>
      </c:spPr>
    </c:plotArea>
    <c:plotVisOnly val="1"/>
    <c:dispBlanksAs val="gap"/>
    <c:showDLblsOverMax val="0"/>
    <c:extLst>
      <c:ext uri="{0b15fc19-7d7d-44ad-8c2d-2c3a37ce22c3}">
        <chartProps xmlns="https://web.wps.cn/et/2018/main" chartId="{3f242355-04eb-49fb-abec-8d79ab2b181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"系列 1"</c:f>
              <c:strCache>
                <c:ptCount val="1"/>
                <c:pt idx="0">
                  <c:v>系列 1</c:v>
                </c:pt>
              </c:strCache>
            </c:strRef>
          </c:tx>
          <c:spPr>
            <a:ln w="28575" cap="rnd">
              <a:solidFill>
                <a:schemeClr val="accent1"/>
              </a:solidFill>
              <a:round/>
            </a:ln>
            <a:effectLst/>
          </c:spPr>
          <c:marker>
            <c:symbol val="none"/>
          </c:marker>
          <c:dLbls>
            <c:delete val="1"/>
          </c:dLbls>
          <c:cat>
            <c:strRef>
              <c:f>统计图!$B$8:$B$20</c:f>
              <c:strCache>
                <c:ptCount val="13"/>
                <c:pt idx="0">
                  <c:v>刘改</c:v>
                </c:pt>
                <c:pt idx="1">
                  <c:v>秦海</c:v>
                </c:pt>
              </c:strCache>
            </c:strRef>
          </c:cat>
          <c:val>
            <c:numRef>
              <c:f>统计图!$C$8:$C$20</c:f>
              <c:numCache>
                <c:formatCode>General</c:formatCode>
                <c:ptCount val="13"/>
                <c:pt idx="0">
                  <c:v>1500</c:v>
                </c:pt>
                <c:pt idx="1">
                  <c:v>3700</c:v>
                </c:pt>
              </c:numCache>
            </c:numRef>
          </c:val>
          <c:smooth val="0"/>
        </c:ser>
        <c:dLbls>
          <c:showLegendKey val="0"/>
          <c:showVal val="0"/>
          <c:showCatName val="0"/>
          <c:showSerName val="0"/>
          <c:showPercent val="0"/>
          <c:showBubbleSize val="0"/>
        </c:dLbls>
        <c:marker val="0"/>
        <c:smooth val="0"/>
        <c:axId val="202757288"/>
        <c:axId val="667831068"/>
      </c:lineChart>
      <c:catAx>
        <c:axId val="202757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667831068"/>
        <c:crosses val="autoZero"/>
        <c:auto val="1"/>
        <c:lblAlgn val="ctr"/>
        <c:lblOffset val="100"/>
        <c:noMultiLvlLbl val="0"/>
      </c:catAx>
      <c:valAx>
        <c:axId val="667831068"/>
        <c:scaling>
          <c:orientation val="minMax"/>
        </c:scaling>
        <c:delete val="0"/>
        <c:axPos val="l"/>
        <c:majorGridlines>
          <c:spPr>
            <a:ln w="9525" cap="flat" cmpd="sng" algn="ctr">
              <a:solidFill>
                <a:schemeClr val="lt1">
                  <a:lumMod val="902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tx1">
                    <a:lumMod val="65000"/>
                    <a:lumOff val="35000"/>
                  </a:schemeClr>
                </a:solidFill>
                <a:latin typeface="+mn-lt"/>
                <a:ea typeface="+mn-ea"/>
                <a:cs typeface="+mn-cs"/>
              </a:defRPr>
            </a:pPr>
          </a:p>
        </c:txPr>
        <c:crossAx val="202757288"/>
        <c:crosses val="autoZero"/>
        <c:crossBetween val="between"/>
      </c:valAx>
      <c:spPr>
        <a:noFill/>
        <a:ln>
          <a:noFill/>
        </a:ln>
        <a:effectLst/>
      </c:spPr>
    </c:plotArea>
    <c:plotVisOnly val="1"/>
    <c:dispBlanksAs val="gap"/>
    <c:showDLblsOverMax val="0"/>
    <c:extLst>
      <c:ext uri="{0b15fc19-7d7d-44ad-8c2d-2c3a37ce22c3}">
        <chartProps xmlns="https://web.wps.cn/et/2018/main" chartId="{2ad08cb5-445d-4719-b9f3-3a8b70a44dae}"/>
      </c:ext>
    </c:extLst>
  </c:chart>
  <c:spPr>
    <a:solidFill>
      <a:schemeClr val="bg1"/>
    </a:solidFill>
    <a:ln w="9525" cap="flat" cmpd="sng" algn="ctr">
      <a:solidFill>
        <a:schemeClr val="tx1">
          <a:lumMod val="15000"/>
          <a:lumOff val="85000"/>
        </a:schemeClr>
      </a:solidFill>
      <a:round/>
    </a:ln>
    <a:effectLst/>
  </c:spPr>
  <c:txPr>
    <a:bodyPr/>
    <a:lstStyle/>
    <a:p>
      <a:pPr>
        <a:defRPr lang="zh-CN"/>
      </a:pP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0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styleClr val="auto"/>
    </cs:lnRef>
    <cs:fillRef idx="1">
      <cs:styleClr val="auto"/>
    </cs:fillRef>
    <cs:effectRef idx="0"/>
    <cs:fontRef idx="minor">
      <a:schemeClr val="dk1"/>
    </cs:fontRef>
    <cs:spPr>
      <a:ln>
        <a:noFill/>
      </a:ln>
      <a:effectLst/>
    </cs:spPr>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10028">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10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10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0">
      <cs:styleClr val="auto"/>
    </cs:fillRef>
    <cs:effectRef idx="0"/>
    <cs:fontRef idx="minor">
      <a:schemeClr val="dk1"/>
    </cs:fontRef>
    <cs:spPr>
      <a:ln w="28575" cap="rnd">
        <a:solidFill>
          <a:schemeClr val="phClr"/>
        </a:solidFill>
        <a:round/>
      </a:ln>
      <a:effectLst/>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lt1">
            <a:lumMod val="902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75000"/>
        <a:lumOff val="25000"/>
      </a:schemeClr>
    </cs:fontRef>
    <cs:defRPr sz="1400" b="1" kern="120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29983;&#26085;&#25552;&#37266;!A1"/><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4.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8.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19.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0.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1.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2.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3.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4.xml.rels><?xml version="1.0" encoding="UTF-8" standalone="yes"?>
<Relationships xmlns="http://schemas.openxmlformats.org/package/2006/relationships"><Relationship Id="rId3" Type="http://schemas.openxmlformats.org/officeDocument/2006/relationships/hyperlink" Target="#&#29983;&#26085;&#25552;&#37266;!A1"/><Relationship Id="rId2" Type="http://schemas.openxmlformats.org/officeDocument/2006/relationships/chart" Target="../charts/chart2.xml"/><Relationship Id="rId1" Type="http://schemas.openxmlformats.org/officeDocument/2006/relationships/chart" Target="../charts/chart1.xml"/></Relationships>
</file>

<file path=xl/drawings/_rels/drawing25.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6.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7.xml.rels><?xml version="1.0" encoding="UTF-8" standalone="yes"?>
<Relationships xmlns="http://schemas.openxmlformats.org/package/2006/relationships"><Relationship Id="rId1" Type="http://schemas.openxmlformats.org/officeDocument/2006/relationships/hyperlink" Target="#&#29983;&#26085;&#25552;&#37266;!A1"/></Relationships>
</file>

<file path=xl/drawings/_rels/drawing28.xml.rels><?xml version="1.0" encoding="UTF-8" standalone="yes"?>
<Relationships xmlns="http://schemas.openxmlformats.org/package/2006/relationships"><Relationship Id="rId1" Type="http://schemas.openxmlformats.org/officeDocument/2006/relationships/hyperlink" Target="#&#29983;&#26085;&#25552;&#37266;!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95"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人事管理系统</a:t>
            </a:r>
            <a:endParaRPr lang="zh-CN" altLang="en-US" sz="50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1"/>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123190</xdr:colOff>
      <xdr:row>5</xdr:row>
      <xdr:rowOff>200025</xdr:rowOff>
    </xdr:from>
    <xdr:to>
      <xdr:col>16</xdr:col>
      <xdr:colOff>267335</xdr:colOff>
      <xdr:row>9</xdr:row>
      <xdr:rowOff>181610</xdr:rowOff>
    </xdr:to>
    <xdr:sp macro="[0]!goto_07">
      <xdr:nvSpPr>
        <xdr:cNvPr id="3" name="圆角矩形 3"/>
        <xdr:cNvSpPr/>
      </xdr:nvSpPr>
      <xdr:spPr>
        <a:xfrm>
          <a:off x="316166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5</xdr:row>
      <xdr:rowOff>200025</xdr:rowOff>
    </xdr:from>
    <xdr:to>
      <xdr:col>23</xdr:col>
      <xdr:colOff>24765</xdr:colOff>
      <xdr:row>9</xdr:row>
      <xdr:rowOff>181610</xdr:rowOff>
    </xdr:to>
    <xdr:sp macro="[0]!goto_04">
      <xdr:nvSpPr>
        <xdr:cNvPr id="5" name="圆角矩形 3"/>
        <xdr:cNvSpPr/>
      </xdr:nvSpPr>
      <xdr:spPr>
        <a:xfrm>
          <a:off x="485267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人员信息管理</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5</xdr:row>
      <xdr:rowOff>200025</xdr:rowOff>
    </xdr:from>
    <xdr:to>
      <xdr:col>29</xdr:col>
      <xdr:colOff>58420</xdr:colOff>
      <xdr:row>9</xdr:row>
      <xdr:rowOff>181610</xdr:rowOff>
    </xdr:to>
    <xdr:sp macro="[0]!goto_10">
      <xdr:nvSpPr>
        <xdr:cNvPr id="6" name="圆角矩形 3"/>
        <xdr:cNvSpPr/>
      </xdr:nvSpPr>
      <xdr:spPr>
        <a:xfrm>
          <a:off x="654367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工资明细</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5</xdr:row>
      <xdr:rowOff>200025</xdr:rowOff>
    </xdr:from>
    <xdr:to>
      <xdr:col>35</xdr:col>
      <xdr:colOff>92075</xdr:colOff>
      <xdr:row>9</xdr:row>
      <xdr:rowOff>181610</xdr:rowOff>
    </xdr:to>
    <xdr:sp macro="[0]!goto_08">
      <xdr:nvSpPr>
        <xdr:cNvPr id="7" name="圆角矩形 3"/>
        <xdr:cNvSpPr/>
      </xdr:nvSpPr>
      <xdr:spPr>
        <a:xfrm>
          <a:off x="8234680"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考勤记录</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5</xdr:row>
      <xdr:rowOff>200025</xdr:rowOff>
    </xdr:from>
    <xdr:to>
      <xdr:col>41</xdr:col>
      <xdr:colOff>125730</xdr:colOff>
      <xdr:row>9</xdr:row>
      <xdr:rowOff>181610</xdr:rowOff>
    </xdr:to>
    <xdr:sp macro="[0]!goto_07">
      <xdr:nvSpPr>
        <xdr:cNvPr id="8" name="圆角矩形 3"/>
        <xdr:cNvSpPr/>
      </xdr:nvSpPr>
      <xdr:spPr>
        <a:xfrm>
          <a:off x="9925685" y="128587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配置表</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10</xdr:row>
      <xdr:rowOff>214630</xdr:rowOff>
    </xdr:from>
    <xdr:to>
      <xdr:col>16</xdr:col>
      <xdr:colOff>267335</xdr:colOff>
      <xdr:row>14</xdr:row>
      <xdr:rowOff>196215</xdr:rowOff>
    </xdr:to>
    <xdr:sp macro="[0]!goto_11">
      <xdr:nvSpPr>
        <xdr:cNvPr id="10" name="圆角矩形 3"/>
        <xdr:cNvSpPr/>
      </xdr:nvSpPr>
      <xdr:spPr>
        <a:xfrm>
          <a:off x="316166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报盘</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156845</xdr:colOff>
      <xdr:row>10</xdr:row>
      <xdr:rowOff>214630</xdr:rowOff>
    </xdr:from>
    <xdr:to>
      <xdr:col>23</xdr:col>
      <xdr:colOff>24765</xdr:colOff>
      <xdr:row>14</xdr:row>
      <xdr:rowOff>196215</xdr:rowOff>
    </xdr:to>
    <xdr:sp macro="[0]!goto_12">
      <xdr:nvSpPr>
        <xdr:cNvPr id="11" name="圆角矩形 3"/>
        <xdr:cNvSpPr/>
      </xdr:nvSpPr>
      <xdr:spPr>
        <a:xfrm>
          <a:off x="485267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审批记录</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10</xdr:row>
      <xdr:rowOff>214630</xdr:rowOff>
    </xdr:from>
    <xdr:to>
      <xdr:col>29</xdr:col>
      <xdr:colOff>58420</xdr:colOff>
      <xdr:row>14</xdr:row>
      <xdr:rowOff>196215</xdr:rowOff>
    </xdr:to>
    <xdr:sp macro="[0]!goto_09">
      <xdr:nvSpPr>
        <xdr:cNvPr id="12" name="圆角矩形 3"/>
        <xdr:cNvSpPr/>
      </xdr:nvSpPr>
      <xdr:spPr>
        <a:xfrm>
          <a:off x="6543675"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报税</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224155</xdr:colOff>
      <xdr:row>10</xdr:row>
      <xdr:rowOff>214630</xdr:rowOff>
    </xdr:from>
    <xdr:to>
      <xdr:col>35</xdr:col>
      <xdr:colOff>92075</xdr:colOff>
      <xdr:row>14</xdr:row>
      <xdr:rowOff>196215</xdr:rowOff>
    </xdr:to>
    <xdr:sp macro="[0]!goto_13">
      <xdr:nvSpPr>
        <xdr:cNvPr id="13" name="圆角矩形 3"/>
        <xdr:cNvSpPr/>
      </xdr:nvSpPr>
      <xdr:spPr>
        <a:xfrm>
          <a:off x="8234680" y="2386330"/>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部门汇总</a:t>
          </a:r>
          <a:endParaRPr lang="zh-CN" altLang="en-US" sz="1600" b="1">
            <a:latin typeface="微软雅黑" panose="020B0503020204020204" charset="-122"/>
            <a:ea typeface="微软雅黑" panose="020B0503020204020204" charset="-122"/>
          </a:endParaRPr>
        </a:p>
      </xdr:txBody>
    </xdr:sp>
    <xdr:clientData/>
  </xdr:twoCellAnchor>
  <xdr:twoCellAnchor>
    <xdr:from>
      <xdr:col>35</xdr:col>
      <xdr:colOff>257810</xdr:colOff>
      <xdr:row>10</xdr:row>
      <xdr:rowOff>214630</xdr:rowOff>
    </xdr:from>
    <xdr:to>
      <xdr:col>41</xdr:col>
      <xdr:colOff>125730</xdr:colOff>
      <xdr:row>14</xdr:row>
      <xdr:rowOff>195580</xdr:rowOff>
    </xdr:to>
    <xdr:sp macro="[0]!goto_14">
      <xdr:nvSpPr>
        <xdr:cNvPr id="14" name="圆角矩形 3"/>
        <xdr:cNvSpPr/>
      </xdr:nvSpPr>
      <xdr:spPr>
        <a:xfrm>
          <a:off x="9925685" y="2386330"/>
          <a:ext cx="1525270" cy="8496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社保</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123190</xdr:colOff>
      <xdr:row>16</xdr:row>
      <xdr:rowOff>19685</xdr:rowOff>
    </xdr:from>
    <xdr:to>
      <xdr:col>16</xdr:col>
      <xdr:colOff>267335</xdr:colOff>
      <xdr:row>20</xdr:row>
      <xdr:rowOff>0</xdr:rowOff>
    </xdr:to>
    <xdr:sp macro="[0]!goto_15">
      <xdr:nvSpPr>
        <xdr:cNvPr id="15" name="圆角矩形 3"/>
        <xdr:cNvSpPr/>
      </xdr:nvSpPr>
      <xdr:spPr>
        <a:xfrm>
          <a:off x="3161665" y="3494405"/>
          <a:ext cx="1525270" cy="84899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员工档案</a:t>
          </a:r>
          <a:endParaRPr lang="zh-CN" altLang="en-US" sz="1600" b="1">
            <a:latin typeface="微软雅黑" panose="020B0503020204020204" charset="-122"/>
            <a:ea typeface="微软雅黑" panose="020B0503020204020204" charset="-122"/>
          </a:endParaRPr>
        </a:p>
      </xdr:txBody>
    </xdr:sp>
    <xdr:clientData/>
  </xdr:twoCellAnchor>
  <xdr:twoCellAnchor>
    <xdr:from>
      <xdr:col>17</xdr:col>
      <xdr:colOff>123825</xdr:colOff>
      <xdr:row>16</xdr:row>
      <xdr:rowOff>19685</xdr:rowOff>
    </xdr:from>
    <xdr:to>
      <xdr:col>22</xdr:col>
      <xdr:colOff>267970</xdr:colOff>
      <xdr:row>20</xdr:row>
      <xdr:rowOff>1270</xdr:rowOff>
    </xdr:to>
    <xdr:sp macro="[0]!goto_16">
      <xdr:nvSpPr>
        <xdr:cNvPr id="16" name="圆角矩形 3"/>
        <xdr:cNvSpPr/>
      </xdr:nvSpPr>
      <xdr:spPr>
        <a:xfrm>
          <a:off x="4819650"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个人所得税</a:t>
          </a:r>
          <a:endParaRPr lang="zh-CN" altLang="en-US" sz="1600" b="1">
            <a:latin typeface="微软雅黑" panose="020B0503020204020204" charset="-122"/>
            <a:ea typeface="微软雅黑" panose="020B0503020204020204" charset="-122"/>
          </a:endParaRPr>
        </a:p>
      </xdr:txBody>
    </xdr:sp>
    <xdr:clientData/>
  </xdr:twoCellAnchor>
  <xdr:twoCellAnchor>
    <xdr:from>
      <xdr:col>23</xdr:col>
      <xdr:colOff>190500</xdr:colOff>
      <xdr:row>16</xdr:row>
      <xdr:rowOff>19685</xdr:rowOff>
    </xdr:from>
    <xdr:to>
      <xdr:col>29</xdr:col>
      <xdr:colOff>58420</xdr:colOff>
      <xdr:row>20</xdr:row>
      <xdr:rowOff>1270</xdr:rowOff>
    </xdr:to>
    <xdr:sp macro="[0]!goto_17">
      <xdr:nvSpPr>
        <xdr:cNvPr id="17" name="圆角矩形 3"/>
        <xdr:cNvSpPr/>
      </xdr:nvSpPr>
      <xdr:spPr>
        <a:xfrm>
          <a:off x="65436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工资条</a:t>
          </a:r>
          <a:endParaRPr lang="zh-CN" altLang="en-US" sz="1600" b="1">
            <a:latin typeface="微软雅黑" panose="020B0503020204020204" charset="-122"/>
            <a:ea typeface="微软雅黑" panose="020B0503020204020204" charset="-122"/>
          </a:endParaRPr>
        </a:p>
      </xdr:txBody>
    </xdr:sp>
    <xdr:clientData/>
  </xdr:twoCellAnchor>
  <xdr:twoCellAnchor>
    <xdr:from>
      <xdr:col>29</xdr:col>
      <xdr:colOff>222250</xdr:colOff>
      <xdr:row>16</xdr:row>
      <xdr:rowOff>19685</xdr:rowOff>
    </xdr:from>
    <xdr:to>
      <xdr:col>35</xdr:col>
      <xdr:colOff>90170</xdr:colOff>
      <xdr:row>20</xdr:row>
      <xdr:rowOff>1270</xdr:rowOff>
    </xdr:to>
    <xdr:sp macro="[0]!goto_17">
      <xdr:nvSpPr>
        <xdr:cNvPr id="23" name="圆角矩形 3">
          <a:hlinkClick xmlns:r="http://schemas.openxmlformats.org/officeDocument/2006/relationships" r:id="rId2"/>
        </xdr:cNvPr>
        <xdr:cNvSpPr/>
      </xdr:nvSpPr>
      <xdr:spPr>
        <a:xfrm>
          <a:off x="8232775" y="3494405"/>
          <a:ext cx="1525270" cy="85026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生日提醒</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9</xdr:col>
      <xdr:colOff>191770</xdr:colOff>
      <xdr:row>0</xdr:row>
      <xdr:rowOff>167640</xdr:rowOff>
    </xdr:from>
    <xdr:to>
      <xdr:col>11</xdr:col>
      <xdr:colOff>627380</xdr:colOff>
      <xdr:row>0</xdr:row>
      <xdr:rowOff>574040</xdr:rowOff>
    </xdr:to>
    <xdr:sp macro="[0]!OpenWebPage">
      <xdr:nvSpPr>
        <xdr:cNvPr id="11" name="圆角矩形 13"/>
        <xdr:cNvSpPr/>
      </xdr:nvSpPr>
      <xdr:spPr>
        <a:xfrm>
          <a:off x="9764395" y="16764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获取使用视频</a:t>
          </a:r>
          <a:endParaRPr lang="zh-CN" altLang="en-US" sz="1200" b="1">
            <a:latin typeface="微软雅黑" panose="020B0503020204020204" charset="-122"/>
            <a:ea typeface="微软雅黑" panose="020B0503020204020204"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23</xdr:col>
      <xdr:colOff>405765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3" name="同侧圆角矩形 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4" name="文本框 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5" name="同侧圆角矩形 4"/>
        <xdr:cNvSpPr>
          <a:spLocks noChangeAspect="1"/>
        </xdr:cNvSpPr>
      </xdr:nvSpPr>
      <xdr:spPr>
        <a:xfrm>
          <a:off x="259969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考勤</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6" name="同侧圆角矩形 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xdr:col>
      <xdr:colOff>0</xdr:colOff>
      <xdr:row>2</xdr:row>
      <xdr:rowOff>0</xdr:rowOff>
    </xdr:from>
    <xdr:to>
      <xdr:col>2</xdr:col>
      <xdr:colOff>869315</xdr:colOff>
      <xdr:row>2</xdr:row>
      <xdr:rowOff>314325</xdr:rowOff>
    </xdr:to>
    <xdr:sp macro="[0]!select_07">
      <xdr:nvSpPr>
        <xdr:cNvPr id="17" name="剪去对角的矩形 16"/>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220345</xdr:colOff>
      <xdr:row>2</xdr:row>
      <xdr:rowOff>0</xdr:rowOff>
    </xdr:from>
    <xdr:to>
      <xdr:col>4</xdr:col>
      <xdr:colOff>127635</xdr:colOff>
      <xdr:row>2</xdr:row>
      <xdr:rowOff>314325</xdr:rowOff>
    </xdr:to>
    <xdr:sp macro="[0]!save_07">
      <xdr:nvSpPr>
        <xdr:cNvPr id="18" name="剪去对角的矩形 17"/>
        <xdr:cNvSpPr/>
      </xdr:nvSpPr>
      <xdr:spPr>
        <a:xfrm>
          <a:off x="153479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440690</xdr:colOff>
      <xdr:row>2</xdr:row>
      <xdr:rowOff>0</xdr:rowOff>
    </xdr:from>
    <xdr:to>
      <xdr:col>5</xdr:col>
      <xdr:colOff>347980</xdr:colOff>
      <xdr:row>2</xdr:row>
      <xdr:rowOff>314325</xdr:rowOff>
    </xdr:to>
    <xdr:sp macro="[0]!delete_07">
      <xdr:nvSpPr>
        <xdr:cNvPr id="19" name="剪去对角的矩形 18"/>
        <xdr:cNvSpPr/>
      </xdr:nvSpPr>
      <xdr:spPr>
        <a:xfrm>
          <a:off x="271716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661035</xdr:colOff>
      <xdr:row>2</xdr:row>
      <xdr:rowOff>0</xdr:rowOff>
    </xdr:from>
    <xdr:to>
      <xdr:col>6</xdr:col>
      <xdr:colOff>568325</xdr:colOff>
      <xdr:row>2</xdr:row>
      <xdr:rowOff>314325</xdr:rowOff>
    </xdr:to>
    <xdr:sp macro="[0]!tiaojian_select_07">
      <xdr:nvSpPr>
        <xdr:cNvPr id="20" name="剪去对角的矩形 19"/>
        <xdr:cNvSpPr/>
      </xdr:nvSpPr>
      <xdr:spPr>
        <a:xfrm>
          <a:off x="389953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22" name="同侧圆角矩形 21"/>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881380</xdr:colOff>
      <xdr:row>2</xdr:row>
      <xdr:rowOff>0</xdr:rowOff>
    </xdr:from>
    <xdr:to>
      <xdr:col>7</xdr:col>
      <xdr:colOff>788670</xdr:colOff>
      <xdr:row>2</xdr:row>
      <xdr:rowOff>314325</xdr:rowOff>
    </xdr:to>
    <xdr:sp macro="[0]!daochu_jian">
      <xdr:nvSpPr>
        <xdr:cNvPr id="21" name="剪去对角的矩形 20"/>
        <xdr:cNvSpPr/>
      </xdr:nvSpPr>
      <xdr:spPr>
        <a:xfrm>
          <a:off x="508190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263525</xdr:rowOff>
    </xdr:from>
    <xdr:to>
      <xdr:col>17</xdr:col>
      <xdr:colOff>385445</xdr:colOff>
      <xdr:row>1</xdr:row>
      <xdr:rowOff>6350</xdr:rowOff>
    </xdr:to>
    <xdr:sp macro="[0]!goto_16">
      <xdr:nvSpPr>
        <xdr:cNvPr id="23" name="同侧圆角矩形 22">
          <a:hlinkClick xmlns:r="http://schemas.openxmlformats.org/officeDocument/2006/relationships" r:id="rId1"/>
        </xdr:cNvPr>
        <xdr:cNvSpPr>
          <a:spLocks noChangeAspect="1"/>
        </xdr:cNvSpPr>
      </xdr:nvSpPr>
      <xdr:spPr>
        <a:xfrm>
          <a:off x="148621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7</xdr:col>
      <xdr:colOff>1101725</xdr:colOff>
      <xdr:row>2</xdr:row>
      <xdr:rowOff>0</xdr:rowOff>
    </xdr:from>
    <xdr:to>
      <xdr:col>8</xdr:col>
      <xdr:colOff>513080</xdr:colOff>
      <xdr:row>2</xdr:row>
      <xdr:rowOff>314325</xdr:rowOff>
    </xdr:to>
    <xdr:sp macro="[0]!chushihua">
      <xdr:nvSpPr>
        <xdr:cNvPr id="24" name="剪去对角的矩形 23"/>
        <xdr:cNvSpPr/>
      </xdr:nvSpPr>
      <xdr:spPr>
        <a:xfrm>
          <a:off x="6264275" y="1203325"/>
          <a:ext cx="93535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当月初始化</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8</xdr:col>
      <xdr:colOff>826135</xdr:colOff>
      <xdr:row>2</xdr:row>
      <xdr:rowOff>0</xdr:rowOff>
    </xdr:from>
    <xdr:to>
      <xdr:col>9</xdr:col>
      <xdr:colOff>733425</xdr:colOff>
      <xdr:row>2</xdr:row>
      <xdr:rowOff>314325</xdr:rowOff>
    </xdr:to>
    <xdr:sp macro="[0]!xiujia">
      <xdr:nvSpPr>
        <xdr:cNvPr id="25" name="剪去对角的矩形 24"/>
        <xdr:cNvSpPr/>
      </xdr:nvSpPr>
      <xdr:spPr>
        <a:xfrm>
          <a:off x="751268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当月休假</a:t>
          </a:r>
          <a:endParaRPr lang="en-US" altLang="zh-CN" sz="1000" b="1">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339725</xdr:colOff>
      <xdr:row>2</xdr:row>
      <xdr:rowOff>0</xdr:rowOff>
    </xdr:from>
    <xdr:to>
      <xdr:col>4</xdr:col>
      <xdr:colOff>247015</xdr:colOff>
      <xdr:row>2</xdr:row>
      <xdr:rowOff>314325</xdr:rowOff>
    </xdr:to>
    <xdr:sp macro="[0]!save_04">
      <xdr:nvSpPr>
        <xdr:cNvPr id="3" name="剪去对角的矩形 2"/>
        <xdr:cNvSpPr/>
      </xdr:nvSpPr>
      <xdr:spPr>
        <a:xfrm>
          <a:off x="16541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4">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0</xdr:colOff>
      <xdr:row>2</xdr:row>
      <xdr:rowOff>0</xdr:rowOff>
    </xdr:from>
    <xdr:to>
      <xdr:col>6</xdr:col>
      <xdr:colOff>869315</xdr:colOff>
      <xdr:row>2</xdr:row>
      <xdr:rowOff>314325</xdr:rowOff>
    </xdr:to>
    <xdr:sp macro="[0]!tiaojian_select_04">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人员信息</a:t>
          </a:r>
          <a:endParaRPr lang="zh-CN" altLang="en-US" sz="1050" b="1">
            <a:solidFill>
              <a:schemeClr val="accent1">
                <a:lumMod val="75000"/>
              </a:schemeClr>
            </a:solidFill>
            <a:latin typeface="+mn-ea"/>
            <a:ea typeface="+mn-ea"/>
            <a:cs typeface="+mn-cs"/>
          </a:endParaRPr>
        </a:p>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管理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263525</xdr:rowOff>
    </xdr:from>
    <xdr:to>
      <xdr:col>17</xdr:col>
      <xdr:colOff>360045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67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insert_1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新增</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1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962025</xdr:colOff>
      <xdr:row>2</xdr:row>
      <xdr:rowOff>0</xdr:rowOff>
    </xdr:from>
    <xdr:to>
      <xdr:col>6</xdr:col>
      <xdr:colOff>173990</xdr:colOff>
      <xdr:row>2</xdr:row>
      <xdr:rowOff>314325</xdr:rowOff>
    </xdr:to>
    <xdr:sp macro="[0]!tiaojian_select_1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67310</xdr:colOff>
      <xdr:row>0</xdr:row>
      <xdr:rowOff>635</xdr:rowOff>
    </xdr:from>
    <xdr:to>
      <xdr:col>24</xdr:col>
      <xdr:colOff>148590</xdr:colOff>
      <xdr:row>0</xdr:row>
      <xdr:rowOff>690245</xdr:rowOff>
    </xdr:to>
    <xdr:sp>
      <xdr:nvSpPr>
        <xdr:cNvPr id="23" name="矩形 22"/>
        <xdr:cNvSpPr>
          <a:spLocks noChangeAspect="1"/>
        </xdr:cNvSpPr>
      </xdr:nvSpPr>
      <xdr:spPr>
        <a:xfrm>
          <a:off x="67310"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455295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b="1">
              <a:solidFill>
                <a:schemeClr val="accent1">
                  <a:lumMod val="75000"/>
                </a:schemeClr>
              </a:solidFill>
              <a:latin typeface="+mn-ea"/>
              <a:ea typeface="+mn-ea"/>
              <a:cs typeface="+mn-cs"/>
            </a:rPr>
            <a:t>工资明细</a:t>
          </a:r>
          <a:endParaRPr lang="zh-CN" altLang="en-US" sz="1050" b="1">
            <a:solidFill>
              <a:schemeClr val="accent1">
                <a:lumMod val="75000"/>
              </a:schemeClr>
            </a:solidFill>
            <a:latin typeface="+mn-ea"/>
            <a:ea typeface="+mn-ea"/>
            <a:cs typeface="+mn-cs"/>
          </a:endParaRPr>
        </a:p>
      </xdr:txBody>
    </xdr:sp>
    <xdr:clientData/>
  </xdr:twoCellAnchor>
  <xdr:twoCellAnchor editAs="absolute">
    <xdr:from>
      <xdr:col>6</xdr:col>
      <xdr:colOff>528955</xdr:colOff>
      <xdr:row>0</xdr:row>
      <xdr:rowOff>266700</xdr:rowOff>
    </xdr:from>
    <xdr:to>
      <xdr:col>7</xdr:col>
      <xdr:colOff>434975</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508635</xdr:colOff>
      <xdr:row>0</xdr:row>
      <xdr:rowOff>266700</xdr:rowOff>
    </xdr:from>
    <xdr:to>
      <xdr:col>8</xdr:col>
      <xdr:colOff>414655</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467995</xdr:colOff>
      <xdr:row>0</xdr:row>
      <xdr:rowOff>266700</xdr:rowOff>
    </xdr:from>
    <xdr:to>
      <xdr:col>10</xdr:col>
      <xdr:colOff>374015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488315</xdr:colOff>
      <xdr:row>0</xdr:row>
      <xdr:rowOff>266700</xdr:rowOff>
    </xdr:from>
    <xdr:to>
      <xdr:col>9</xdr:col>
      <xdr:colOff>394335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447675</xdr:colOff>
      <xdr:row>0</xdr:row>
      <xdr:rowOff>266700</xdr:rowOff>
    </xdr:from>
    <xdr:to>
      <xdr:col>11</xdr:col>
      <xdr:colOff>353695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427355</xdr:colOff>
      <xdr:row>0</xdr:row>
      <xdr:rowOff>266700</xdr:rowOff>
    </xdr:from>
    <xdr:to>
      <xdr:col>12</xdr:col>
      <xdr:colOff>333375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407035</xdr:colOff>
      <xdr:row>0</xdr:row>
      <xdr:rowOff>266700</xdr:rowOff>
    </xdr:from>
    <xdr:to>
      <xdr:col>13</xdr:col>
      <xdr:colOff>313055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366395</xdr:colOff>
      <xdr:row>0</xdr:row>
      <xdr:rowOff>266700</xdr:rowOff>
    </xdr:from>
    <xdr:to>
      <xdr:col>15</xdr:col>
      <xdr:colOff>272415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346075</xdr:colOff>
      <xdr:row>0</xdr:row>
      <xdr:rowOff>266700</xdr:rowOff>
    </xdr:from>
    <xdr:to>
      <xdr:col>16</xdr:col>
      <xdr:colOff>252095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386715</xdr:colOff>
      <xdr:row>0</xdr:row>
      <xdr:rowOff>266700</xdr:rowOff>
    </xdr:from>
    <xdr:to>
      <xdr:col>14</xdr:col>
      <xdr:colOff>292735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6</xdr:col>
      <xdr:colOff>581025</xdr:colOff>
      <xdr:row>2</xdr:row>
      <xdr:rowOff>0</xdr:rowOff>
    </xdr:from>
    <xdr:to>
      <xdr:col>7</xdr:col>
      <xdr:colOff>488315</xdr:colOff>
      <xdr:row>2</xdr:row>
      <xdr:rowOff>314325</xdr:rowOff>
    </xdr:to>
    <xdr:sp macro="[0]!daochu_jian">
      <xdr:nvSpPr>
        <xdr:cNvPr id="6" name="剪去对角的矩形 5"/>
        <xdr:cNvSpPr/>
      </xdr:nvSpPr>
      <xdr:spPr>
        <a:xfrm>
          <a:off x="54768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16</xdr:col>
      <xdr:colOff>327025</xdr:colOff>
      <xdr:row>0</xdr:row>
      <xdr:rowOff>263525</xdr:rowOff>
    </xdr:from>
    <xdr:to>
      <xdr:col>17</xdr:col>
      <xdr:colOff>233045</xdr:colOff>
      <xdr:row>1</xdr:row>
      <xdr:rowOff>6350</xdr:rowOff>
    </xdr:to>
    <xdr:sp macro="[0]!goto_16">
      <xdr:nvSpPr>
        <xdr:cNvPr id="7" name="同侧圆角矩形 6">
          <a:hlinkClick xmlns:r="http://schemas.openxmlformats.org/officeDocument/2006/relationships" r:id="rId1"/>
        </xdr:cNvPr>
        <xdr:cNvSpPr>
          <a:spLocks noChangeAspect="1"/>
        </xdr:cNvSpPr>
      </xdr:nvSpPr>
      <xdr:spPr>
        <a:xfrm>
          <a:off x="1484312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0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652780</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考勤记录</a:t>
          </a:r>
          <a:endParaRPr lang="zh-CN" altLang="en-US" sz="1050" b="1">
            <a:solidFill>
              <a:schemeClr val="accent1">
                <a:lumMod val="75000"/>
              </a:schemeClr>
            </a:solidFill>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12</xdr:col>
      <xdr:colOff>77470</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151130</xdr:colOff>
      <xdr:row>0</xdr:row>
      <xdr:rowOff>266700</xdr:rowOff>
    </xdr:from>
    <xdr:to>
      <xdr:col>13</xdr:col>
      <xdr:colOff>333375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407035</xdr:colOff>
      <xdr:row>0</xdr:row>
      <xdr:rowOff>266700</xdr:rowOff>
    </xdr:from>
    <xdr:to>
      <xdr:col>14</xdr:col>
      <xdr:colOff>589280</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233045</xdr:colOff>
      <xdr:row>0</xdr:row>
      <xdr:rowOff>266700</xdr:rowOff>
    </xdr:from>
    <xdr:to>
      <xdr:col>17</xdr:col>
      <xdr:colOff>415290</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488950</xdr:colOff>
      <xdr:row>0</xdr:row>
      <xdr:rowOff>266700</xdr:rowOff>
    </xdr:from>
    <xdr:to>
      <xdr:col>18</xdr:col>
      <xdr:colOff>671195</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662940</xdr:colOff>
      <xdr:row>0</xdr:row>
      <xdr:rowOff>266700</xdr:rowOff>
    </xdr:from>
    <xdr:to>
      <xdr:col>16</xdr:col>
      <xdr:colOff>159385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619125</xdr:colOff>
      <xdr:row>2</xdr:row>
      <xdr:rowOff>0</xdr:rowOff>
    </xdr:from>
    <xdr:to>
      <xdr:col>5</xdr:col>
      <xdr:colOff>526415</xdr:colOff>
      <xdr:row>2</xdr:row>
      <xdr:rowOff>314325</xdr:rowOff>
    </xdr:to>
    <xdr:sp macro="[0]!daochu_jian">
      <xdr:nvSpPr>
        <xdr:cNvPr id="4" name="剪去对角的矩形 3"/>
        <xdr:cNvSpPr/>
      </xdr:nvSpPr>
      <xdr:spPr>
        <a:xfrm>
          <a:off x="2895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50800</xdr:colOff>
      <xdr:row>0</xdr:row>
      <xdr:rowOff>263525</xdr:rowOff>
    </xdr:from>
    <xdr:to>
      <xdr:col>20</xdr:col>
      <xdr:colOff>233045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5</xdr:col>
      <xdr:colOff>548640</xdr:colOff>
      <xdr:row>2</xdr:row>
      <xdr:rowOff>314325</xdr:rowOff>
    </xdr:to>
    <xdr:sp macro="[0]!delete_06">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23</xdr:col>
      <xdr:colOff>405130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7</xdr:col>
      <xdr:colOff>1130300</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1203960</xdr:colOff>
      <xdr:row>0</xdr:row>
      <xdr:rowOff>266700</xdr:rowOff>
    </xdr:from>
    <xdr:to>
      <xdr:col>8</xdr:col>
      <xdr:colOff>548005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配置表</a:t>
          </a:r>
          <a:endParaRPr lang="zh-CN" altLang="en-US" sz="1050" b="1">
            <a:solidFill>
              <a:schemeClr val="accent1">
                <a:lumMod val="75000"/>
              </a:schemeClr>
            </a:solidFill>
            <a:latin typeface="+mn-ea"/>
          </a:endParaRPr>
        </a:p>
      </xdr:txBody>
    </xdr:sp>
    <xdr:clientData/>
  </xdr:twoCellAnchor>
  <xdr:twoCellAnchor editAs="absolute">
    <xdr:from>
      <xdr:col>9</xdr:col>
      <xdr:colOff>601345</xdr:colOff>
      <xdr:row>0</xdr:row>
      <xdr:rowOff>266700</xdr:rowOff>
    </xdr:from>
    <xdr:to>
      <xdr:col>10</xdr:col>
      <xdr:colOff>507365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621665</xdr:colOff>
      <xdr:row>0</xdr:row>
      <xdr:rowOff>266700</xdr:rowOff>
    </xdr:from>
    <xdr:to>
      <xdr:col>9</xdr:col>
      <xdr:colOff>527685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581025</xdr:colOff>
      <xdr:row>0</xdr:row>
      <xdr:rowOff>266700</xdr:rowOff>
    </xdr:from>
    <xdr:to>
      <xdr:col>11</xdr:col>
      <xdr:colOff>487045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11</xdr:col>
      <xdr:colOff>560705</xdr:colOff>
      <xdr:row>0</xdr:row>
      <xdr:rowOff>266700</xdr:rowOff>
    </xdr:from>
    <xdr:to>
      <xdr:col>12</xdr:col>
      <xdr:colOff>466725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540385</xdr:colOff>
      <xdr:row>0</xdr:row>
      <xdr:rowOff>266700</xdr:rowOff>
    </xdr:from>
    <xdr:to>
      <xdr:col>13</xdr:col>
      <xdr:colOff>446405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499745</xdr:colOff>
      <xdr:row>0</xdr:row>
      <xdr:rowOff>266700</xdr:rowOff>
    </xdr:from>
    <xdr:to>
      <xdr:col>15</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479425</xdr:colOff>
      <xdr:row>0</xdr:row>
      <xdr:rowOff>266700</xdr:rowOff>
    </xdr:from>
    <xdr:to>
      <xdr:col>16</xdr:col>
      <xdr:colOff>385445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520065</xdr:colOff>
      <xdr:row>0</xdr:row>
      <xdr:rowOff>266700</xdr:rowOff>
    </xdr:from>
    <xdr:to>
      <xdr:col>14</xdr:col>
      <xdr:colOff>426085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454025</xdr:colOff>
      <xdr:row>0</xdr:row>
      <xdr:rowOff>276225</xdr:rowOff>
    </xdr:from>
    <xdr:to>
      <xdr:col>17</xdr:col>
      <xdr:colOff>360045</xdr:colOff>
      <xdr:row>1</xdr:row>
      <xdr:rowOff>19050</xdr:rowOff>
    </xdr:to>
    <xdr:sp macro="[0]!goto_16">
      <xdr:nvSpPr>
        <xdr:cNvPr id="5" name="同侧圆角矩形 4">
          <a:hlinkClick xmlns:r="http://schemas.openxmlformats.org/officeDocument/2006/relationships" r:id="rId1"/>
        </xdr:cNvPr>
        <xdr:cNvSpPr>
          <a:spLocks noChangeAspect="1"/>
        </xdr:cNvSpPr>
      </xdr:nvSpPr>
      <xdr:spPr>
        <a:xfrm>
          <a:off x="14836775"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1">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henpi_11">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审批</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tiaojian_select_11">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643255</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589915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663575</xdr:colOff>
      <xdr:row>0</xdr:row>
      <xdr:rowOff>266700</xdr:rowOff>
    </xdr:from>
    <xdr:to>
      <xdr:col>6</xdr:col>
      <xdr:colOff>569595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643255</xdr:colOff>
      <xdr:row>0</xdr:row>
      <xdr:rowOff>266700</xdr:rowOff>
    </xdr:from>
    <xdr:to>
      <xdr:col>7</xdr:col>
      <xdr:colOff>549275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622935</xdr:colOff>
      <xdr:row>0</xdr:row>
      <xdr:rowOff>266700</xdr:rowOff>
    </xdr:from>
    <xdr:to>
      <xdr:col>7</xdr:col>
      <xdr:colOff>1490980</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315595</xdr:colOff>
      <xdr:row>0</xdr:row>
      <xdr:rowOff>266700</xdr:rowOff>
    </xdr:from>
    <xdr:to>
      <xdr:col>10</xdr:col>
      <xdr:colOff>497840</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59690</xdr:colOff>
      <xdr:row>0</xdr:row>
      <xdr:rowOff>266700</xdr:rowOff>
    </xdr:from>
    <xdr:to>
      <xdr:col>9</xdr:col>
      <xdr:colOff>241935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报盘</a:t>
          </a:r>
          <a:endParaRPr lang="zh-CN" altLang="en-US" sz="1050" b="1">
            <a:solidFill>
              <a:schemeClr val="accent1">
                <a:lumMod val="75000"/>
              </a:schemeClr>
            </a:solidFill>
            <a:latin typeface="+mn-ea"/>
          </a:endParaRPr>
        </a:p>
      </xdr:txBody>
    </xdr:sp>
    <xdr:clientData/>
  </xdr:twoCellAnchor>
  <xdr:twoCellAnchor editAs="absolute">
    <xdr:from>
      <xdr:col>10</xdr:col>
      <xdr:colOff>571500</xdr:colOff>
      <xdr:row>0</xdr:row>
      <xdr:rowOff>266700</xdr:rowOff>
    </xdr:from>
    <xdr:to>
      <xdr:col>12</xdr:col>
      <xdr:colOff>67945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141605</xdr:colOff>
      <xdr:row>0</xdr:row>
      <xdr:rowOff>266700</xdr:rowOff>
    </xdr:from>
    <xdr:to>
      <xdr:col>13</xdr:col>
      <xdr:colOff>323850</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397510</xdr:colOff>
      <xdr:row>0</xdr:row>
      <xdr:rowOff>266700</xdr:rowOff>
    </xdr:from>
    <xdr:to>
      <xdr:col>14</xdr:col>
      <xdr:colOff>579755</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16</xdr:col>
      <xdr:colOff>223520</xdr:colOff>
      <xdr:row>0</xdr:row>
      <xdr:rowOff>266700</xdr:rowOff>
    </xdr:from>
    <xdr:to>
      <xdr:col>17</xdr:col>
      <xdr:colOff>405765</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479425</xdr:colOff>
      <xdr:row>0</xdr:row>
      <xdr:rowOff>266700</xdr:rowOff>
    </xdr:from>
    <xdr:to>
      <xdr:col>18</xdr:col>
      <xdr:colOff>661670</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653415</xdr:colOff>
      <xdr:row>0</xdr:row>
      <xdr:rowOff>266700</xdr:rowOff>
    </xdr:from>
    <xdr:to>
      <xdr:col>16</xdr:col>
      <xdr:colOff>149860</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5</xdr:col>
      <xdr:colOff>390525</xdr:colOff>
      <xdr:row>2</xdr:row>
      <xdr:rowOff>12700</xdr:rowOff>
    </xdr:from>
    <xdr:to>
      <xdr:col>6</xdr:col>
      <xdr:colOff>297815</xdr:colOff>
      <xdr:row>2</xdr:row>
      <xdr:rowOff>327025</xdr:rowOff>
    </xdr:to>
    <xdr:sp macro="[0]!daochu_jian">
      <xdr:nvSpPr>
        <xdr:cNvPr id="5" name="剪去对角的矩形 4"/>
        <xdr:cNvSpPr/>
      </xdr:nvSpPr>
      <xdr:spPr>
        <a:xfrm>
          <a:off x="4210050"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19</xdr:col>
      <xdr:colOff>53975</xdr:colOff>
      <xdr:row>0</xdr:row>
      <xdr:rowOff>276225</xdr:rowOff>
    </xdr:from>
    <xdr:to>
      <xdr:col>20</xdr:col>
      <xdr:colOff>236220</xdr:colOff>
      <xdr:row>1</xdr:row>
      <xdr:rowOff>19050</xdr:rowOff>
    </xdr:to>
    <xdr:sp macro="[0]!goto_16">
      <xdr:nvSpPr>
        <xdr:cNvPr id="6" name="同侧圆角矩形 5">
          <a:hlinkClick xmlns:r="http://schemas.openxmlformats.org/officeDocument/2006/relationships" r:id="rId1"/>
        </xdr:cNvPr>
        <xdr:cNvSpPr>
          <a:spLocks noChangeAspect="1"/>
        </xdr:cNvSpPr>
      </xdr:nvSpPr>
      <xdr:spPr>
        <a:xfrm>
          <a:off x="1484630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9525</xdr:colOff>
      <xdr:row>2</xdr:row>
      <xdr:rowOff>0</xdr:rowOff>
    </xdr:from>
    <xdr:to>
      <xdr:col>2</xdr:col>
      <xdr:colOff>878840</xdr:colOff>
      <xdr:row>2</xdr:row>
      <xdr:rowOff>314325</xdr:rowOff>
    </xdr:to>
    <xdr:sp macro="[0]!select_1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330200</xdr:colOff>
      <xdr:row>2</xdr:row>
      <xdr:rowOff>0</xdr:rowOff>
    </xdr:from>
    <xdr:to>
      <xdr:col>4</xdr:col>
      <xdr:colOff>237490</xdr:colOff>
      <xdr:row>2</xdr:row>
      <xdr:rowOff>314325</xdr:rowOff>
    </xdr:to>
    <xdr:sp macro="[0]!save_1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650875</xdr:colOff>
      <xdr:row>2</xdr:row>
      <xdr:rowOff>0</xdr:rowOff>
    </xdr:from>
    <xdr:to>
      <xdr:col>5</xdr:col>
      <xdr:colOff>558165</xdr:colOff>
      <xdr:row>2</xdr:row>
      <xdr:rowOff>314325</xdr:rowOff>
    </xdr:to>
    <xdr:sp macro="[0]!delete_1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9525</xdr:colOff>
      <xdr:row>2</xdr:row>
      <xdr:rowOff>0</xdr:rowOff>
    </xdr:from>
    <xdr:to>
      <xdr:col>6</xdr:col>
      <xdr:colOff>878840</xdr:colOff>
      <xdr:row>2</xdr:row>
      <xdr:rowOff>314325</xdr:rowOff>
    </xdr:to>
    <xdr:sp macro="[0]!tiaojian_select_1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31</xdr:col>
      <xdr:colOff>128905</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353060</xdr:colOff>
      <xdr:row>0</xdr:row>
      <xdr:rowOff>266700</xdr:rowOff>
    </xdr:from>
    <xdr:to>
      <xdr:col>4</xdr:col>
      <xdr:colOff>259080</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351155</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332740</xdr:colOff>
      <xdr:row>0</xdr:row>
      <xdr:rowOff>266700</xdr:rowOff>
    </xdr:from>
    <xdr:to>
      <xdr:col>5</xdr:col>
      <xdr:colOff>238760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312420</xdr:colOff>
      <xdr:row>0</xdr:row>
      <xdr:rowOff>266700</xdr:rowOff>
    </xdr:from>
    <xdr:to>
      <xdr:col>6</xdr:col>
      <xdr:colOff>218440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292100</xdr:colOff>
      <xdr:row>0</xdr:row>
      <xdr:rowOff>266700</xdr:rowOff>
    </xdr:from>
    <xdr:to>
      <xdr:col>7</xdr:col>
      <xdr:colOff>198120</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271780</xdr:colOff>
      <xdr:row>0</xdr:row>
      <xdr:rowOff>266700</xdr:rowOff>
    </xdr:from>
    <xdr:to>
      <xdr:col>8</xdr:col>
      <xdr:colOff>177800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251460</xdr:colOff>
      <xdr:row>0</xdr:row>
      <xdr:rowOff>266700</xdr:rowOff>
    </xdr:from>
    <xdr:to>
      <xdr:col>9</xdr:col>
      <xdr:colOff>157480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487045</xdr:colOff>
      <xdr:row>0</xdr:row>
      <xdr:rowOff>266700</xdr:rowOff>
    </xdr:from>
    <xdr:to>
      <xdr:col>11</xdr:col>
      <xdr:colOff>669290</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审批记录</a:t>
          </a:r>
          <a:endParaRPr lang="zh-CN" altLang="en-US" sz="1050" b="1">
            <a:solidFill>
              <a:schemeClr val="accent1">
                <a:lumMod val="75000"/>
              </a:schemeClr>
            </a:solidFill>
            <a:latin typeface="+mn-ea"/>
          </a:endParaRPr>
        </a:p>
      </xdr:txBody>
    </xdr:sp>
    <xdr:clientData/>
  </xdr:twoCellAnchor>
  <xdr:twoCellAnchor editAs="absolute">
    <xdr:from>
      <xdr:col>9</xdr:col>
      <xdr:colOff>231140</xdr:colOff>
      <xdr:row>0</xdr:row>
      <xdr:rowOff>266700</xdr:rowOff>
    </xdr:from>
    <xdr:to>
      <xdr:col>10</xdr:col>
      <xdr:colOff>413385</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57150</xdr:colOff>
      <xdr:row>0</xdr:row>
      <xdr:rowOff>266700</xdr:rowOff>
    </xdr:from>
    <xdr:to>
      <xdr:col>13</xdr:col>
      <xdr:colOff>239395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13</xdr:col>
      <xdr:colOff>313055</xdr:colOff>
      <xdr:row>0</xdr:row>
      <xdr:rowOff>266700</xdr:rowOff>
    </xdr:from>
    <xdr:to>
      <xdr:col>14</xdr:col>
      <xdr:colOff>495300</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14</xdr:col>
      <xdr:colOff>568960</xdr:colOff>
      <xdr:row>0</xdr:row>
      <xdr:rowOff>266700</xdr:rowOff>
    </xdr:from>
    <xdr:to>
      <xdr:col>16</xdr:col>
      <xdr:colOff>65405</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17</xdr:col>
      <xdr:colOff>394970</xdr:colOff>
      <xdr:row>0</xdr:row>
      <xdr:rowOff>266700</xdr:rowOff>
    </xdr:from>
    <xdr:to>
      <xdr:col>18</xdr:col>
      <xdr:colOff>577215</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18</xdr:col>
      <xdr:colOff>650875</xdr:colOff>
      <xdr:row>0</xdr:row>
      <xdr:rowOff>266700</xdr:rowOff>
    </xdr:from>
    <xdr:to>
      <xdr:col>20</xdr:col>
      <xdr:colOff>147320</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16</xdr:col>
      <xdr:colOff>139065</xdr:colOff>
      <xdr:row>0</xdr:row>
      <xdr:rowOff>266700</xdr:rowOff>
    </xdr:from>
    <xdr:to>
      <xdr:col>17</xdr:col>
      <xdr:colOff>321310</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20</xdr:col>
      <xdr:colOff>238125</xdr:colOff>
      <xdr:row>0</xdr:row>
      <xdr:rowOff>263525</xdr:rowOff>
    </xdr:from>
    <xdr:to>
      <xdr:col>21</xdr:col>
      <xdr:colOff>420370</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590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0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0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0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tiaojian_select_0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27</xdr:col>
      <xdr:colOff>557530</xdr:colOff>
      <xdr:row>0</xdr:row>
      <xdr:rowOff>689610</xdr:rowOff>
    </xdr:to>
    <xdr:sp>
      <xdr:nvSpPr>
        <xdr:cNvPr id="23" name="矩形 22"/>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4" name="同侧圆角矩形 23"/>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5" name="文本框 24"/>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26" name="同侧圆角矩形 25"/>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27" name="同侧圆角矩形 26"/>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28" name="同侧圆角矩形 27"/>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33655</xdr:colOff>
      <xdr:row>0</xdr:row>
      <xdr:rowOff>266700</xdr:rowOff>
    </xdr:from>
    <xdr:to>
      <xdr:col>6</xdr:col>
      <xdr:colOff>901700</xdr:colOff>
      <xdr:row>1</xdr:row>
      <xdr:rowOff>9525</xdr:rowOff>
    </xdr:to>
    <xdr:sp macro="[0]!goto_08">
      <xdr:nvSpPr>
        <xdr:cNvPr id="29" name="同侧圆角矩形 28"/>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13335</xdr:colOff>
      <xdr:row>0</xdr:row>
      <xdr:rowOff>266700</xdr:rowOff>
    </xdr:from>
    <xdr:to>
      <xdr:col>7</xdr:col>
      <xdr:colOff>881380</xdr:colOff>
      <xdr:row>1</xdr:row>
      <xdr:rowOff>9525</xdr:rowOff>
    </xdr:to>
    <xdr:sp macro="[0]!goto_06">
      <xdr:nvSpPr>
        <xdr:cNvPr id="30" name="同侧圆角矩形 29"/>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934720</xdr:colOff>
      <xdr:row>0</xdr:row>
      <xdr:rowOff>266700</xdr:rowOff>
    </xdr:from>
    <xdr:to>
      <xdr:col>9</xdr:col>
      <xdr:colOff>278765</xdr:colOff>
      <xdr:row>1</xdr:row>
      <xdr:rowOff>9525</xdr:rowOff>
    </xdr:to>
    <xdr:sp macro="[0]!goto_12">
      <xdr:nvSpPr>
        <xdr:cNvPr id="31" name="同侧圆角矩形 30"/>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955040</xdr:colOff>
      <xdr:row>0</xdr:row>
      <xdr:rowOff>266700</xdr:rowOff>
    </xdr:from>
    <xdr:to>
      <xdr:col>8</xdr:col>
      <xdr:colOff>861060</xdr:colOff>
      <xdr:row>1</xdr:row>
      <xdr:rowOff>9525</xdr:rowOff>
    </xdr:to>
    <xdr:sp macro="[0]!goto_11">
      <xdr:nvSpPr>
        <xdr:cNvPr id="32" name="同侧圆角矩形 31"/>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352425</xdr:colOff>
      <xdr:row>0</xdr:row>
      <xdr:rowOff>266700</xdr:rowOff>
    </xdr:from>
    <xdr:to>
      <xdr:col>10</xdr:col>
      <xdr:colOff>258445</xdr:colOff>
      <xdr:row>1</xdr:row>
      <xdr:rowOff>9525</xdr:rowOff>
    </xdr:to>
    <xdr:sp macro="[0]!goto_09">
      <xdr:nvSpPr>
        <xdr:cNvPr id="33" name="同侧圆角矩形 32"/>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332105</xdr:colOff>
      <xdr:row>0</xdr:row>
      <xdr:rowOff>266700</xdr:rowOff>
    </xdr:from>
    <xdr:to>
      <xdr:col>11</xdr:col>
      <xdr:colOff>238125</xdr:colOff>
      <xdr:row>1</xdr:row>
      <xdr:rowOff>9525</xdr:rowOff>
    </xdr:to>
    <xdr:sp macro="[0]!goto_13">
      <xdr:nvSpPr>
        <xdr:cNvPr id="34" name="同侧圆角矩形 33"/>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311785</xdr:colOff>
      <xdr:row>0</xdr:row>
      <xdr:rowOff>266700</xdr:rowOff>
    </xdr:from>
    <xdr:to>
      <xdr:col>12</xdr:col>
      <xdr:colOff>494030</xdr:colOff>
      <xdr:row>1</xdr:row>
      <xdr:rowOff>9525</xdr:rowOff>
    </xdr:to>
    <xdr:sp macro="[0]!goto_14">
      <xdr:nvSpPr>
        <xdr:cNvPr id="35" name="同侧圆角矩形 34"/>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137795</xdr:colOff>
      <xdr:row>0</xdr:row>
      <xdr:rowOff>266700</xdr:rowOff>
    </xdr:from>
    <xdr:to>
      <xdr:col>15</xdr:col>
      <xdr:colOff>320040</xdr:colOff>
      <xdr:row>1</xdr:row>
      <xdr:rowOff>9525</xdr:rowOff>
    </xdr:to>
    <xdr:sp macro="[0]!goto_16">
      <xdr:nvSpPr>
        <xdr:cNvPr id="36" name="同侧圆角矩形 35"/>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15</xdr:col>
      <xdr:colOff>393700</xdr:colOff>
      <xdr:row>0</xdr:row>
      <xdr:rowOff>266700</xdr:rowOff>
    </xdr:from>
    <xdr:to>
      <xdr:col>16</xdr:col>
      <xdr:colOff>575945</xdr:colOff>
      <xdr:row>1</xdr:row>
      <xdr:rowOff>9525</xdr:rowOff>
    </xdr:to>
    <xdr:sp macro="[0]!goto_17">
      <xdr:nvSpPr>
        <xdr:cNvPr id="37" name="同侧圆角矩形 36"/>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12</xdr:col>
      <xdr:colOff>567690</xdr:colOff>
      <xdr:row>0</xdr:row>
      <xdr:rowOff>266700</xdr:rowOff>
    </xdr:from>
    <xdr:to>
      <xdr:col>14</xdr:col>
      <xdr:colOff>64135</xdr:colOff>
      <xdr:row>1</xdr:row>
      <xdr:rowOff>9525</xdr:rowOff>
    </xdr:to>
    <xdr:sp macro="[0]!goto_15">
      <xdr:nvSpPr>
        <xdr:cNvPr id="38" name="同侧圆角矩形 37"/>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16</xdr:col>
      <xdr:colOff>647700</xdr:colOff>
      <xdr:row>0</xdr:row>
      <xdr:rowOff>263525</xdr:rowOff>
    </xdr:from>
    <xdr:to>
      <xdr:col>18</xdr:col>
      <xdr:colOff>144145</xdr:colOff>
      <xdr:row>1</xdr:row>
      <xdr:rowOff>6350</xdr:rowOff>
    </xdr:to>
    <xdr:sp macro="[0]!goto_16">
      <xdr:nvSpPr>
        <xdr:cNvPr id="6" name="同侧圆角矩形 5">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111125</xdr:colOff>
      <xdr:row>2</xdr:row>
      <xdr:rowOff>0</xdr:rowOff>
    </xdr:from>
    <xdr:to>
      <xdr:col>7</xdr:col>
      <xdr:colOff>18415</xdr:colOff>
      <xdr:row>2</xdr:row>
      <xdr:rowOff>314325</xdr:rowOff>
    </xdr:to>
    <xdr:sp macro="[0]!daochu_jian">
      <xdr:nvSpPr>
        <xdr:cNvPr id="7" name="剪去对角的矩形 6"/>
        <xdr:cNvSpPr/>
      </xdr:nvSpPr>
      <xdr:spPr>
        <a:xfrm>
          <a:off x="55022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部门汇总</a:t>
          </a:r>
          <a:endParaRPr lang="zh-CN" altLang="en-US" sz="1050" b="1">
            <a:solidFill>
              <a:schemeClr val="accent1">
                <a:lumMod val="75000"/>
              </a:schemeClr>
            </a:solidFill>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50800</xdr:colOff>
      <xdr:row>0</xdr:row>
      <xdr:rowOff>263525</xdr:rowOff>
    </xdr:from>
    <xdr:to>
      <xdr:col>17</xdr:col>
      <xdr:colOff>918845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336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584200</xdr:colOff>
      <xdr:row>2</xdr:row>
      <xdr:rowOff>0</xdr:rowOff>
    </xdr:from>
    <xdr:to>
      <xdr:col>5</xdr:col>
      <xdr:colOff>491490</xdr:colOff>
      <xdr:row>2</xdr:row>
      <xdr:rowOff>314325</xdr:rowOff>
    </xdr:to>
    <xdr:sp macro="[0]!daochu_jian">
      <xdr:nvSpPr>
        <xdr:cNvPr id="5" name="剪去对角的矩形 4"/>
        <xdr:cNvSpPr/>
      </xdr:nvSpPr>
      <xdr:spPr>
        <a:xfrm>
          <a:off x="28606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386080</xdr:colOff>
      <xdr:row>0</xdr:row>
      <xdr:rowOff>689610</xdr:rowOff>
    </xdr:to>
    <xdr:sp>
      <xdr:nvSpPr>
        <xdr:cNvPr id="22" name="矩形 21"/>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3" name="同侧圆角矩形 22"/>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4" name="文本框 23"/>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5" name="同侧圆角矩形 24"/>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6" name="同侧圆角矩形 25"/>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7" name="同侧圆角矩形 2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8" name="同侧圆角矩形 2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9" name="同侧圆角矩形 2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30" name="同侧圆角矩形 2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1" name="同侧圆角矩形 3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2" name="同侧圆角矩形 3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3" name="同侧圆角矩形 3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322580</xdr:colOff>
      <xdr:row>1</xdr:row>
      <xdr:rowOff>9525</xdr:rowOff>
    </xdr:to>
    <xdr:sp macro="[0]!goto_14">
      <xdr:nvSpPr>
        <xdr:cNvPr id="34" name="同侧圆角矩形 33"/>
        <xdr:cNvSpPr>
          <a:spLocks noChangeAspect="1"/>
        </xdr:cNvSpPr>
      </xdr:nvSpPr>
      <xdr:spPr>
        <a:xfrm>
          <a:off x="1107503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社保</a:t>
          </a:r>
          <a:endParaRPr lang="zh-CN" altLang="en-US" sz="1050" b="1">
            <a:solidFill>
              <a:schemeClr val="accent1">
                <a:lumMod val="75000"/>
              </a:schemeClr>
            </a:solidFill>
            <a:latin typeface="+mn-ea"/>
          </a:endParaRPr>
        </a:p>
      </xdr:txBody>
    </xdr:sp>
    <xdr:clientData/>
  </xdr:twoCellAnchor>
  <xdr:twoCellAnchor editAs="absolute">
    <xdr:from>
      <xdr:col>15</xdr:col>
      <xdr:colOff>652145</xdr:colOff>
      <xdr:row>0</xdr:row>
      <xdr:rowOff>266700</xdr:rowOff>
    </xdr:from>
    <xdr:to>
      <xdr:col>17</xdr:col>
      <xdr:colOff>148590</xdr:colOff>
      <xdr:row>1</xdr:row>
      <xdr:rowOff>9525</xdr:rowOff>
    </xdr:to>
    <xdr:sp macro="[0]!goto_16">
      <xdr:nvSpPr>
        <xdr:cNvPr id="35" name="同侧圆角矩形 3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222250</xdr:colOff>
      <xdr:row>0</xdr:row>
      <xdr:rowOff>266700</xdr:rowOff>
    </xdr:from>
    <xdr:to>
      <xdr:col>18</xdr:col>
      <xdr:colOff>404495</xdr:colOff>
      <xdr:row>1</xdr:row>
      <xdr:rowOff>9525</xdr:rowOff>
    </xdr:to>
    <xdr:sp macro="[0]!goto_17">
      <xdr:nvSpPr>
        <xdr:cNvPr id="36" name="同侧圆角矩形 35"/>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396240</xdr:colOff>
      <xdr:row>0</xdr:row>
      <xdr:rowOff>266700</xdr:rowOff>
    </xdr:from>
    <xdr:to>
      <xdr:col>15</xdr:col>
      <xdr:colOff>578485</xdr:colOff>
      <xdr:row>1</xdr:row>
      <xdr:rowOff>9525</xdr:rowOff>
    </xdr:to>
    <xdr:sp macro="[0]!goto_15">
      <xdr:nvSpPr>
        <xdr:cNvPr id="37" name="同侧圆角矩形 3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482600</xdr:colOff>
      <xdr:row>0</xdr:row>
      <xdr:rowOff>263525</xdr:rowOff>
    </xdr:from>
    <xdr:to>
      <xdr:col>19</xdr:col>
      <xdr:colOff>664845</xdr:colOff>
      <xdr:row>1</xdr:row>
      <xdr:rowOff>6350</xdr:rowOff>
    </xdr:to>
    <xdr:sp macro="[0]!goto_16">
      <xdr:nvSpPr>
        <xdr:cNvPr id="4" name="同侧圆角矩形 3">
          <a:hlinkClick xmlns:r="http://schemas.openxmlformats.org/officeDocument/2006/relationships" r:id="rId1"/>
        </xdr:cNvPr>
        <xdr:cNvSpPr>
          <a:spLocks noChangeAspect="1"/>
        </xdr:cNvSpPr>
      </xdr:nvSpPr>
      <xdr:spPr>
        <a:xfrm>
          <a:off x="148463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776605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302895</xdr:colOff>
      <xdr:row>0</xdr:row>
      <xdr:rowOff>266700</xdr:rowOff>
    </xdr:from>
    <xdr:to>
      <xdr:col>6</xdr:col>
      <xdr:colOff>208915</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10</xdr:col>
      <xdr:colOff>201295</xdr:colOff>
      <xdr:row>0</xdr:row>
      <xdr:rowOff>266700</xdr:rowOff>
    </xdr:from>
    <xdr:to>
      <xdr:col>11</xdr:col>
      <xdr:colOff>107315</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10</xdr:col>
      <xdr:colOff>127635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11</xdr:col>
      <xdr:colOff>180975</xdr:colOff>
      <xdr:row>0</xdr:row>
      <xdr:rowOff>266700</xdr:rowOff>
    </xdr:from>
    <xdr:to>
      <xdr:col>12</xdr:col>
      <xdr:colOff>86995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12</xdr:col>
      <xdr:colOff>160655</xdr:colOff>
      <xdr:row>0</xdr:row>
      <xdr:rowOff>266700</xdr:rowOff>
    </xdr:from>
    <xdr:to>
      <xdr:col>13</xdr:col>
      <xdr:colOff>66675</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13</xdr:col>
      <xdr:colOff>140335</xdr:colOff>
      <xdr:row>0</xdr:row>
      <xdr:rowOff>266700</xdr:rowOff>
    </xdr:from>
    <xdr:to>
      <xdr:col>14</xdr:col>
      <xdr:colOff>46355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99695</xdr:colOff>
      <xdr:row>0</xdr:row>
      <xdr:rowOff>266700</xdr:rowOff>
    </xdr:from>
    <xdr:to>
      <xdr:col>16</xdr:col>
      <xdr:colOff>5715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79375</xdr:colOff>
      <xdr:row>0</xdr:row>
      <xdr:rowOff>266700</xdr:rowOff>
    </xdr:from>
    <xdr:to>
      <xdr:col>16</xdr:col>
      <xdr:colOff>947420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120015</xdr:colOff>
      <xdr:row>0</xdr:row>
      <xdr:rowOff>266700</xdr:rowOff>
    </xdr:from>
    <xdr:to>
      <xdr:col>15</xdr:col>
      <xdr:colOff>26035</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员工档案</a:t>
          </a:r>
          <a:endParaRPr lang="zh-CN" altLang="en-US" sz="1050" b="1">
            <a:solidFill>
              <a:schemeClr val="accent1">
                <a:lumMod val="75000"/>
              </a:schemeClr>
            </a:solidFill>
            <a:latin typeface="+mn-ea"/>
          </a:endParaRPr>
        </a:p>
      </xdr:txBody>
    </xdr:sp>
    <xdr:clientData/>
  </xdr:twoCellAnchor>
  <xdr:twoCellAnchor editAs="absolute">
    <xdr:from>
      <xdr:col>4</xdr:col>
      <xdr:colOff>317500</xdr:colOff>
      <xdr:row>0</xdr:row>
      <xdr:rowOff>263525</xdr:rowOff>
    </xdr:from>
    <xdr:to>
      <xdr:col>5</xdr:col>
      <xdr:colOff>223520</xdr:colOff>
      <xdr:row>1</xdr:row>
      <xdr:rowOff>6350</xdr:rowOff>
    </xdr:to>
    <xdr:sp macro="[0]!goto_07">
      <xdr:nvSpPr>
        <xdr:cNvPr id="4" name="同侧圆角矩形 3"/>
        <xdr:cNvSpPr>
          <a:spLocks noChangeAspect="1"/>
        </xdr:cNvSpPr>
      </xdr:nvSpPr>
      <xdr:spPr>
        <a:xfrm>
          <a:off x="2593975"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17</xdr:col>
      <xdr:colOff>38100</xdr:colOff>
      <xdr:row>0</xdr:row>
      <xdr:rowOff>263525</xdr:rowOff>
    </xdr:from>
    <xdr:to>
      <xdr:col>17</xdr:col>
      <xdr:colOff>906145</xdr:colOff>
      <xdr:row>1</xdr:row>
      <xdr:rowOff>6350</xdr:rowOff>
    </xdr:to>
    <xdr:sp macro="[0]!goto_16">
      <xdr:nvSpPr>
        <xdr:cNvPr id="5" name="同侧圆角矩形 4">
          <a:hlinkClick xmlns:r="http://schemas.openxmlformats.org/officeDocument/2006/relationships" r:id="rId1"/>
        </xdr:cNvPr>
        <xdr:cNvSpPr>
          <a:spLocks noChangeAspect="1"/>
        </xdr:cNvSpPr>
      </xdr:nvSpPr>
      <xdr:spPr>
        <a:xfrm>
          <a:off x="1482090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4</xdr:col>
      <xdr:colOff>657225</xdr:colOff>
      <xdr:row>2</xdr:row>
      <xdr:rowOff>0</xdr:rowOff>
    </xdr:from>
    <xdr:to>
      <xdr:col>5</xdr:col>
      <xdr:colOff>564515</xdr:colOff>
      <xdr:row>2</xdr:row>
      <xdr:rowOff>314325</xdr:rowOff>
    </xdr:to>
    <xdr:sp macro="[0]!select_shengri_15">
      <xdr:nvSpPr>
        <xdr:cNvPr id="6" name="剪去对角的矩形 5"/>
        <xdr:cNvSpPr/>
      </xdr:nvSpPr>
      <xdr:spPr>
        <a:xfrm>
          <a:off x="29337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今日生日</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6">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62230</xdr:colOff>
      <xdr:row>0</xdr:row>
      <xdr:rowOff>689610</xdr:rowOff>
    </xdr:to>
    <xdr:sp>
      <xdr:nvSpPr>
        <xdr:cNvPr id="20" name="矩形 19"/>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1" name="同侧圆角矩形 20"/>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2" name="文本框 21"/>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3" name="同侧圆角矩形 22"/>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6</xdr:col>
      <xdr:colOff>8890</xdr:colOff>
      <xdr:row>1</xdr:row>
      <xdr:rowOff>9525</xdr:rowOff>
    </xdr:to>
    <xdr:sp macro="[0]!goto_04">
      <xdr:nvSpPr>
        <xdr:cNvPr id="24" name="同侧圆角矩形 23"/>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82550</xdr:colOff>
      <xdr:row>0</xdr:row>
      <xdr:rowOff>266700</xdr:rowOff>
    </xdr:from>
    <xdr:to>
      <xdr:col>7</xdr:col>
      <xdr:colOff>264795</xdr:colOff>
      <xdr:row>1</xdr:row>
      <xdr:rowOff>9525</xdr:rowOff>
    </xdr:to>
    <xdr:sp macro="[0]!goto_10">
      <xdr:nvSpPr>
        <xdr:cNvPr id="25" name="同侧圆角矩形 24"/>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338455</xdr:colOff>
      <xdr:row>0</xdr:row>
      <xdr:rowOff>266700</xdr:rowOff>
    </xdr:from>
    <xdr:to>
      <xdr:col>8</xdr:col>
      <xdr:colOff>520700</xdr:colOff>
      <xdr:row>1</xdr:row>
      <xdr:rowOff>9525</xdr:rowOff>
    </xdr:to>
    <xdr:sp macro="[0]!goto_08">
      <xdr:nvSpPr>
        <xdr:cNvPr id="26" name="同侧圆角矩形 25"/>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594360</xdr:colOff>
      <xdr:row>0</xdr:row>
      <xdr:rowOff>266700</xdr:rowOff>
    </xdr:from>
    <xdr:to>
      <xdr:col>10</xdr:col>
      <xdr:colOff>90805</xdr:colOff>
      <xdr:row>1</xdr:row>
      <xdr:rowOff>9525</xdr:rowOff>
    </xdr:to>
    <xdr:sp macro="[0]!goto_06">
      <xdr:nvSpPr>
        <xdr:cNvPr id="27" name="同侧圆角矩形 26"/>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420370</xdr:colOff>
      <xdr:row>0</xdr:row>
      <xdr:rowOff>266700</xdr:rowOff>
    </xdr:from>
    <xdr:to>
      <xdr:col>12</xdr:col>
      <xdr:colOff>602615</xdr:colOff>
      <xdr:row>1</xdr:row>
      <xdr:rowOff>9525</xdr:rowOff>
    </xdr:to>
    <xdr:sp macro="[0]!goto_12">
      <xdr:nvSpPr>
        <xdr:cNvPr id="28" name="同侧圆角矩形 27"/>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164465</xdr:colOff>
      <xdr:row>0</xdr:row>
      <xdr:rowOff>266700</xdr:rowOff>
    </xdr:from>
    <xdr:to>
      <xdr:col>11</xdr:col>
      <xdr:colOff>346710</xdr:colOff>
      <xdr:row>1</xdr:row>
      <xdr:rowOff>9525</xdr:rowOff>
    </xdr:to>
    <xdr:sp macro="[0]!goto_11">
      <xdr:nvSpPr>
        <xdr:cNvPr id="29" name="同侧圆角矩形 28"/>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676275</xdr:colOff>
      <xdr:row>0</xdr:row>
      <xdr:rowOff>266700</xdr:rowOff>
    </xdr:from>
    <xdr:to>
      <xdr:col>14</xdr:col>
      <xdr:colOff>172720</xdr:colOff>
      <xdr:row>1</xdr:row>
      <xdr:rowOff>9525</xdr:rowOff>
    </xdr:to>
    <xdr:sp macro="[0]!goto_09">
      <xdr:nvSpPr>
        <xdr:cNvPr id="30" name="同侧圆角矩形 29"/>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14</xdr:col>
      <xdr:colOff>246380</xdr:colOff>
      <xdr:row>0</xdr:row>
      <xdr:rowOff>266700</xdr:rowOff>
    </xdr:from>
    <xdr:to>
      <xdr:col>15</xdr:col>
      <xdr:colOff>428625</xdr:colOff>
      <xdr:row>1</xdr:row>
      <xdr:rowOff>9525</xdr:rowOff>
    </xdr:to>
    <xdr:sp macro="[0]!goto_13">
      <xdr:nvSpPr>
        <xdr:cNvPr id="31" name="同侧圆角矩形 30"/>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502285</xdr:colOff>
      <xdr:row>0</xdr:row>
      <xdr:rowOff>266700</xdr:rowOff>
    </xdr:from>
    <xdr:to>
      <xdr:col>16</xdr:col>
      <xdr:colOff>684530</xdr:colOff>
      <xdr:row>1</xdr:row>
      <xdr:rowOff>9525</xdr:rowOff>
    </xdr:to>
    <xdr:sp macro="[0]!goto_14">
      <xdr:nvSpPr>
        <xdr:cNvPr id="32" name="同侧圆角矩形 31"/>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328295</xdr:colOff>
      <xdr:row>0</xdr:row>
      <xdr:rowOff>266700</xdr:rowOff>
    </xdr:from>
    <xdr:to>
      <xdr:col>19</xdr:col>
      <xdr:colOff>510540</xdr:colOff>
      <xdr:row>1</xdr:row>
      <xdr:rowOff>9525</xdr:rowOff>
    </xdr:to>
    <xdr:sp macro="[0]!goto_16">
      <xdr:nvSpPr>
        <xdr:cNvPr id="33" name="同侧圆角矩形 32"/>
        <xdr:cNvSpPr>
          <a:spLocks noChangeAspect="1"/>
        </xdr:cNvSpPr>
      </xdr:nvSpPr>
      <xdr:spPr>
        <a:xfrm>
          <a:off x="1295844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个人所得税</a:t>
          </a:r>
          <a:endParaRPr lang="zh-CN" altLang="en-US" sz="1050" b="1">
            <a:solidFill>
              <a:schemeClr val="accent1">
                <a:lumMod val="75000"/>
              </a:schemeClr>
            </a:solidFill>
            <a:latin typeface="+mn-ea"/>
          </a:endParaRPr>
        </a:p>
      </xdr:txBody>
    </xdr:sp>
    <xdr:clientData/>
  </xdr:twoCellAnchor>
  <xdr:twoCellAnchor editAs="absolute">
    <xdr:from>
      <xdr:col>19</xdr:col>
      <xdr:colOff>584200</xdr:colOff>
      <xdr:row>0</xdr:row>
      <xdr:rowOff>266700</xdr:rowOff>
    </xdr:from>
    <xdr:to>
      <xdr:col>21</xdr:col>
      <xdr:colOff>80645</xdr:colOff>
      <xdr:row>1</xdr:row>
      <xdr:rowOff>9525</xdr:rowOff>
    </xdr:to>
    <xdr:sp macro="[0]!goto_17">
      <xdr:nvSpPr>
        <xdr:cNvPr id="34" name="同侧圆角矩形 33"/>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72390</xdr:colOff>
      <xdr:row>0</xdr:row>
      <xdr:rowOff>266700</xdr:rowOff>
    </xdr:from>
    <xdr:to>
      <xdr:col>18</xdr:col>
      <xdr:colOff>254635</xdr:colOff>
      <xdr:row>1</xdr:row>
      <xdr:rowOff>9525</xdr:rowOff>
    </xdr:to>
    <xdr:sp macro="[0]!goto_15">
      <xdr:nvSpPr>
        <xdr:cNvPr id="35" name="同侧圆角矩形 34"/>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152400</xdr:colOff>
      <xdr:row>0</xdr:row>
      <xdr:rowOff>276225</xdr:rowOff>
    </xdr:from>
    <xdr:to>
      <xdr:col>22</xdr:col>
      <xdr:colOff>334645</xdr:colOff>
      <xdr:row>1</xdr:row>
      <xdr:rowOff>19050</xdr:rowOff>
    </xdr:to>
    <xdr:sp macro="[0]!goto_16">
      <xdr:nvSpPr>
        <xdr:cNvPr id="3" name="同侧圆角矩形 2">
          <a:hlinkClick xmlns:r="http://schemas.openxmlformats.org/officeDocument/2006/relationships" r:id="rId1"/>
        </xdr:cNvPr>
        <xdr:cNvSpPr>
          <a:spLocks noChangeAspect="1"/>
        </xdr:cNvSpPr>
      </xdr:nvSpPr>
      <xdr:spPr>
        <a:xfrm>
          <a:off x="14839950" y="2762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17">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tiaojian_select_17">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20</xdr:col>
      <xdr:colOff>1005205</xdr:colOff>
      <xdr:row>0</xdr:row>
      <xdr:rowOff>689610</xdr:rowOff>
    </xdr:to>
    <xdr:sp>
      <xdr:nvSpPr>
        <xdr:cNvPr id="21" name="矩形 20"/>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22" name="同侧圆角矩形 21"/>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23" name="文本框 22"/>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5</xdr:col>
      <xdr:colOff>229235</xdr:colOff>
      <xdr:row>1</xdr:row>
      <xdr:rowOff>9525</xdr:rowOff>
    </xdr:to>
    <xdr:sp macro="[0]!goto_07">
      <xdr:nvSpPr>
        <xdr:cNvPr id="24" name="同侧圆角矩形 23"/>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302895</xdr:colOff>
      <xdr:row>0</xdr:row>
      <xdr:rowOff>266700</xdr:rowOff>
    </xdr:from>
    <xdr:to>
      <xdr:col>5</xdr:col>
      <xdr:colOff>1170940</xdr:colOff>
      <xdr:row>1</xdr:row>
      <xdr:rowOff>9525</xdr:rowOff>
    </xdr:to>
    <xdr:sp macro="[0]!goto_04">
      <xdr:nvSpPr>
        <xdr:cNvPr id="25" name="同侧圆角矩形 24"/>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1244600</xdr:colOff>
      <xdr:row>0</xdr:row>
      <xdr:rowOff>266700</xdr:rowOff>
    </xdr:from>
    <xdr:to>
      <xdr:col>6</xdr:col>
      <xdr:colOff>331470</xdr:colOff>
      <xdr:row>1</xdr:row>
      <xdr:rowOff>9525</xdr:rowOff>
    </xdr:to>
    <xdr:sp macro="[0]!goto_10">
      <xdr:nvSpPr>
        <xdr:cNvPr id="26" name="同侧圆角矩形 25"/>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405130</xdr:colOff>
      <xdr:row>0</xdr:row>
      <xdr:rowOff>266700</xdr:rowOff>
    </xdr:from>
    <xdr:to>
      <xdr:col>7</xdr:col>
      <xdr:colOff>111125</xdr:colOff>
      <xdr:row>1</xdr:row>
      <xdr:rowOff>9525</xdr:rowOff>
    </xdr:to>
    <xdr:sp macro="[0]!goto_08">
      <xdr:nvSpPr>
        <xdr:cNvPr id="27" name="同侧圆角矩形 26"/>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184785</xdr:colOff>
      <xdr:row>0</xdr:row>
      <xdr:rowOff>266700</xdr:rowOff>
    </xdr:from>
    <xdr:to>
      <xdr:col>7</xdr:col>
      <xdr:colOff>1052830</xdr:colOff>
      <xdr:row>1</xdr:row>
      <xdr:rowOff>9525</xdr:rowOff>
    </xdr:to>
    <xdr:sp macro="[0]!goto_06">
      <xdr:nvSpPr>
        <xdr:cNvPr id="28" name="同侧圆角矩形 27"/>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906145</xdr:colOff>
      <xdr:row>0</xdr:row>
      <xdr:rowOff>266700</xdr:rowOff>
    </xdr:from>
    <xdr:to>
      <xdr:col>9</xdr:col>
      <xdr:colOff>612140</xdr:colOff>
      <xdr:row>1</xdr:row>
      <xdr:rowOff>9525</xdr:rowOff>
    </xdr:to>
    <xdr:sp macro="[0]!goto_12">
      <xdr:nvSpPr>
        <xdr:cNvPr id="29" name="同侧圆角矩形 28"/>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1126490</xdr:colOff>
      <xdr:row>0</xdr:row>
      <xdr:rowOff>266700</xdr:rowOff>
    </xdr:from>
    <xdr:to>
      <xdr:col>8</xdr:col>
      <xdr:colOff>832485</xdr:colOff>
      <xdr:row>1</xdr:row>
      <xdr:rowOff>9525</xdr:rowOff>
    </xdr:to>
    <xdr:sp macro="[0]!goto_11">
      <xdr:nvSpPr>
        <xdr:cNvPr id="30" name="同侧圆角矩形 29"/>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685800</xdr:colOff>
      <xdr:row>0</xdr:row>
      <xdr:rowOff>266700</xdr:rowOff>
    </xdr:from>
    <xdr:to>
      <xdr:col>10</xdr:col>
      <xdr:colOff>391795</xdr:colOff>
      <xdr:row>1</xdr:row>
      <xdr:rowOff>9525</xdr:rowOff>
    </xdr:to>
    <xdr:sp macro="[0]!goto_09">
      <xdr:nvSpPr>
        <xdr:cNvPr id="31" name="同侧圆角矩形 30"/>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10</xdr:col>
      <xdr:colOff>465455</xdr:colOff>
      <xdr:row>0</xdr:row>
      <xdr:rowOff>266700</xdr:rowOff>
    </xdr:from>
    <xdr:to>
      <xdr:col>11</xdr:col>
      <xdr:colOff>171450</xdr:colOff>
      <xdr:row>1</xdr:row>
      <xdr:rowOff>9525</xdr:rowOff>
    </xdr:to>
    <xdr:sp macro="[0]!goto_13">
      <xdr:nvSpPr>
        <xdr:cNvPr id="32" name="同侧圆角矩形 31"/>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11</xdr:col>
      <xdr:colOff>245110</xdr:colOff>
      <xdr:row>0</xdr:row>
      <xdr:rowOff>266700</xdr:rowOff>
    </xdr:from>
    <xdr:to>
      <xdr:col>11</xdr:col>
      <xdr:colOff>1113155</xdr:colOff>
      <xdr:row>1</xdr:row>
      <xdr:rowOff>9525</xdr:rowOff>
    </xdr:to>
    <xdr:sp macro="[0]!goto_14">
      <xdr:nvSpPr>
        <xdr:cNvPr id="33" name="同侧圆角矩形 32"/>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966470</xdr:colOff>
      <xdr:row>0</xdr:row>
      <xdr:rowOff>266700</xdr:rowOff>
    </xdr:from>
    <xdr:to>
      <xdr:col>13</xdr:col>
      <xdr:colOff>672465</xdr:colOff>
      <xdr:row>1</xdr:row>
      <xdr:rowOff>9525</xdr:rowOff>
    </xdr:to>
    <xdr:sp macro="[0]!goto_16">
      <xdr:nvSpPr>
        <xdr:cNvPr id="34" name="同侧圆角矩形 33"/>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746125</xdr:colOff>
      <xdr:row>0</xdr:row>
      <xdr:rowOff>266700</xdr:rowOff>
    </xdr:from>
    <xdr:to>
      <xdr:col>14</xdr:col>
      <xdr:colOff>452120</xdr:colOff>
      <xdr:row>1</xdr:row>
      <xdr:rowOff>9525</xdr:rowOff>
    </xdr:to>
    <xdr:sp macro="[0]!goto_17">
      <xdr:nvSpPr>
        <xdr:cNvPr id="35" name="同侧圆角矩形 34"/>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12</xdr:col>
      <xdr:colOff>24765</xdr:colOff>
      <xdr:row>0</xdr:row>
      <xdr:rowOff>266700</xdr:rowOff>
    </xdr:from>
    <xdr:to>
      <xdr:col>12</xdr:col>
      <xdr:colOff>892810</xdr:colOff>
      <xdr:row>1</xdr:row>
      <xdr:rowOff>9525</xdr:rowOff>
    </xdr:to>
    <xdr:sp macro="[0]!goto_15">
      <xdr:nvSpPr>
        <xdr:cNvPr id="36" name="同侧圆角矩形 35"/>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4</xdr:col>
      <xdr:colOff>673100</xdr:colOff>
      <xdr:row>2</xdr:row>
      <xdr:rowOff>0</xdr:rowOff>
    </xdr:from>
    <xdr:to>
      <xdr:col>5</xdr:col>
      <xdr:colOff>580390</xdr:colOff>
      <xdr:row>2</xdr:row>
      <xdr:rowOff>314325</xdr:rowOff>
    </xdr:to>
    <xdr:sp macro="[0]!daochu_jian">
      <xdr:nvSpPr>
        <xdr:cNvPr id="4" name="剪去对角的矩形 3"/>
        <xdr:cNvSpPr/>
      </xdr:nvSpPr>
      <xdr:spPr>
        <a:xfrm>
          <a:off x="294957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导出</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14</xdr:col>
      <xdr:colOff>533400</xdr:colOff>
      <xdr:row>0</xdr:row>
      <xdr:rowOff>266700</xdr:rowOff>
    </xdr:from>
    <xdr:to>
      <xdr:col>15</xdr:col>
      <xdr:colOff>239395</xdr:colOff>
      <xdr:row>1</xdr:row>
      <xdr:rowOff>9525</xdr:rowOff>
    </xdr:to>
    <xdr:sp macro="[0]!goto_16">
      <xdr:nvSpPr>
        <xdr:cNvPr id="5" name="同侧圆角矩形 4">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5</xdr:col>
      <xdr:colOff>1054100</xdr:colOff>
      <xdr:row>2</xdr:row>
      <xdr:rowOff>0</xdr:rowOff>
    </xdr:from>
    <xdr:to>
      <xdr:col>6</xdr:col>
      <xdr:colOff>142240</xdr:colOff>
      <xdr:row>2</xdr:row>
      <xdr:rowOff>314325</xdr:rowOff>
    </xdr:to>
    <xdr:sp macro="[0]!dayin">
      <xdr:nvSpPr>
        <xdr:cNvPr id="6" name="剪去对角的矩形 5"/>
        <xdr:cNvSpPr/>
      </xdr:nvSpPr>
      <xdr:spPr>
        <a:xfrm>
          <a:off x="4292600"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打印</a:t>
          </a:r>
          <a:endParaRPr lang="en-US" altLang="zh-CN" sz="1000" b="1">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635</xdr:colOff>
      <xdr:row>0</xdr:row>
      <xdr:rowOff>635</xdr:rowOff>
    </xdr:from>
    <xdr:to>
      <xdr:col>33</xdr:col>
      <xdr:colOff>120015</xdr:colOff>
      <xdr:row>0</xdr:row>
      <xdr:rowOff>690245</xdr:rowOff>
    </xdr:to>
    <xdr:sp>
      <xdr:nvSpPr>
        <xdr:cNvPr id="2" name="矩形 1"/>
        <xdr:cNvSpPr>
          <a:spLocks noChangeAspect="1"/>
        </xdr:cNvSpPr>
      </xdr:nvSpPr>
      <xdr:spPr>
        <a:xfrm>
          <a:off x="635" y="635"/>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286385</xdr:colOff>
      <xdr:row>0</xdr:row>
      <xdr:rowOff>266700</xdr:rowOff>
    </xdr:from>
    <xdr:to>
      <xdr:col>4</xdr:col>
      <xdr:colOff>192405</xdr:colOff>
      <xdr:row>1</xdr:row>
      <xdr:rowOff>9525</xdr:rowOff>
    </xdr:to>
    <xdr:sp macro="[0]!goto_01">
      <xdr:nvSpPr>
        <xdr:cNvPr id="3" name="同侧圆角矩形 2"/>
        <xdr:cNvSpPr>
          <a:spLocks noChangeAspect="1"/>
        </xdr:cNvSpPr>
      </xdr:nvSpPr>
      <xdr:spPr>
        <a:xfrm>
          <a:off x="16008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635</xdr:colOff>
      <xdr:row>0</xdr:row>
      <xdr:rowOff>152400</xdr:rowOff>
    </xdr:from>
    <xdr:to>
      <xdr:col>3</xdr:col>
      <xdr:colOff>238125</xdr:colOff>
      <xdr:row>0</xdr:row>
      <xdr:rowOff>605790</xdr:rowOff>
    </xdr:to>
    <xdr:sp>
      <xdr:nvSpPr>
        <xdr:cNvPr id="4" name="文本框 3"/>
        <xdr:cNvSpPr txBox="1"/>
      </xdr:nvSpPr>
      <xdr:spPr>
        <a:xfrm>
          <a:off x="635" y="152400"/>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266065</xdr:colOff>
      <xdr:row>0</xdr:row>
      <xdr:rowOff>266700</xdr:rowOff>
    </xdr:from>
    <xdr:to>
      <xdr:col>5</xdr:col>
      <xdr:colOff>172085</xdr:colOff>
      <xdr:row>1</xdr:row>
      <xdr:rowOff>9525</xdr:rowOff>
    </xdr:to>
    <xdr:sp macro="[0]!goto_07">
      <xdr:nvSpPr>
        <xdr:cNvPr id="5" name="同侧圆角矩形 4"/>
        <xdr:cNvSpPr>
          <a:spLocks noChangeAspect="1"/>
        </xdr:cNvSpPr>
      </xdr:nvSpPr>
      <xdr:spPr>
        <a:xfrm>
          <a:off x="25425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283845</xdr:colOff>
      <xdr:row>0</xdr:row>
      <xdr:rowOff>266700</xdr:rowOff>
    </xdr:from>
    <xdr:to>
      <xdr:col>6</xdr:col>
      <xdr:colOff>189865</xdr:colOff>
      <xdr:row>1</xdr:row>
      <xdr:rowOff>9525</xdr:rowOff>
    </xdr:to>
    <xdr:sp macro="[0]!goto_04">
      <xdr:nvSpPr>
        <xdr:cNvPr id="6" name="同侧圆角矩形 5"/>
        <xdr:cNvSpPr>
          <a:spLocks noChangeAspect="1"/>
        </xdr:cNvSpPr>
      </xdr:nvSpPr>
      <xdr:spPr>
        <a:xfrm>
          <a:off x="35223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282575</xdr:colOff>
      <xdr:row>0</xdr:row>
      <xdr:rowOff>266700</xdr:rowOff>
    </xdr:from>
    <xdr:to>
      <xdr:col>7</xdr:col>
      <xdr:colOff>188595</xdr:colOff>
      <xdr:row>1</xdr:row>
      <xdr:rowOff>9525</xdr:rowOff>
    </xdr:to>
    <xdr:sp macro="[0]!goto_10">
      <xdr:nvSpPr>
        <xdr:cNvPr id="7" name="同侧圆角矩形 6"/>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262255</xdr:colOff>
      <xdr:row>0</xdr:row>
      <xdr:rowOff>266700</xdr:rowOff>
    </xdr:from>
    <xdr:to>
      <xdr:col>8</xdr:col>
      <xdr:colOff>168275</xdr:colOff>
      <xdr:row>1</xdr:row>
      <xdr:rowOff>9525</xdr:rowOff>
    </xdr:to>
    <xdr:sp macro="[0]!goto_08">
      <xdr:nvSpPr>
        <xdr:cNvPr id="8" name="同侧圆角矩形 7"/>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241935</xdr:colOff>
      <xdr:row>0</xdr:row>
      <xdr:rowOff>266700</xdr:rowOff>
    </xdr:from>
    <xdr:to>
      <xdr:col>9</xdr:col>
      <xdr:colOff>147955</xdr:colOff>
      <xdr:row>1</xdr:row>
      <xdr:rowOff>9525</xdr:rowOff>
    </xdr:to>
    <xdr:sp macro="[0]!goto_06">
      <xdr:nvSpPr>
        <xdr:cNvPr id="9" name="同侧圆角矩形 8"/>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12</xdr:col>
      <xdr:colOff>477520</xdr:colOff>
      <xdr:row>0</xdr:row>
      <xdr:rowOff>266700</xdr:rowOff>
    </xdr:from>
    <xdr:to>
      <xdr:col>13</xdr:col>
      <xdr:colOff>659765</xdr:colOff>
      <xdr:row>1</xdr:row>
      <xdr:rowOff>9525</xdr:rowOff>
    </xdr:to>
    <xdr:sp macro="[0]!goto_12">
      <xdr:nvSpPr>
        <xdr:cNvPr id="10" name="同侧圆角矩形 9"/>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9</xdr:col>
      <xdr:colOff>221615</xdr:colOff>
      <xdr:row>0</xdr:row>
      <xdr:rowOff>266700</xdr:rowOff>
    </xdr:from>
    <xdr:to>
      <xdr:col>12</xdr:col>
      <xdr:colOff>403860</xdr:colOff>
      <xdr:row>1</xdr:row>
      <xdr:rowOff>9525</xdr:rowOff>
    </xdr:to>
    <xdr:sp macro="[0]!goto_11">
      <xdr:nvSpPr>
        <xdr:cNvPr id="11" name="同侧圆角矩形 10"/>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14</xdr:col>
      <xdr:colOff>47625</xdr:colOff>
      <xdr:row>0</xdr:row>
      <xdr:rowOff>266700</xdr:rowOff>
    </xdr:from>
    <xdr:to>
      <xdr:col>15</xdr:col>
      <xdr:colOff>229870</xdr:colOff>
      <xdr:row>1</xdr:row>
      <xdr:rowOff>9525</xdr:rowOff>
    </xdr:to>
    <xdr:sp macro="[0]!goto_09">
      <xdr:nvSpPr>
        <xdr:cNvPr id="12" name="同侧圆角矩形 11"/>
        <xdr:cNvSpPr>
          <a:spLocks noChangeAspect="1"/>
        </xdr:cNvSpPr>
      </xdr:nvSpPr>
      <xdr:spPr>
        <a:xfrm>
          <a:off x="919162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报税</a:t>
          </a:r>
          <a:endParaRPr lang="zh-CN" altLang="en-US" sz="1050">
            <a:latin typeface="+mn-ea"/>
          </a:endParaRPr>
        </a:p>
      </xdr:txBody>
    </xdr:sp>
    <xdr:clientData/>
  </xdr:twoCellAnchor>
  <xdr:twoCellAnchor editAs="absolute">
    <xdr:from>
      <xdr:col>15</xdr:col>
      <xdr:colOff>303530</xdr:colOff>
      <xdr:row>0</xdr:row>
      <xdr:rowOff>266700</xdr:rowOff>
    </xdr:from>
    <xdr:to>
      <xdr:col>16</xdr:col>
      <xdr:colOff>485775</xdr:colOff>
      <xdr:row>1</xdr:row>
      <xdr:rowOff>9525</xdr:rowOff>
    </xdr:to>
    <xdr:sp macro="[0]!goto_13">
      <xdr:nvSpPr>
        <xdr:cNvPr id="13" name="同侧圆角矩形 12"/>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16</xdr:col>
      <xdr:colOff>559435</xdr:colOff>
      <xdr:row>0</xdr:row>
      <xdr:rowOff>266700</xdr:rowOff>
    </xdr:from>
    <xdr:to>
      <xdr:col>18</xdr:col>
      <xdr:colOff>55880</xdr:colOff>
      <xdr:row>1</xdr:row>
      <xdr:rowOff>9525</xdr:rowOff>
    </xdr:to>
    <xdr:sp macro="[0]!goto_14">
      <xdr:nvSpPr>
        <xdr:cNvPr id="14" name="同侧圆角矩形 13"/>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19</xdr:col>
      <xdr:colOff>385445</xdr:colOff>
      <xdr:row>0</xdr:row>
      <xdr:rowOff>266700</xdr:rowOff>
    </xdr:from>
    <xdr:to>
      <xdr:col>20</xdr:col>
      <xdr:colOff>567690</xdr:colOff>
      <xdr:row>1</xdr:row>
      <xdr:rowOff>9525</xdr:rowOff>
    </xdr:to>
    <xdr:sp macro="[0]!goto_16">
      <xdr:nvSpPr>
        <xdr:cNvPr id="15" name="同侧圆角矩形 14"/>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20</xdr:col>
      <xdr:colOff>641350</xdr:colOff>
      <xdr:row>0</xdr:row>
      <xdr:rowOff>266700</xdr:rowOff>
    </xdr:from>
    <xdr:to>
      <xdr:col>22</xdr:col>
      <xdr:colOff>137795</xdr:colOff>
      <xdr:row>1</xdr:row>
      <xdr:rowOff>9525</xdr:rowOff>
    </xdr:to>
    <xdr:sp macro="[0]!goto_17">
      <xdr:nvSpPr>
        <xdr:cNvPr id="16" name="同侧圆角矩形 15"/>
        <xdr:cNvSpPr>
          <a:spLocks noChangeAspect="1"/>
        </xdr:cNvSpPr>
      </xdr:nvSpPr>
      <xdr:spPr>
        <a:xfrm>
          <a:off x="13900150"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工资条</a:t>
          </a:r>
          <a:endParaRPr lang="zh-CN" altLang="en-US" sz="1050" b="1">
            <a:solidFill>
              <a:schemeClr val="accent1">
                <a:lumMod val="75000"/>
              </a:schemeClr>
            </a:solidFill>
            <a:latin typeface="+mn-ea"/>
          </a:endParaRPr>
        </a:p>
      </xdr:txBody>
    </xdr:sp>
    <xdr:clientData/>
  </xdr:twoCellAnchor>
  <xdr:twoCellAnchor editAs="absolute">
    <xdr:from>
      <xdr:col>18</xdr:col>
      <xdr:colOff>129540</xdr:colOff>
      <xdr:row>0</xdr:row>
      <xdr:rowOff>266700</xdr:rowOff>
    </xdr:from>
    <xdr:to>
      <xdr:col>19</xdr:col>
      <xdr:colOff>311785</xdr:colOff>
      <xdr:row>1</xdr:row>
      <xdr:rowOff>9525</xdr:rowOff>
    </xdr:to>
    <xdr:sp macro="[0]!goto_15">
      <xdr:nvSpPr>
        <xdr:cNvPr id="17" name="同侧圆角矩形 16"/>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22</xdr:col>
      <xdr:colOff>219075</xdr:colOff>
      <xdr:row>0</xdr:row>
      <xdr:rowOff>266700</xdr:rowOff>
    </xdr:from>
    <xdr:to>
      <xdr:col>23</xdr:col>
      <xdr:colOff>401320</xdr:colOff>
      <xdr:row>1</xdr:row>
      <xdr:rowOff>9525</xdr:rowOff>
    </xdr:to>
    <xdr:sp macro="[0]!goto_16">
      <xdr:nvSpPr>
        <xdr:cNvPr id="18" name="同侧圆角矩形 17">
          <a:hlinkClick xmlns:r="http://schemas.openxmlformats.org/officeDocument/2006/relationships" r:id="rId1"/>
        </xdr:cNvPr>
        <xdr:cNvSpPr>
          <a:spLocks noChangeAspect="1"/>
        </xdr:cNvSpPr>
      </xdr:nvSpPr>
      <xdr:spPr>
        <a:xfrm>
          <a:off x="1484947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2</xdr:col>
      <xdr:colOff>38100</xdr:colOff>
      <xdr:row>2</xdr:row>
      <xdr:rowOff>12700</xdr:rowOff>
    </xdr:from>
    <xdr:to>
      <xdr:col>2</xdr:col>
      <xdr:colOff>907415</xdr:colOff>
      <xdr:row>2</xdr:row>
      <xdr:rowOff>327025</xdr:rowOff>
    </xdr:to>
    <xdr:sp macro="[0]!shengri_cha">
      <xdr:nvSpPr>
        <xdr:cNvPr id="19" name="剪去对角的矩形 18"/>
        <xdr:cNvSpPr/>
      </xdr:nvSpPr>
      <xdr:spPr>
        <a:xfrm>
          <a:off x="390525" y="12160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1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1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19">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19">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0">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0">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0">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0">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29</xdr:col>
      <xdr:colOff>224155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934720</xdr:colOff>
      <xdr:row>0</xdr:row>
      <xdr:rowOff>266700</xdr:rowOff>
    </xdr:from>
    <xdr:to>
      <xdr:col>10</xdr:col>
      <xdr:colOff>278765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861060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352425</xdr:colOff>
      <xdr:row>0</xdr:row>
      <xdr:rowOff>266700</xdr:rowOff>
    </xdr:from>
    <xdr:to>
      <xdr:col>11</xdr:col>
      <xdr:colOff>334645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408305</xdr:colOff>
      <xdr:row>0</xdr:row>
      <xdr:rowOff>266700</xdr:rowOff>
    </xdr:from>
    <xdr:to>
      <xdr:col>12</xdr:col>
      <xdr:colOff>590550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664210</xdr:colOff>
      <xdr:row>0</xdr:row>
      <xdr:rowOff>266700</xdr:rowOff>
    </xdr:from>
    <xdr:to>
      <xdr:col>14</xdr:col>
      <xdr:colOff>160655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490220</xdr:colOff>
      <xdr:row>0</xdr:row>
      <xdr:rowOff>266700</xdr:rowOff>
    </xdr:from>
    <xdr:to>
      <xdr:col>16</xdr:col>
      <xdr:colOff>672465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17</xdr:col>
      <xdr:colOff>60325</xdr:colOff>
      <xdr:row>0</xdr:row>
      <xdr:rowOff>266700</xdr:rowOff>
    </xdr:from>
    <xdr:to>
      <xdr:col>18</xdr:col>
      <xdr:colOff>242570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14</xdr:col>
      <xdr:colOff>234315</xdr:colOff>
      <xdr:row>0</xdr:row>
      <xdr:rowOff>266700</xdr:rowOff>
    </xdr:from>
    <xdr:to>
      <xdr:col>15</xdr:col>
      <xdr:colOff>416560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18</xdr:col>
      <xdr:colOff>314325</xdr:colOff>
      <xdr:row>0</xdr:row>
      <xdr:rowOff>263525</xdr:rowOff>
    </xdr:from>
    <xdr:to>
      <xdr:col>19</xdr:col>
      <xdr:colOff>496570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3</xdr:col>
      <xdr:colOff>869315</xdr:colOff>
      <xdr:row>2</xdr:row>
      <xdr:rowOff>314325</xdr:rowOff>
    </xdr:to>
    <xdr:sp macro="[0]!select_22">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320675</xdr:colOff>
      <xdr:row>2</xdr:row>
      <xdr:rowOff>0</xdr:rowOff>
    </xdr:from>
    <xdr:to>
      <xdr:col>5</xdr:col>
      <xdr:colOff>227965</xdr:colOff>
      <xdr:row>2</xdr:row>
      <xdr:rowOff>314325</xdr:rowOff>
    </xdr:to>
    <xdr:sp macro="[0]!save_22">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641350</xdr:colOff>
      <xdr:row>2</xdr:row>
      <xdr:rowOff>0</xdr:rowOff>
    </xdr:from>
    <xdr:to>
      <xdr:col>5</xdr:col>
      <xdr:colOff>1510665</xdr:colOff>
      <xdr:row>2</xdr:row>
      <xdr:rowOff>314325</xdr:rowOff>
    </xdr:to>
    <xdr:sp macro="[0]!delete_22">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6</xdr:col>
      <xdr:colOff>180975</xdr:colOff>
      <xdr:row>2</xdr:row>
      <xdr:rowOff>0</xdr:rowOff>
    </xdr:from>
    <xdr:to>
      <xdr:col>6</xdr:col>
      <xdr:colOff>1050290</xdr:colOff>
      <xdr:row>2</xdr:row>
      <xdr:rowOff>314325</xdr:rowOff>
    </xdr:to>
    <xdr:sp macro="[0]!CX_22">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262255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4</xdr:col>
      <xdr:colOff>343535</xdr:colOff>
      <xdr:row>0</xdr:row>
      <xdr:rowOff>266700</xdr:rowOff>
    </xdr:from>
    <xdr:to>
      <xdr:col>5</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4</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5</xdr:col>
      <xdr:colOff>323215</xdr:colOff>
      <xdr:row>0</xdr:row>
      <xdr:rowOff>266700</xdr:rowOff>
    </xdr:from>
    <xdr:to>
      <xdr:col>5</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5</xdr:col>
      <xdr:colOff>1264920</xdr:colOff>
      <xdr:row>0</xdr:row>
      <xdr:rowOff>266700</xdr:rowOff>
    </xdr:from>
    <xdr:to>
      <xdr:col>6</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463550</xdr:colOff>
      <xdr:row>0</xdr:row>
      <xdr:rowOff>266700</xdr:rowOff>
    </xdr:from>
    <xdr:to>
      <xdr:col>6</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33655</xdr:colOff>
      <xdr:row>0</xdr:row>
      <xdr:rowOff>266700</xdr:rowOff>
    </xdr:from>
    <xdr:to>
      <xdr:col>7</xdr:col>
      <xdr:colOff>901700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13335</xdr:colOff>
      <xdr:row>0</xdr:row>
      <xdr:rowOff>266700</xdr:rowOff>
    </xdr:from>
    <xdr:to>
      <xdr:col>8</xdr:col>
      <xdr:colOff>881380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287020</xdr:colOff>
      <xdr:row>0</xdr:row>
      <xdr:rowOff>266700</xdr:rowOff>
    </xdr:from>
    <xdr:to>
      <xdr:col>9</xdr:col>
      <xdr:colOff>1155065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955040</xdr:colOff>
      <xdr:row>0</xdr:row>
      <xdr:rowOff>266700</xdr:rowOff>
    </xdr:from>
    <xdr:to>
      <xdr:col>9</xdr:col>
      <xdr:colOff>213360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1228725</xdr:colOff>
      <xdr:row>0</xdr:row>
      <xdr:rowOff>266700</xdr:rowOff>
    </xdr:from>
    <xdr:to>
      <xdr:col>10</xdr:col>
      <xdr:colOff>572770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646430</xdr:colOff>
      <xdr:row>0</xdr:row>
      <xdr:rowOff>266700</xdr:rowOff>
    </xdr:from>
    <xdr:to>
      <xdr:col>11</xdr:col>
      <xdr:colOff>628650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16510</xdr:colOff>
      <xdr:row>0</xdr:row>
      <xdr:rowOff>266700</xdr:rowOff>
    </xdr:from>
    <xdr:to>
      <xdr:col>13</xdr:col>
      <xdr:colOff>198755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528320</xdr:colOff>
      <xdr:row>0</xdr:row>
      <xdr:rowOff>266700</xdr:rowOff>
    </xdr:from>
    <xdr:to>
      <xdr:col>16</xdr:col>
      <xdr:colOff>24765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98425</xdr:colOff>
      <xdr:row>0</xdr:row>
      <xdr:rowOff>266700</xdr:rowOff>
    </xdr:from>
    <xdr:to>
      <xdr:col>17</xdr:col>
      <xdr:colOff>280670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272415</xdr:colOff>
      <xdr:row>0</xdr:row>
      <xdr:rowOff>266700</xdr:rowOff>
    </xdr:from>
    <xdr:to>
      <xdr:col>14</xdr:col>
      <xdr:colOff>454660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352425</xdr:colOff>
      <xdr:row>0</xdr:row>
      <xdr:rowOff>263525</xdr:rowOff>
    </xdr:from>
    <xdr:to>
      <xdr:col>18</xdr:col>
      <xdr:colOff>534670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869315</xdr:colOff>
      <xdr:row>2</xdr:row>
      <xdr:rowOff>314325</xdr:rowOff>
    </xdr:to>
    <xdr:sp macro="[0]!tijiao_24">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1</xdr:col>
      <xdr:colOff>2152015</xdr:colOff>
      <xdr:row>2</xdr:row>
      <xdr:rowOff>314325</xdr:rowOff>
    </xdr:to>
    <xdr:sp macro="[0]!qingkong_24">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2</xdr:col>
      <xdr:colOff>171450</xdr:colOff>
      <xdr:row>2</xdr:row>
      <xdr:rowOff>0</xdr:rowOff>
    </xdr:from>
    <xdr:to>
      <xdr:col>2</xdr:col>
      <xdr:colOff>1040765</xdr:colOff>
      <xdr:row>2</xdr:row>
      <xdr:rowOff>314325</xdr:rowOff>
    </xdr:to>
    <xdr:sp macro="[0]!chaxun_24">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查询结果</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26</xdr:col>
      <xdr:colOff>243205</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2</xdr:col>
      <xdr:colOff>772160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845820</xdr:colOff>
      <xdr:row>0</xdr:row>
      <xdr:rowOff>266700</xdr:rowOff>
    </xdr:from>
    <xdr:to>
      <xdr:col>2</xdr:col>
      <xdr:colOff>1713865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2</xdr:col>
      <xdr:colOff>1787525</xdr:colOff>
      <xdr:row>0</xdr:row>
      <xdr:rowOff>266700</xdr:rowOff>
    </xdr:from>
    <xdr:to>
      <xdr:col>3</xdr:col>
      <xdr:colOff>312420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3</xdr:col>
      <xdr:colOff>386080</xdr:colOff>
      <xdr:row>0</xdr:row>
      <xdr:rowOff>266700</xdr:rowOff>
    </xdr:from>
    <xdr:to>
      <xdr:col>4</xdr:col>
      <xdr:colOff>568325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4</xdr:col>
      <xdr:colOff>641985</xdr:colOff>
      <xdr:row>0</xdr:row>
      <xdr:rowOff>266700</xdr:rowOff>
    </xdr:from>
    <xdr:to>
      <xdr:col>5</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6</xdr:col>
      <xdr:colOff>658495</xdr:colOff>
      <xdr:row>0</xdr:row>
      <xdr:rowOff>266700</xdr:rowOff>
    </xdr:from>
    <xdr:to>
      <xdr:col>7</xdr:col>
      <xdr:colOff>593090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5</xdr:col>
      <xdr:colOff>650240</xdr:colOff>
      <xdr:row>0</xdr:row>
      <xdr:rowOff>266700</xdr:rowOff>
    </xdr:from>
    <xdr:to>
      <xdr:col>6</xdr:col>
      <xdr:colOff>584835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666750</xdr:colOff>
      <xdr:row>0</xdr:row>
      <xdr:rowOff>266700</xdr:rowOff>
    </xdr:from>
    <xdr:to>
      <xdr:col>8</xdr:col>
      <xdr:colOff>601345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675005</xdr:colOff>
      <xdr:row>0</xdr:row>
      <xdr:rowOff>266700</xdr:rowOff>
    </xdr:from>
    <xdr:to>
      <xdr:col>9</xdr:col>
      <xdr:colOff>609600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683260</xdr:colOff>
      <xdr:row>0</xdr:row>
      <xdr:rowOff>266700</xdr:rowOff>
    </xdr:from>
    <xdr:to>
      <xdr:col>11</xdr:col>
      <xdr:colOff>179705</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509270</xdr:colOff>
      <xdr:row>0</xdr:row>
      <xdr:rowOff>266700</xdr:rowOff>
    </xdr:from>
    <xdr:to>
      <xdr:col>14</xdr:col>
      <xdr:colOff>5715</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14</xdr:col>
      <xdr:colOff>79375</xdr:colOff>
      <xdr:row>0</xdr:row>
      <xdr:rowOff>266700</xdr:rowOff>
    </xdr:from>
    <xdr:to>
      <xdr:col>15</xdr:col>
      <xdr:colOff>261620</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11</xdr:col>
      <xdr:colOff>253365</xdr:colOff>
      <xdr:row>0</xdr:row>
      <xdr:rowOff>266700</xdr:rowOff>
    </xdr:from>
    <xdr:to>
      <xdr:col>12</xdr:col>
      <xdr:colOff>435610</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15</xdr:col>
      <xdr:colOff>333375</xdr:colOff>
      <xdr:row>0</xdr:row>
      <xdr:rowOff>263525</xdr:rowOff>
    </xdr:from>
    <xdr:to>
      <xdr:col>16</xdr:col>
      <xdr:colOff>515620</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3">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3">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3">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3">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347980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7</xdr:col>
      <xdr:colOff>576580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8</xdr:col>
      <xdr:colOff>20320</xdr:colOff>
      <xdr:row>0</xdr:row>
      <xdr:rowOff>266700</xdr:rowOff>
    </xdr:from>
    <xdr:to>
      <xdr:col>9</xdr:col>
      <xdr:colOff>202565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7</xdr:col>
      <xdr:colOff>650240</xdr:colOff>
      <xdr:row>0</xdr:row>
      <xdr:rowOff>266700</xdr:rowOff>
    </xdr:from>
    <xdr:to>
      <xdr:col>7</xdr:col>
      <xdr:colOff>1518285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9</xdr:col>
      <xdr:colOff>276225</xdr:colOff>
      <xdr:row>0</xdr:row>
      <xdr:rowOff>266700</xdr:rowOff>
    </xdr:from>
    <xdr:to>
      <xdr:col>10</xdr:col>
      <xdr:colOff>458470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10</xdr:col>
      <xdr:colOff>532130</xdr:colOff>
      <xdr:row>0</xdr:row>
      <xdr:rowOff>266700</xdr:rowOff>
    </xdr:from>
    <xdr:to>
      <xdr:col>12</xdr:col>
      <xdr:colOff>28575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102235</xdr:colOff>
      <xdr:row>0</xdr:row>
      <xdr:rowOff>266700</xdr:rowOff>
    </xdr:from>
    <xdr:to>
      <xdr:col>13</xdr:col>
      <xdr:colOff>284480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14</xdr:col>
      <xdr:colOff>614045</xdr:colOff>
      <xdr:row>0</xdr:row>
      <xdr:rowOff>266700</xdr:rowOff>
    </xdr:from>
    <xdr:to>
      <xdr:col>16</xdr:col>
      <xdr:colOff>110490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184150</xdr:colOff>
      <xdr:row>0</xdr:row>
      <xdr:rowOff>266700</xdr:rowOff>
    </xdr:from>
    <xdr:to>
      <xdr:col>17</xdr:col>
      <xdr:colOff>366395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358140</xdr:colOff>
      <xdr:row>0</xdr:row>
      <xdr:rowOff>266700</xdr:rowOff>
    </xdr:from>
    <xdr:to>
      <xdr:col>14</xdr:col>
      <xdr:colOff>540385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438150</xdr:colOff>
      <xdr:row>0</xdr:row>
      <xdr:rowOff>263525</xdr:rowOff>
    </xdr:from>
    <xdr:to>
      <xdr:col>18</xdr:col>
      <xdr:colOff>620395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5">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5">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641350</xdr:colOff>
      <xdr:row>2</xdr:row>
      <xdr:rowOff>0</xdr:rowOff>
    </xdr:from>
    <xdr:to>
      <xdr:col>4</xdr:col>
      <xdr:colOff>1510665</xdr:colOff>
      <xdr:row>2</xdr:row>
      <xdr:rowOff>314325</xdr:rowOff>
    </xdr:to>
    <xdr:sp macro="[0]!delete_25">
      <xdr:nvSpPr>
        <xdr:cNvPr id="4" name="剪去对角的矩形 3"/>
        <xdr:cNvSpPr/>
      </xdr:nvSpPr>
      <xdr:spPr>
        <a:xfrm>
          <a:off x="29178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180975</xdr:colOff>
      <xdr:row>2</xdr:row>
      <xdr:rowOff>0</xdr:rowOff>
    </xdr:from>
    <xdr:to>
      <xdr:col>5</xdr:col>
      <xdr:colOff>1050290</xdr:colOff>
      <xdr:row>2</xdr:row>
      <xdr:rowOff>314325</xdr:rowOff>
    </xdr:to>
    <xdr:sp macro="[0]!CX_25">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8">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4</xdr:col>
      <xdr:colOff>227965</xdr:colOff>
      <xdr:row>2</xdr:row>
      <xdr:rowOff>314325</xdr:rowOff>
    </xdr:to>
    <xdr:sp macro="[0]!save_28">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590550</xdr:colOff>
      <xdr:row>2</xdr:row>
      <xdr:rowOff>0</xdr:rowOff>
    </xdr:from>
    <xdr:to>
      <xdr:col>4</xdr:col>
      <xdr:colOff>1459865</xdr:colOff>
      <xdr:row>2</xdr:row>
      <xdr:rowOff>314325</xdr:rowOff>
    </xdr:to>
    <xdr:sp macro="[0]!jisuan_28">
      <xdr:nvSpPr>
        <xdr:cNvPr id="5" name="剪去对角的矩形 4"/>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计算</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25</xdr:col>
      <xdr:colOff>424180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4</xdr:col>
      <xdr:colOff>249555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4</xdr:col>
      <xdr:colOff>323215</xdr:colOff>
      <xdr:row>0</xdr:row>
      <xdr:rowOff>266700</xdr:rowOff>
    </xdr:from>
    <xdr:to>
      <xdr:col>4</xdr:col>
      <xdr:colOff>1191260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1264920</xdr:colOff>
      <xdr:row>0</xdr:row>
      <xdr:rowOff>266700</xdr:rowOff>
    </xdr:from>
    <xdr:to>
      <xdr:col>5</xdr:col>
      <xdr:colOff>389890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463550</xdr:colOff>
      <xdr:row>0</xdr:row>
      <xdr:rowOff>266700</xdr:rowOff>
    </xdr:from>
    <xdr:to>
      <xdr:col>5</xdr:col>
      <xdr:colOff>1331595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5</xdr:col>
      <xdr:colOff>1405255</xdr:colOff>
      <xdr:row>0</xdr:row>
      <xdr:rowOff>266700</xdr:rowOff>
    </xdr:from>
    <xdr:to>
      <xdr:col>6</xdr:col>
      <xdr:colOff>596900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6</xdr:col>
      <xdr:colOff>670560</xdr:colOff>
      <xdr:row>0</xdr:row>
      <xdr:rowOff>266700</xdr:rowOff>
    </xdr:from>
    <xdr:to>
      <xdr:col>6</xdr:col>
      <xdr:colOff>1538605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877570</xdr:colOff>
      <xdr:row>0</xdr:row>
      <xdr:rowOff>266700</xdr:rowOff>
    </xdr:from>
    <xdr:to>
      <xdr:col>8</xdr:col>
      <xdr:colOff>69215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1612265</xdr:colOff>
      <xdr:row>0</xdr:row>
      <xdr:rowOff>266700</xdr:rowOff>
    </xdr:from>
    <xdr:to>
      <xdr:col>7</xdr:col>
      <xdr:colOff>803910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8</xdr:col>
      <xdr:colOff>142875</xdr:colOff>
      <xdr:row>0</xdr:row>
      <xdr:rowOff>266700</xdr:rowOff>
    </xdr:from>
    <xdr:to>
      <xdr:col>9</xdr:col>
      <xdr:colOff>48895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9</xdr:col>
      <xdr:colOff>122555</xdr:colOff>
      <xdr:row>0</xdr:row>
      <xdr:rowOff>266700</xdr:rowOff>
    </xdr:from>
    <xdr:to>
      <xdr:col>9</xdr:col>
      <xdr:colOff>990600</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1064260</xdr:colOff>
      <xdr:row>0</xdr:row>
      <xdr:rowOff>266700</xdr:rowOff>
    </xdr:from>
    <xdr:to>
      <xdr:col>10</xdr:col>
      <xdr:colOff>360680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12</xdr:col>
      <xdr:colOff>4445</xdr:colOff>
      <xdr:row>0</xdr:row>
      <xdr:rowOff>266700</xdr:rowOff>
    </xdr:from>
    <xdr:to>
      <xdr:col>13</xdr:col>
      <xdr:colOff>186690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13</xdr:col>
      <xdr:colOff>260350</xdr:colOff>
      <xdr:row>0</xdr:row>
      <xdr:rowOff>266700</xdr:rowOff>
    </xdr:from>
    <xdr:to>
      <xdr:col>14</xdr:col>
      <xdr:colOff>442595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434340</xdr:colOff>
      <xdr:row>0</xdr:row>
      <xdr:rowOff>266700</xdr:rowOff>
    </xdr:from>
    <xdr:to>
      <xdr:col>11</xdr:col>
      <xdr:colOff>616585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514350</xdr:colOff>
      <xdr:row>0</xdr:row>
      <xdr:rowOff>263525</xdr:rowOff>
    </xdr:from>
    <xdr:to>
      <xdr:col>16</xdr:col>
      <xdr:colOff>10795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447675</xdr:colOff>
      <xdr:row>1</xdr:row>
      <xdr:rowOff>460375</xdr:rowOff>
    </xdr:from>
    <xdr:to>
      <xdr:col>3</xdr:col>
      <xdr:colOff>354965</xdr:colOff>
      <xdr:row>2</xdr:row>
      <xdr:rowOff>266700</xdr:rowOff>
    </xdr:to>
    <xdr:sp macro="[0]!tongji_30">
      <xdr:nvSpPr>
        <xdr:cNvPr id="2" name="剪去对角的矩形 1"/>
        <xdr:cNvSpPr/>
      </xdr:nvSpPr>
      <xdr:spPr>
        <a:xfrm>
          <a:off x="1762125" y="115570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统计</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128905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343535</xdr:colOff>
      <xdr:row>0</xdr:row>
      <xdr:rowOff>266700</xdr:rowOff>
    </xdr:from>
    <xdr:to>
      <xdr:col>3</xdr:col>
      <xdr:colOff>249555</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323215</xdr:colOff>
      <xdr:row>0</xdr:row>
      <xdr:rowOff>266700</xdr:rowOff>
    </xdr:from>
    <xdr:to>
      <xdr:col>4</xdr:col>
      <xdr:colOff>505460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579120</xdr:colOff>
      <xdr:row>0</xdr:row>
      <xdr:rowOff>266700</xdr:rowOff>
    </xdr:from>
    <xdr:to>
      <xdr:col>6</xdr:col>
      <xdr:colOff>75565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149225</xdr:colOff>
      <xdr:row>0</xdr:row>
      <xdr:rowOff>266700</xdr:rowOff>
    </xdr:from>
    <xdr:to>
      <xdr:col>7</xdr:col>
      <xdr:colOff>331470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405130</xdr:colOff>
      <xdr:row>0</xdr:row>
      <xdr:rowOff>266700</xdr:rowOff>
    </xdr:from>
    <xdr:to>
      <xdr:col>8</xdr:col>
      <xdr:colOff>587375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661035</xdr:colOff>
      <xdr:row>0</xdr:row>
      <xdr:rowOff>266700</xdr:rowOff>
    </xdr:from>
    <xdr:to>
      <xdr:col>10</xdr:col>
      <xdr:colOff>157480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487045</xdr:colOff>
      <xdr:row>0</xdr:row>
      <xdr:rowOff>266700</xdr:rowOff>
    </xdr:from>
    <xdr:to>
      <xdr:col>12</xdr:col>
      <xdr:colOff>669290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231140</xdr:colOff>
      <xdr:row>0</xdr:row>
      <xdr:rowOff>266700</xdr:rowOff>
    </xdr:from>
    <xdr:to>
      <xdr:col>11</xdr:col>
      <xdr:colOff>413385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13</xdr:col>
      <xdr:colOff>57150</xdr:colOff>
      <xdr:row>0</xdr:row>
      <xdr:rowOff>266700</xdr:rowOff>
    </xdr:from>
    <xdr:to>
      <xdr:col>14</xdr:col>
      <xdr:colOff>239395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313055</xdr:colOff>
      <xdr:row>0</xdr:row>
      <xdr:rowOff>266700</xdr:rowOff>
    </xdr:from>
    <xdr:to>
      <xdr:col>15</xdr:col>
      <xdr:colOff>495300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568960</xdr:colOff>
      <xdr:row>0</xdr:row>
      <xdr:rowOff>266700</xdr:rowOff>
    </xdr:from>
    <xdr:to>
      <xdr:col>17</xdr:col>
      <xdr:colOff>65405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394970</xdr:colOff>
      <xdr:row>0</xdr:row>
      <xdr:rowOff>266700</xdr:rowOff>
    </xdr:from>
    <xdr:to>
      <xdr:col>19</xdr:col>
      <xdr:colOff>577215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650875</xdr:colOff>
      <xdr:row>0</xdr:row>
      <xdr:rowOff>266700</xdr:rowOff>
    </xdr:from>
    <xdr:to>
      <xdr:col>21</xdr:col>
      <xdr:colOff>147320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139065</xdr:colOff>
      <xdr:row>0</xdr:row>
      <xdr:rowOff>266700</xdr:rowOff>
    </xdr:from>
    <xdr:to>
      <xdr:col>18</xdr:col>
      <xdr:colOff>321310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219075</xdr:colOff>
      <xdr:row>0</xdr:row>
      <xdr:rowOff>263525</xdr:rowOff>
    </xdr:from>
    <xdr:to>
      <xdr:col>22</xdr:col>
      <xdr:colOff>401320</xdr:colOff>
      <xdr:row>1</xdr:row>
      <xdr:rowOff>6350</xdr:rowOff>
    </xdr:to>
    <xdr:sp macro="[0]!goto_16">
      <xdr:nvSpPr>
        <xdr:cNvPr id="21" name="同侧圆角矩形 20">
          <a:hlinkClick xmlns:r="http://schemas.openxmlformats.org/officeDocument/2006/relationships" r:id="rId3"/>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xdr:from>
      <xdr:col>5</xdr:col>
      <xdr:colOff>130175</xdr:colOff>
      <xdr:row>4</xdr:row>
      <xdr:rowOff>47625</xdr:rowOff>
    </xdr:from>
    <xdr:to>
      <xdr:col>12</xdr:col>
      <xdr:colOff>155575</xdr:colOff>
      <xdr:row>15</xdr:row>
      <xdr:rowOff>53975</xdr:rowOff>
    </xdr:to>
    <xdr:graphicFrame>
      <xdr:nvGraphicFramePr>
        <xdr:cNvPr id="22" name="图表 21"/>
        <xdr:cNvGraphicFramePr/>
      </xdr:nvGraphicFramePr>
      <xdr:xfrm>
        <a:off x="3778250" y="2012950"/>
        <a:ext cx="4826000" cy="280035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317500</xdr:colOff>
      <xdr:row>4</xdr:row>
      <xdr:rowOff>71755</xdr:rowOff>
    </xdr:from>
    <xdr:to>
      <xdr:col>19</xdr:col>
      <xdr:colOff>342900</xdr:colOff>
      <xdr:row>15</xdr:row>
      <xdr:rowOff>90805</xdr:rowOff>
    </xdr:to>
    <xdr:graphicFrame>
      <xdr:nvGraphicFramePr>
        <xdr:cNvPr id="23" name="图表 22"/>
        <xdr:cNvGraphicFramePr/>
      </xdr:nvGraphicFramePr>
      <xdr:xfrm>
        <a:off x="8766175" y="2037080"/>
        <a:ext cx="4826000" cy="281305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2</xdr:col>
      <xdr:colOff>869315</xdr:colOff>
      <xdr:row>2</xdr:row>
      <xdr:rowOff>314325</xdr:rowOff>
    </xdr:to>
    <xdr:sp macro="[0]!select_29">
      <xdr:nvSpPr>
        <xdr:cNvPr id="2" name="剪去对角的矩形 1"/>
        <xdr:cNvSpPr/>
      </xdr:nvSpPr>
      <xdr:spPr>
        <a:xfrm>
          <a:off x="3524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刷新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320675</xdr:colOff>
      <xdr:row>2</xdr:row>
      <xdr:rowOff>0</xdr:rowOff>
    </xdr:from>
    <xdr:to>
      <xdr:col>3</xdr:col>
      <xdr:colOff>1189990</xdr:colOff>
      <xdr:row>2</xdr:row>
      <xdr:rowOff>314325</xdr:rowOff>
    </xdr:to>
    <xdr:sp macro="[0]!save_29">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保存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1552575</xdr:colOff>
      <xdr:row>2</xdr:row>
      <xdr:rowOff>0</xdr:rowOff>
    </xdr:from>
    <xdr:to>
      <xdr:col>4</xdr:col>
      <xdr:colOff>678815</xdr:colOff>
      <xdr:row>2</xdr:row>
      <xdr:rowOff>314325</xdr:rowOff>
    </xdr:to>
    <xdr:sp macro="[0]!delete_29">
      <xdr:nvSpPr>
        <xdr:cNvPr id="4" name="剪去对角的矩形 3"/>
        <xdr:cNvSpPr/>
      </xdr:nvSpPr>
      <xdr:spPr>
        <a:xfrm>
          <a:off x="28670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32</xdr:col>
      <xdr:colOff>33655</xdr:colOff>
      <xdr:row>0</xdr:row>
      <xdr:rowOff>689610</xdr:rowOff>
    </xdr:to>
    <xdr:sp>
      <xdr:nvSpPr>
        <xdr:cNvPr id="5" name="矩形 4"/>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3</xdr:col>
      <xdr:colOff>343535</xdr:colOff>
      <xdr:row>0</xdr:row>
      <xdr:rowOff>266700</xdr:rowOff>
    </xdr:from>
    <xdr:to>
      <xdr:col>3</xdr:col>
      <xdr:colOff>1211580</xdr:colOff>
      <xdr:row>1</xdr:row>
      <xdr:rowOff>9525</xdr:rowOff>
    </xdr:to>
    <xdr:sp macro="[0]!goto_01">
      <xdr:nvSpPr>
        <xdr:cNvPr id="6" name="同侧圆角矩形 5"/>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3</xdr:col>
      <xdr:colOff>341630</xdr:colOff>
      <xdr:row>0</xdr:row>
      <xdr:rowOff>558165</xdr:rowOff>
    </xdr:to>
    <xdr:sp>
      <xdr:nvSpPr>
        <xdr:cNvPr id="7" name="文本框 6"/>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1285240</xdr:colOff>
      <xdr:row>0</xdr:row>
      <xdr:rowOff>266700</xdr:rowOff>
    </xdr:from>
    <xdr:to>
      <xdr:col>4</xdr:col>
      <xdr:colOff>410210</xdr:colOff>
      <xdr:row>1</xdr:row>
      <xdr:rowOff>9525</xdr:rowOff>
    </xdr:to>
    <xdr:sp macro="[0]!goto_07">
      <xdr:nvSpPr>
        <xdr:cNvPr id="8" name="同侧圆角矩形 7"/>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483870</xdr:colOff>
      <xdr:row>0</xdr:row>
      <xdr:rowOff>266700</xdr:rowOff>
    </xdr:from>
    <xdr:to>
      <xdr:col>5</xdr:col>
      <xdr:colOff>666115</xdr:colOff>
      <xdr:row>1</xdr:row>
      <xdr:rowOff>9525</xdr:rowOff>
    </xdr:to>
    <xdr:sp macro="[0]!goto_04">
      <xdr:nvSpPr>
        <xdr:cNvPr id="9" name="同侧圆角矩形 8"/>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6</xdr:col>
      <xdr:colOff>53975</xdr:colOff>
      <xdr:row>0</xdr:row>
      <xdr:rowOff>266700</xdr:rowOff>
    </xdr:from>
    <xdr:to>
      <xdr:col>7</xdr:col>
      <xdr:colOff>236220</xdr:colOff>
      <xdr:row>1</xdr:row>
      <xdr:rowOff>9525</xdr:rowOff>
    </xdr:to>
    <xdr:sp macro="[0]!goto_10">
      <xdr:nvSpPr>
        <xdr:cNvPr id="10" name="同侧圆角矩形 9"/>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7</xdr:col>
      <xdr:colOff>309880</xdr:colOff>
      <xdr:row>0</xdr:row>
      <xdr:rowOff>266700</xdr:rowOff>
    </xdr:from>
    <xdr:to>
      <xdr:col>8</xdr:col>
      <xdr:colOff>492125</xdr:colOff>
      <xdr:row>1</xdr:row>
      <xdr:rowOff>9525</xdr:rowOff>
    </xdr:to>
    <xdr:sp macro="[0]!goto_08">
      <xdr:nvSpPr>
        <xdr:cNvPr id="11" name="同侧圆角矩形 10"/>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8</xdr:col>
      <xdr:colOff>565785</xdr:colOff>
      <xdr:row>0</xdr:row>
      <xdr:rowOff>266700</xdr:rowOff>
    </xdr:from>
    <xdr:to>
      <xdr:col>10</xdr:col>
      <xdr:colOff>62230</xdr:colOff>
      <xdr:row>1</xdr:row>
      <xdr:rowOff>9525</xdr:rowOff>
    </xdr:to>
    <xdr:sp macro="[0]!goto_06">
      <xdr:nvSpPr>
        <xdr:cNvPr id="12" name="同侧圆角矩形 11"/>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11</xdr:col>
      <xdr:colOff>391795</xdr:colOff>
      <xdr:row>0</xdr:row>
      <xdr:rowOff>266700</xdr:rowOff>
    </xdr:from>
    <xdr:to>
      <xdr:col>12</xdr:col>
      <xdr:colOff>574040</xdr:colOff>
      <xdr:row>1</xdr:row>
      <xdr:rowOff>9525</xdr:rowOff>
    </xdr:to>
    <xdr:sp macro="[0]!goto_12">
      <xdr:nvSpPr>
        <xdr:cNvPr id="13" name="同侧圆角矩形 12"/>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10</xdr:col>
      <xdr:colOff>135890</xdr:colOff>
      <xdr:row>0</xdr:row>
      <xdr:rowOff>266700</xdr:rowOff>
    </xdr:from>
    <xdr:to>
      <xdr:col>11</xdr:col>
      <xdr:colOff>318135</xdr:colOff>
      <xdr:row>1</xdr:row>
      <xdr:rowOff>9525</xdr:rowOff>
    </xdr:to>
    <xdr:sp macro="[0]!goto_11">
      <xdr:nvSpPr>
        <xdr:cNvPr id="14" name="同侧圆角矩形 13"/>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12</xdr:col>
      <xdr:colOff>647700</xdr:colOff>
      <xdr:row>0</xdr:row>
      <xdr:rowOff>266700</xdr:rowOff>
    </xdr:from>
    <xdr:to>
      <xdr:col>14</xdr:col>
      <xdr:colOff>144145</xdr:colOff>
      <xdr:row>1</xdr:row>
      <xdr:rowOff>9525</xdr:rowOff>
    </xdr:to>
    <xdr:sp macro="[0]!goto_09">
      <xdr:nvSpPr>
        <xdr:cNvPr id="15" name="同侧圆角矩形 14"/>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14</xdr:col>
      <xdr:colOff>217805</xdr:colOff>
      <xdr:row>0</xdr:row>
      <xdr:rowOff>266700</xdr:rowOff>
    </xdr:from>
    <xdr:to>
      <xdr:col>15</xdr:col>
      <xdr:colOff>400050</xdr:colOff>
      <xdr:row>1</xdr:row>
      <xdr:rowOff>9525</xdr:rowOff>
    </xdr:to>
    <xdr:sp macro="[0]!goto_13">
      <xdr:nvSpPr>
        <xdr:cNvPr id="16" name="同侧圆角矩形 15"/>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15</xdr:col>
      <xdr:colOff>473710</xdr:colOff>
      <xdr:row>0</xdr:row>
      <xdr:rowOff>266700</xdr:rowOff>
    </xdr:from>
    <xdr:to>
      <xdr:col>16</xdr:col>
      <xdr:colOff>655955</xdr:colOff>
      <xdr:row>1</xdr:row>
      <xdr:rowOff>9525</xdr:rowOff>
    </xdr:to>
    <xdr:sp macro="[0]!goto_14">
      <xdr:nvSpPr>
        <xdr:cNvPr id="17" name="同侧圆角矩形 16"/>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18</xdr:col>
      <xdr:colOff>299720</xdr:colOff>
      <xdr:row>0</xdr:row>
      <xdr:rowOff>266700</xdr:rowOff>
    </xdr:from>
    <xdr:to>
      <xdr:col>19</xdr:col>
      <xdr:colOff>481965</xdr:colOff>
      <xdr:row>1</xdr:row>
      <xdr:rowOff>9525</xdr:rowOff>
    </xdr:to>
    <xdr:sp macro="[0]!goto_16">
      <xdr:nvSpPr>
        <xdr:cNvPr id="18" name="同侧圆角矩形 17"/>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19</xdr:col>
      <xdr:colOff>555625</xdr:colOff>
      <xdr:row>0</xdr:row>
      <xdr:rowOff>266700</xdr:rowOff>
    </xdr:from>
    <xdr:to>
      <xdr:col>21</xdr:col>
      <xdr:colOff>52070</xdr:colOff>
      <xdr:row>1</xdr:row>
      <xdr:rowOff>9525</xdr:rowOff>
    </xdr:to>
    <xdr:sp macro="[0]!goto_17">
      <xdr:nvSpPr>
        <xdr:cNvPr id="19" name="同侧圆角矩形 18"/>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17</xdr:col>
      <xdr:colOff>43815</xdr:colOff>
      <xdr:row>0</xdr:row>
      <xdr:rowOff>266700</xdr:rowOff>
    </xdr:from>
    <xdr:to>
      <xdr:col>18</xdr:col>
      <xdr:colOff>226060</xdr:colOff>
      <xdr:row>1</xdr:row>
      <xdr:rowOff>9525</xdr:rowOff>
    </xdr:to>
    <xdr:sp macro="[0]!goto_15">
      <xdr:nvSpPr>
        <xdr:cNvPr id="20" name="同侧圆角矩形 19"/>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21</xdr:col>
      <xdr:colOff>123825</xdr:colOff>
      <xdr:row>0</xdr:row>
      <xdr:rowOff>263525</xdr:rowOff>
    </xdr:from>
    <xdr:to>
      <xdr:col>22</xdr:col>
      <xdr:colOff>306070</xdr:colOff>
      <xdr:row>1</xdr:row>
      <xdr:rowOff>6350</xdr:rowOff>
    </xdr:to>
    <xdr:sp macro="[0]!goto_16">
      <xdr:nvSpPr>
        <xdr:cNvPr id="21" name="同侧圆角矩形 20">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2</xdr:row>
      <xdr:rowOff>0</xdr:rowOff>
    </xdr:from>
    <xdr:to>
      <xdr:col>1</xdr:col>
      <xdr:colOff>1030605</xdr:colOff>
      <xdr:row>2</xdr:row>
      <xdr:rowOff>314325</xdr:rowOff>
    </xdr:to>
    <xdr:sp macro="[0]!qiandao_26">
      <xdr:nvSpPr>
        <xdr:cNvPr id="2" name="剪去对角的矩形 1"/>
        <xdr:cNvSpPr/>
      </xdr:nvSpPr>
      <xdr:spPr>
        <a:xfrm>
          <a:off x="352425" y="1203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获取签到信息</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1</xdr:col>
      <xdr:colOff>1282700</xdr:colOff>
      <xdr:row>2</xdr:row>
      <xdr:rowOff>0</xdr:rowOff>
    </xdr:from>
    <xdr:to>
      <xdr:col>2</xdr:col>
      <xdr:colOff>523240</xdr:colOff>
      <xdr:row>2</xdr:row>
      <xdr:rowOff>314325</xdr:rowOff>
    </xdr:to>
    <xdr:sp macro="[0]!tijiao_26">
      <xdr:nvSpPr>
        <xdr:cNvPr id="3" name="剪去对角的矩形 2"/>
        <xdr:cNvSpPr/>
      </xdr:nvSpPr>
      <xdr:spPr>
        <a:xfrm>
          <a:off x="16351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提交申请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2</xdr:col>
      <xdr:colOff>746125</xdr:colOff>
      <xdr:row>2</xdr:row>
      <xdr:rowOff>0</xdr:rowOff>
    </xdr:from>
    <xdr:to>
      <xdr:col>3</xdr:col>
      <xdr:colOff>300990</xdr:colOff>
      <xdr:row>2</xdr:row>
      <xdr:rowOff>314325</xdr:rowOff>
    </xdr:to>
    <xdr:sp macro="[0]!chaxun_26">
      <xdr:nvSpPr>
        <xdr:cNvPr id="4" name="剪去对角的矩形 3"/>
        <xdr:cNvSpPr/>
      </xdr:nvSpPr>
      <xdr:spPr>
        <a:xfrm>
          <a:off x="2727325" y="1203325"/>
          <a:ext cx="118364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查询请假申请</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3</xdr:col>
      <xdr:colOff>590550</xdr:colOff>
      <xdr:row>2</xdr:row>
      <xdr:rowOff>0</xdr:rowOff>
    </xdr:from>
    <xdr:to>
      <xdr:col>4</xdr:col>
      <xdr:colOff>774065</xdr:colOff>
      <xdr:row>2</xdr:row>
      <xdr:rowOff>314325</xdr:rowOff>
    </xdr:to>
    <xdr:sp macro="[0]!qingkong_26">
      <xdr:nvSpPr>
        <xdr:cNvPr id="5" name="剪去对角的矩形 4"/>
        <xdr:cNvSpPr/>
      </xdr:nvSpPr>
      <xdr:spPr>
        <a:xfrm>
          <a:off x="4200525" y="120332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24</xdr:col>
      <xdr:colOff>614680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2</xdr:col>
      <xdr:colOff>544830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2</xdr:col>
      <xdr:colOff>618490</xdr:colOff>
      <xdr:row>0</xdr:row>
      <xdr:rowOff>266700</xdr:rowOff>
    </xdr:from>
    <xdr:to>
      <xdr:col>2</xdr:col>
      <xdr:colOff>1486535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2</xdr:col>
      <xdr:colOff>1560195</xdr:colOff>
      <xdr:row>0</xdr:row>
      <xdr:rowOff>266700</xdr:rowOff>
    </xdr:from>
    <xdr:to>
      <xdr:col>4</xdr:col>
      <xdr:colOff>113665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4</xdr:col>
      <xdr:colOff>187325</xdr:colOff>
      <xdr:row>0</xdr:row>
      <xdr:rowOff>266700</xdr:rowOff>
    </xdr:from>
    <xdr:to>
      <xdr:col>4</xdr:col>
      <xdr:colOff>1055370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4</xdr:col>
      <xdr:colOff>1129030</xdr:colOff>
      <xdr:row>0</xdr:row>
      <xdr:rowOff>266700</xdr:rowOff>
    </xdr:from>
    <xdr:to>
      <xdr:col>5</xdr:col>
      <xdr:colOff>635000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5</xdr:col>
      <xdr:colOff>708660</xdr:colOff>
      <xdr:row>0</xdr:row>
      <xdr:rowOff>266700</xdr:rowOff>
    </xdr:from>
    <xdr:to>
      <xdr:col>6</xdr:col>
      <xdr:colOff>214630</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7</xdr:col>
      <xdr:colOff>258445</xdr:colOff>
      <xdr:row>0</xdr:row>
      <xdr:rowOff>266700</xdr:rowOff>
    </xdr:from>
    <xdr:to>
      <xdr:col>7</xdr:col>
      <xdr:colOff>1126490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6</xdr:col>
      <xdr:colOff>288290</xdr:colOff>
      <xdr:row>0</xdr:row>
      <xdr:rowOff>266700</xdr:rowOff>
    </xdr:from>
    <xdr:to>
      <xdr:col>7</xdr:col>
      <xdr:colOff>184785</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7</xdr:col>
      <xdr:colOff>1200150</xdr:colOff>
      <xdr:row>0</xdr:row>
      <xdr:rowOff>266700</xdr:rowOff>
    </xdr:from>
    <xdr:to>
      <xdr:col>8</xdr:col>
      <xdr:colOff>496570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8</xdr:col>
      <xdr:colOff>570230</xdr:colOff>
      <xdr:row>0</xdr:row>
      <xdr:rowOff>266700</xdr:rowOff>
    </xdr:from>
    <xdr:to>
      <xdr:col>9</xdr:col>
      <xdr:colOff>466725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9</xdr:col>
      <xdr:colOff>540385</xdr:colOff>
      <xdr:row>0</xdr:row>
      <xdr:rowOff>266700</xdr:rowOff>
    </xdr:from>
    <xdr:to>
      <xdr:col>10</xdr:col>
      <xdr:colOff>436880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11</xdr:col>
      <xdr:colOff>480695</xdr:colOff>
      <xdr:row>0</xdr:row>
      <xdr:rowOff>266700</xdr:rowOff>
    </xdr:from>
    <xdr:to>
      <xdr:col>12</xdr:col>
      <xdr:colOff>377190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12</xdr:col>
      <xdr:colOff>450850</xdr:colOff>
      <xdr:row>0</xdr:row>
      <xdr:rowOff>266700</xdr:rowOff>
    </xdr:from>
    <xdr:to>
      <xdr:col>13</xdr:col>
      <xdr:colOff>633095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10</xdr:col>
      <xdr:colOff>510540</xdr:colOff>
      <xdr:row>0</xdr:row>
      <xdr:rowOff>266700</xdr:rowOff>
    </xdr:from>
    <xdr:to>
      <xdr:col>11</xdr:col>
      <xdr:colOff>407035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14</xdr:col>
      <xdr:colOff>19050</xdr:colOff>
      <xdr:row>0</xdr:row>
      <xdr:rowOff>263525</xdr:rowOff>
    </xdr:from>
    <xdr:to>
      <xdr:col>15</xdr:col>
      <xdr:colOff>201295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editAs="absolute">
    <xdr:from>
      <xdr:col>4</xdr:col>
      <xdr:colOff>123825</xdr:colOff>
      <xdr:row>1</xdr:row>
      <xdr:rowOff>127000</xdr:rowOff>
    </xdr:from>
    <xdr:to>
      <xdr:col>5</xdr:col>
      <xdr:colOff>182880</xdr:colOff>
      <xdr:row>1</xdr:row>
      <xdr:rowOff>441325</xdr:rowOff>
    </xdr:to>
    <xdr:sp macro="[0]!save_27">
      <xdr:nvSpPr>
        <xdr:cNvPr id="2" name="剪去对角的矩形 1"/>
        <xdr:cNvSpPr/>
      </xdr:nvSpPr>
      <xdr:spPr>
        <a:xfrm>
          <a:off x="3019425" y="822325"/>
          <a:ext cx="103060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添加工作</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5</xdr:col>
      <xdr:colOff>336550</xdr:colOff>
      <xdr:row>1</xdr:row>
      <xdr:rowOff>127000</xdr:rowOff>
    </xdr:from>
    <xdr:to>
      <xdr:col>6</xdr:col>
      <xdr:colOff>25400</xdr:colOff>
      <xdr:row>1</xdr:row>
      <xdr:rowOff>441325</xdr:rowOff>
    </xdr:to>
    <xdr:sp macro="[0]!update_27">
      <xdr:nvSpPr>
        <xdr:cNvPr id="4" name="剪去对角的矩形 3"/>
        <xdr:cNvSpPr/>
      </xdr:nvSpPr>
      <xdr:spPr>
        <a:xfrm>
          <a:off x="4203700" y="82232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修改</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7</xdr:col>
      <xdr:colOff>771525</xdr:colOff>
      <xdr:row>1</xdr:row>
      <xdr:rowOff>125095</xdr:rowOff>
    </xdr:from>
    <xdr:to>
      <xdr:col>8</xdr:col>
      <xdr:colOff>669290</xdr:colOff>
      <xdr:row>1</xdr:row>
      <xdr:rowOff>439420</xdr:rowOff>
    </xdr:to>
    <xdr:sp macro="[0]!qingkong_27">
      <xdr:nvSpPr>
        <xdr:cNvPr id="5" name="剪去对角的矩形 4"/>
        <xdr:cNvSpPr/>
      </xdr:nvSpPr>
      <xdr:spPr>
        <a:xfrm>
          <a:off x="6581775" y="820420"/>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清空</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0</xdr:rowOff>
    </xdr:from>
    <xdr:to>
      <xdr:col>28</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2</xdr:col>
      <xdr:colOff>1305560</xdr:colOff>
      <xdr:row>0</xdr:row>
      <xdr:rowOff>266700</xdr:rowOff>
    </xdr:from>
    <xdr:to>
      <xdr:col>3</xdr:col>
      <xdr:colOff>601980</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2</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3</xdr:col>
      <xdr:colOff>675640</xdr:colOff>
      <xdr:row>0</xdr:row>
      <xdr:rowOff>266700</xdr:rowOff>
    </xdr:from>
    <xdr:to>
      <xdr:col>4</xdr:col>
      <xdr:colOff>572135</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4</xdr:col>
      <xdr:colOff>645795</xdr:colOff>
      <xdr:row>0</xdr:row>
      <xdr:rowOff>266700</xdr:rowOff>
    </xdr:from>
    <xdr:to>
      <xdr:col>5</xdr:col>
      <xdr:colOff>542290</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5</xdr:col>
      <xdr:colOff>615950</xdr:colOff>
      <xdr:row>0</xdr:row>
      <xdr:rowOff>266700</xdr:rowOff>
    </xdr:from>
    <xdr:to>
      <xdr:col>6</xdr:col>
      <xdr:colOff>512445</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6</xdr:col>
      <xdr:colOff>586105</xdr:colOff>
      <xdr:row>0</xdr:row>
      <xdr:rowOff>266700</xdr:rowOff>
    </xdr:from>
    <xdr:to>
      <xdr:col>7</xdr:col>
      <xdr:colOff>482600</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7</xdr:col>
      <xdr:colOff>556260</xdr:colOff>
      <xdr:row>0</xdr:row>
      <xdr:rowOff>266700</xdr:rowOff>
    </xdr:from>
    <xdr:to>
      <xdr:col>8</xdr:col>
      <xdr:colOff>452755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9</xdr:col>
      <xdr:colOff>782320</xdr:colOff>
      <xdr:row>0</xdr:row>
      <xdr:rowOff>266700</xdr:rowOff>
    </xdr:from>
    <xdr:to>
      <xdr:col>10</xdr:col>
      <xdr:colOff>345440</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8</xdr:col>
      <xdr:colOff>526415</xdr:colOff>
      <xdr:row>0</xdr:row>
      <xdr:rowOff>266700</xdr:rowOff>
    </xdr:from>
    <xdr:to>
      <xdr:col>9</xdr:col>
      <xdr:colOff>708660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10</xdr:col>
      <xdr:colOff>419100</xdr:colOff>
      <xdr:row>0</xdr:row>
      <xdr:rowOff>266700</xdr:rowOff>
    </xdr:from>
    <xdr:to>
      <xdr:col>10</xdr:col>
      <xdr:colOff>1287145</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11</xdr:col>
      <xdr:colOff>55880</xdr:colOff>
      <xdr:row>0</xdr:row>
      <xdr:rowOff>266700</xdr:rowOff>
    </xdr:from>
    <xdr:to>
      <xdr:col>12</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12</xdr:col>
      <xdr:colOff>311785</xdr:colOff>
      <xdr:row>0</xdr:row>
      <xdr:rowOff>266700</xdr:rowOff>
    </xdr:from>
    <xdr:to>
      <xdr:col>13</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15</xdr:col>
      <xdr:colOff>137795</xdr:colOff>
      <xdr:row>0</xdr:row>
      <xdr:rowOff>266700</xdr:rowOff>
    </xdr:from>
    <xdr:to>
      <xdr:col>16</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16</xdr:col>
      <xdr:colOff>393700</xdr:colOff>
      <xdr:row>0</xdr:row>
      <xdr:rowOff>266700</xdr:rowOff>
    </xdr:from>
    <xdr:to>
      <xdr:col>17</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13</xdr:col>
      <xdr:colOff>567690</xdr:colOff>
      <xdr:row>0</xdr:row>
      <xdr:rowOff>266700</xdr:rowOff>
    </xdr:from>
    <xdr:to>
      <xdr:col>15</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17</xdr:col>
      <xdr:colOff>647700</xdr:colOff>
      <xdr:row>0</xdr:row>
      <xdr:rowOff>263525</xdr:rowOff>
    </xdr:from>
    <xdr:to>
      <xdr:col>19</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6</xdr:col>
      <xdr:colOff>930275</xdr:colOff>
      <xdr:row>1</xdr:row>
      <xdr:rowOff>125095</xdr:rowOff>
    </xdr:from>
    <xdr:to>
      <xdr:col>7</xdr:col>
      <xdr:colOff>619125</xdr:colOff>
      <xdr:row>1</xdr:row>
      <xdr:rowOff>439420</xdr:rowOff>
    </xdr:to>
    <xdr:sp macro="[0]!delete_27">
      <xdr:nvSpPr>
        <xdr:cNvPr id="23" name="剪去对角的矩形 22"/>
        <xdr:cNvSpPr/>
      </xdr:nvSpPr>
      <xdr:spPr>
        <a:xfrm>
          <a:off x="5768975" y="820420"/>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删除</a:t>
          </a:r>
          <a:endParaRPr lang="en-US" altLang="zh-CN" sz="1000" b="1">
            <a:latin typeface="微软雅黑" panose="020B0503020204020204" charset="-122"/>
            <a:ea typeface="微软雅黑" panose="020B0503020204020204" charset="-122"/>
          </a:endParaRPr>
        </a:p>
      </xdr:txBody>
    </xdr:sp>
    <xdr:clientData/>
  </xdr:twoCellAnchor>
  <xdr:twoCellAnchor editAs="absolute">
    <xdr:from>
      <xdr:col>6</xdr:col>
      <xdr:colOff>161925</xdr:colOff>
      <xdr:row>1</xdr:row>
      <xdr:rowOff>120650</xdr:rowOff>
    </xdr:from>
    <xdr:to>
      <xdr:col>6</xdr:col>
      <xdr:colOff>822325</xdr:colOff>
      <xdr:row>1</xdr:row>
      <xdr:rowOff>434975</xdr:rowOff>
    </xdr:to>
    <xdr:sp macro="[0]!select_27">
      <xdr:nvSpPr>
        <xdr:cNvPr id="24" name="剪去对角的矩形 23"/>
        <xdr:cNvSpPr/>
      </xdr:nvSpPr>
      <xdr:spPr>
        <a:xfrm>
          <a:off x="5000625" y="815975"/>
          <a:ext cx="660400"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查询</a:t>
          </a:r>
          <a:endParaRPr lang="en-US" altLang="zh-CN" sz="1000" b="1">
            <a:latin typeface="微软雅黑" panose="020B0503020204020204" charset="-122"/>
            <a:ea typeface="微软雅黑" panose="020B0503020204020204" charset="-122"/>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0</xdr:colOff>
      <xdr:row>0</xdr:row>
      <xdr:rowOff>0</xdr:rowOff>
    </xdr:from>
    <xdr:to>
      <xdr:col>23</xdr:col>
      <xdr:colOff>557530</xdr:colOff>
      <xdr:row>0</xdr:row>
      <xdr:rowOff>689610</xdr:rowOff>
    </xdr:to>
    <xdr:sp>
      <xdr:nvSpPr>
        <xdr:cNvPr id="6" name="矩形 5"/>
        <xdr:cNvSpPr>
          <a:spLocks noChangeAspect="1"/>
        </xdr:cNvSpPr>
      </xdr:nvSpPr>
      <xdr:spPr>
        <a:xfrm>
          <a:off x="0" y="0"/>
          <a:ext cx="22293580" cy="689610"/>
        </a:xfrm>
        <a:prstGeom prst="rect">
          <a:avLst/>
        </a:prstGeom>
        <a:gradFill>
          <a:gsLst>
            <a:gs pos="0">
              <a:schemeClr val="bg1">
                <a:lumMod val="85000"/>
              </a:schemeClr>
            </a:gs>
            <a:gs pos="55000">
              <a:schemeClr val="bg1">
                <a:lumMod val="75000"/>
              </a:schemeClr>
            </a:gs>
          </a:gsLst>
          <a:lin ang="5400000" scaled="0"/>
        </a:gradFill>
      </xdr:spPr>
      <xdr:style>
        <a:lnRef idx="0">
          <a:schemeClr val="dk1"/>
        </a:lnRef>
        <a:fillRef idx="3">
          <a:schemeClr val="dk1"/>
        </a:fillRef>
        <a:effectRef idx="3">
          <a:schemeClr val="dk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l" defTabSz="914400" rtl="0" eaLnBrk="1" latinLnBrk="0" hangingPunct="1"/>
          <a:endParaRPr lang="zh-CN" altLang="en-US" sz="1100">
            <a:solidFill>
              <a:schemeClr val="lt1"/>
            </a:solidFill>
            <a:latin typeface="+mn-lt"/>
            <a:ea typeface="+mn-ea"/>
            <a:cs typeface="+mn-cs"/>
          </a:endParaRPr>
        </a:p>
      </xdr:txBody>
    </xdr:sp>
    <xdr:clientData/>
  </xdr:twoCellAnchor>
  <xdr:twoCellAnchor editAs="absolute">
    <xdr:from>
      <xdr:col>1</xdr:col>
      <xdr:colOff>1305560</xdr:colOff>
      <xdr:row>0</xdr:row>
      <xdr:rowOff>266700</xdr:rowOff>
    </xdr:from>
    <xdr:to>
      <xdr:col>1</xdr:col>
      <xdr:colOff>2173605</xdr:colOff>
      <xdr:row>1</xdr:row>
      <xdr:rowOff>9525</xdr:rowOff>
    </xdr:to>
    <xdr:sp macro="[0]!goto_01">
      <xdr:nvSpPr>
        <xdr:cNvPr id="7" name="同侧圆角矩形 6"/>
        <xdr:cNvSpPr>
          <a:spLocks noChangeAspect="1"/>
        </xdr:cNvSpPr>
      </xdr:nvSpPr>
      <xdr:spPr>
        <a:xfrm>
          <a:off x="165798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首 页</a:t>
          </a:r>
          <a:endParaRPr lang="zh-CN" altLang="en-US" sz="1050">
            <a:latin typeface="+mn-ea"/>
          </a:endParaRPr>
        </a:p>
      </xdr:txBody>
    </xdr:sp>
    <xdr:clientData/>
  </xdr:twoCellAnchor>
  <xdr:twoCellAnchor editAs="absolute">
    <xdr:from>
      <xdr:col>0</xdr:col>
      <xdr:colOff>104140</xdr:colOff>
      <xdr:row>0</xdr:row>
      <xdr:rowOff>104775</xdr:rowOff>
    </xdr:from>
    <xdr:to>
      <xdr:col>1</xdr:col>
      <xdr:colOff>1303655</xdr:colOff>
      <xdr:row>0</xdr:row>
      <xdr:rowOff>558165</xdr:rowOff>
    </xdr:to>
    <xdr:sp>
      <xdr:nvSpPr>
        <xdr:cNvPr id="8" name="文本框 7"/>
        <xdr:cNvSpPr txBox="1"/>
      </xdr:nvSpPr>
      <xdr:spPr>
        <a:xfrm>
          <a:off x="104140" y="104775"/>
          <a:ext cx="155194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rPr>
            <a:t>人事管理系统</a:t>
          </a:r>
          <a:endParaRPr lang="zh-CN" altLang="en-US" sz="1800" b="1">
            <a:solidFill>
              <a:schemeClr val="bg1"/>
            </a:solidFill>
            <a:effectLst>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xdr:col>
      <xdr:colOff>2247265</xdr:colOff>
      <xdr:row>0</xdr:row>
      <xdr:rowOff>266700</xdr:rowOff>
    </xdr:from>
    <xdr:to>
      <xdr:col>1</xdr:col>
      <xdr:colOff>3115310</xdr:colOff>
      <xdr:row>1</xdr:row>
      <xdr:rowOff>9525</xdr:rowOff>
    </xdr:to>
    <xdr:sp macro="[0]!goto_07">
      <xdr:nvSpPr>
        <xdr:cNvPr id="9" name="同侧圆角矩形 8"/>
        <xdr:cNvSpPr>
          <a:spLocks noChangeAspect="1"/>
        </xdr:cNvSpPr>
      </xdr:nvSpPr>
      <xdr:spPr>
        <a:xfrm>
          <a:off x="259969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FontTx/>
            <a:buNone/>
          </a:pPr>
          <a:r>
            <a:rPr lang="zh-CN" altLang="en-US" sz="1050">
              <a:latin typeface="+mn-ea"/>
              <a:ea typeface="+mn-ea"/>
              <a:cs typeface="+mn-cs"/>
            </a:rPr>
            <a:t>考勤</a:t>
          </a:r>
          <a:endParaRPr lang="zh-CN" altLang="en-US" sz="1050">
            <a:latin typeface="+mn-ea"/>
            <a:ea typeface="+mn-ea"/>
            <a:cs typeface="+mn-cs"/>
          </a:endParaRPr>
        </a:p>
      </xdr:txBody>
    </xdr:sp>
    <xdr:clientData/>
  </xdr:twoCellAnchor>
  <xdr:twoCellAnchor editAs="absolute">
    <xdr:from>
      <xdr:col>1</xdr:col>
      <xdr:colOff>3188970</xdr:colOff>
      <xdr:row>0</xdr:row>
      <xdr:rowOff>266700</xdr:rowOff>
    </xdr:from>
    <xdr:to>
      <xdr:col>1</xdr:col>
      <xdr:colOff>4057015</xdr:colOff>
      <xdr:row>1</xdr:row>
      <xdr:rowOff>9525</xdr:rowOff>
    </xdr:to>
    <xdr:sp macro="[0]!goto_04">
      <xdr:nvSpPr>
        <xdr:cNvPr id="10" name="同侧圆角矩形 9"/>
        <xdr:cNvSpPr>
          <a:spLocks noChangeAspect="1"/>
        </xdr:cNvSpPr>
      </xdr:nvSpPr>
      <xdr:spPr>
        <a:xfrm>
          <a:off x="354139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algn="ctr" defTabSz="914400" rtl="0" eaLnBrk="1" latinLnBrk="0" hangingPunct="1">
            <a:buClrTx/>
            <a:buSzTx/>
            <a:buFontTx/>
          </a:pPr>
          <a:r>
            <a:rPr lang="zh-CN" altLang="en-US" sz="1050">
              <a:latin typeface="+mn-ea"/>
              <a:ea typeface="+mn-ea"/>
              <a:cs typeface="+mn-cs"/>
            </a:rPr>
            <a:t>人员信息</a:t>
          </a:r>
          <a:endParaRPr lang="zh-CN" altLang="en-US" sz="1050">
            <a:latin typeface="+mn-ea"/>
            <a:ea typeface="+mn-ea"/>
            <a:cs typeface="+mn-cs"/>
          </a:endParaRPr>
        </a:p>
        <a:p>
          <a:pPr marL="0" algn="ctr" defTabSz="914400" rtl="0" eaLnBrk="1" latinLnBrk="0" hangingPunct="1">
            <a:buClrTx/>
            <a:buSzTx/>
            <a:buFontTx/>
          </a:pPr>
          <a:r>
            <a:rPr lang="zh-CN" altLang="en-US" sz="1050">
              <a:latin typeface="+mn-ea"/>
              <a:ea typeface="+mn-ea"/>
              <a:cs typeface="+mn-cs"/>
            </a:rPr>
            <a:t>管理</a:t>
          </a:r>
          <a:endParaRPr lang="zh-CN" altLang="en-US" sz="1050">
            <a:latin typeface="+mn-ea"/>
            <a:ea typeface="+mn-ea"/>
            <a:cs typeface="+mn-cs"/>
          </a:endParaRPr>
        </a:p>
      </xdr:txBody>
    </xdr:sp>
    <xdr:clientData/>
  </xdr:twoCellAnchor>
  <xdr:twoCellAnchor editAs="absolute">
    <xdr:from>
      <xdr:col>1</xdr:col>
      <xdr:colOff>4130675</xdr:colOff>
      <xdr:row>0</xdr:row>
      <xdr:rowOff>266700</xdr:rowOff>
    </xdr:from>
    <xdr:to>
      <xdr:col>1</xdr:col>
      <xdr:colOff>4998720</xdr:colOff>
      <xdr:row>1</xdr:row>
      <xdr:rowOff>9525</xdr:rowOff>
    </xdr:to>
    <xdr:sp macro="[0]!goto_10">
      <xdr:nvSpPr>
        <xdr:cNvPr id="11" name="同侧圆角矩形 10"/>
        <xdr:cNvSpPr>
          <a:spLocks noChangeAspect="1"/>
        </xdr:cNvSpPr>
      </xdr:nvSpPr>
      <xdr:spPr>
        <a:xfrm>
          <a:off x="448310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marL="0" indent="0" algn="ctr" defTabSz="914400" rtl="0" eaLnBrk="1" latinLnBrk="0" hangingPunct="1"/>
          <a:r>
            <a:rPr lang="zh-CN" altLang="en-US" sz="1050">
              <a:solidFill>
                <a:schemeClr val="lt1"/>
              </a:solidFill>
              <a:latin typeface="+mn-ea"/>
              <a:ea typeface="+mn-ea"/>
              <a:cs typeface="+mn-cs"/>
            </a:rPr>
            <a:t>工资明细</a:t>
          </a:r>
          <a:endParaRPr lang="zh-CN" altLang="en-US" sz="1050">
            <a:solidFill>
              <a:schemeClr val="lt1"/>
            </a:solidFill>
            <a:latin typeface="+mn-ea"/>
            <a:ea typeface="+mn-ea"/>
            <a:cs typeface="+mn-cs"/>
          </a:endParaRPr>
        </a:p>
      </xdr:txBody>
    </xdr:sp>
    <xdr:clientData/>
  </xdr:twoCellAnchor>
  <xdr:twoCellAnchor editAs="absolute">
    <xdr:from>
      <xdr:col>1</xdr:col>
      <xdr:colOff>5072380</xdr:colOff>
      <xdr:row>0</xdr:row>
      <xdr:rowOff>266700</xdr:rowOff>
    </xdr:from>
    <xdr:to>
      <xdr:col>1</xdr:col>
      <xdr:colOff>5940425</xdr:colOff>
      <xdr:row>1</xdr:row>
      <xdr:rowOff>9525</xdr:rowOff>
    </xdr:to>
    <xdr:sp macro="[0]!goto_08">
      <xdr:nvSpPr>
        <xdr:cNvPr id="12" name="同侧圆角矩形 11"/>
        <xdr:cNvSpPr>
          <a:spLocks noChangeAspect="1"/>
        </xdr:cNvSpPr>
      </xdr:nvSpPr>
      <xdr:spPr>
        <a:xfrm>
          <a:off x="542480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考勤记录</a:t>
          </a:r>
          <a:endParaRPr lang="zh-CN" altLang="en-US" sz="1050">
            <a:latin typeface="+mn-ea"/>
          </a:endParaRPr>
        </a:p>
      </xdr:txBody>
    </xdr:sp>
    <xdr:clientData/>
  </xdr:twoCellAnchor>
  <xdr:twoCellAnchor editAs="absolute">
    <xdr:from>
      <xdr:col>1</xdr:col>
      <xdr:colOff>6014085</xdr:colOff>
      <xdr:row>0</xdr:row>
      <xdr:rowOff>266700</xdr:rowOff>
    </xdr:from>
    <xdr:to>
      <xdr:col>2</xdr:col>
      <xdr:colOff>128905</xdr:colOff>
      <xdr:row>1</xdr:row>
      <xdr:rowOff>9525</xdr:rowOff>
    </xdr:to>
    <xdr:sp macro="[0]!goto_06">
      <xdr:nvSpPr>
        <xdr:cNvPr id="13" name="同侧圆角矩形 12"/>
        <xdr:cNvSpPr>
          <a:spLocks noChangeAspect="1"/>
        </xdr:cNvSpPr>
      </xdr:nvSpPr>
      <xdr:spPr>
        <a:xfrm>
          <a:off x="636651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配置表</a:t>
          </a:r>
          <a:endParaRPr lang="zh-CN" altLang="en-US" sz="1050">
            <a:latin typeface="+mn-ea"/>
          </a:endParaRPr>
        </a:p>
      </xdr:txBody>
    </xdr:sp>
    <xdr:clientData/>
  </xdr:twoCellAnchor>
  <xdr:twoCellAnchor editAs="absolute">
    <xdr:from>
      <xdr:col>3</xdr:col>
      <xdr:colOff>229870</xdr:colOff>
      <xdr:row>0</xdr:row>
      <xdr:rowOff>266700</xdr:rowOff>
    </xdr:from>
    <xdr:to>
      <xdr:col>4</xdr:col>
      <xdr:colOff>412115</xdr:colOff>
      <xdr:row>1</xdr:row>
      <xdr:rowOff>9525</xdr:rowOff>
    </xdr:to>
    <xdr:sp macro="[0]!goto_12">
      <xdr:nvSpPr>
        <xdr:cNvPr id="14" name="同侧圆角矩形 13"/>
        <xdr:cNvSpPr>
          <a:spLocks noChangeAspect="1"/>
        </xdr:cNvSpPr>
      </xdr:nvSpPr>
      <xdr:spPr>
        <a:xfrm>
          <a:off x="824992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审批记录</a:t>
          </a:r>
          <a:endParaRPr lang="zh-CN" altLang="en-US" sz="1050">
            <a:latin typeface="+mn-ea"/>
          </a:endParaRPr>
        </a:p>
      </xdr:txBody>
    </xdr:sp>
    <xdr:clientData/>
  </xdr:twoCellAnchor>
  <xdr:twoCellAnchor editAs="absolute">
    <xdr:from>
      <xdr:col>2</xdr:col>
      <xdr:colOff>202565</xdr:colOff>
      <xdr:row>0</xdr:row>
      <xdr:rowOff>266700</xdr:rowOff>
    </xdr:from>
    <xdr:to>
      <xdr:col>3</xdr:col>
      <xdr:colOff>156210</xdr:colOff>
      <xdr:row>1</xdr:row>
      <xdr:rowOff>9525</xdr:rowOff>
    </xdr:to>
    <xdr:sp macro="[0]!goto_11">
      <xdr:nvSpPr>
        <xdr:cNvPr id="15" name="同侧圆角矩形 14"/>
        <xdr:cNvSpPr>
          <a:spLocks noChangeAspect="1"/>
        </xdr:cNvSpPr>
      </xdr:nvSpPr>
      <xdr:spPr>
        <a:xfrm>
          <a:off x="730821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a:latin typeface="+mn-ea"/>
            </a:rPr>
            <a:t>报盘</a:t>
          </a:r>
          <a:endParaRPr lang="zh-CN" altLang="en-US" sz="1050">
            <a:latin typeface="+mn-ea"/>
          </a:endParaRPr>
        </a:p>
      </xdr:txBody>
    </xdr:sp>
    <xdr:clientData/>
  </xdr:twoCellAnchor>
  <xdr:twoCellAnchor editAs="absolute">
    <xdr:from>
      <xdr:col>4</xdr:col>
      <xdr:colOff>485775</xdr:colOff>
      <xdr:row>0</xdr:row>
      <xdr:rowOff>266700</xdr:rowOff>
    </xdr:from>
    <xdr:to>
      <xdr:col>5</xdr:col>
      <xdr:colOff>668020</xdr:colOff>
      <xdr:row>1</xdr:row>
      <xdr:rowOff>9525</xdr:rowOff>
    </xdr:to>
    <xdr:sp macro="[0]!goto_09">
      <xdr:nvSpPr>
        <xdr:cNvPr id="16" name="同侧圆角矩形 15"/>
        <xdr:cNvSpPr>
          <a:spLocks noChangeAspect="1"/>
        </xdr:cNvSpPr>
      </xdr:nvSpPr>
      <xdr:spPr>
        <a:xfrm>
          <a:off x="9191625" y="266700"/>
          <a:ext cx="868045" cy="438150"/>
        </a:xfrm>
        <a:prstGeom prst="round2SameRect">
          <a:avLst/>
        </a:prstGeom>
        <a:noFill/>
        <a:effectLst/>
      </xdr:spPr>
      <xdr:style>
        <a:lnRef idx="0">
          <a:schemeClr val="accent2"/>
        </a:lnRef>
        <a:fillRef idx="3">
          <a:schemeClr val="accent2"/>
        </a:fillRef>
        <a:effectRef idx="3">
          <a:schemeClr val="accent2"/>
        </a:effectRef>
        <a:fontRef idx="minor">
          <a:schemeClr val="lt1"/>
        </a:fontRef>
      </xdr:style>
      <xdr:txBody>
        <a:bodyPr vertOverflow="overflow" horzOverflow="overflow" vert="horz" wrap="none" lIns="0" tIns="0" rIns="0" bIns="36195"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50" b="1">
              <a:solidFill>
                <a:schemeClr val="accent1">
                  <a:lumMod val="75000"/>
                </a:schemeClr>
              </a:solidFill>
              <a:latin typeface="+mn-ea"/>
            </a:rPr>
            <a:t>报税</a:t>
          </a:r>
          <a:endParaRPr lang="zh-CN" altLang="en-US" sz="1050" b="1">
            <a:solidFill>
              <a:schemeClr val="accent1">
                <a:lumMod val="75000"/>
              </a:schemeClr>
            </a:solidFill>
            <a:latin typeface="+mn-ea"/>
          </a:endParaRPr>
        </a:p>
      </xdr:txBody>
    </xdr:sp>
    <xdr:clientData/>
  </xdr:twoCellAnchor>
  <xdr:twoCellAnchor editAs="absolute">
    <xdr:from>
      <xdr:col>6</xdr:col>
      <xdr:colOff>55880</xdr:colOff>
      <xdr:row>0</xdr:row>
      <xdr:rowOff>266700</xdr:rowOff>
    </xdr:from>
    <xdr:to>
      <xdr:col>7</xdr:col>
      <xdr:colOff>238125</xdr:colOff>
      <xdr:row>1</xdr:row>
      <xdr:rowOff>9525</xdr:rowOff>
    </xdr:to>
    <xdr:sp macro="[0]!goto_13">
      <xdr:nvSpPr>
        <xdr:cNvPr id="17" name="同侧圆角矩形 16"/>
        <xdr:cNvSpPr>
          <a:spLocks noChangeAspect="1"/>
        </xdr:cNvSpPr>
      </xdr:nvSpPr>
      <xdr:spPr>
        <a:xfrm>
          <a:off x="1013333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部门汇总</a:t>
          </a:r>
          <a:endParaRPr lang="zh-CN" altLang="en-US" sz="1050">
            <a:latin typeface="+mn-ea"/>
          </a:endParaRPr>
        </a:p>
      </xdr:txBody>
    </xdr:sp>
    <xdr:clientData/>
  </xdr:twoCellAnchor>
  <xdr:twoCellAnchor editAs="absolute">
    <xdr:from>
      <xdr:col>7</xdr:col>
      <xdr:colOff>311785</xdr:colOff>
      <xdr:row>0</xdr:row>
      <xdr:rowOff>266700</xdr:rowOff>
    </xdr:from>
    <xdr:to>
      <xdr:col>8</xdr:col>
      <xdr:colOff>494030</xdr:colOff>
      <xdr:row>1</xdr:row>
      <xdr:rowOff>9525</xdr:rowOff>
    </xdr:to>
    <xdr:sp macro="[0]!goto_14">
      <xdr:nvSpPr>
        <xdr:cNvPr id="18" name="同侧圆角矩形 17"/>
        <xdr:cNvSpPr>
          <a:spLocks noChangeAspect="1"/>
        </xdr:cNvSpPr>
      </xdr:nvSpPr>
      <xdr:spPr>
        <a:xfrm>
          <a:off x="1107503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社保</a:t>
          </a:r>
          <a:endParaRPr lang="zh-CN" altLang="en-US" sz="1050">
            <a:latin typeface="+mn-ea"/>
          </a:endParaRPr>
        </a:p>
      </xdr:txBody>
    </xdr:sp>
    <xdr:clientData/>
  </xdr:twoCellAnchor>
  <xdr:twoCellAnchor editAs="absolute">
    <xdr:from>
      <xdr:col>10</xdr:col>
      <xdr:colOff>137795</xdr:colOff>
      <xdr:row>0</xdr:row>
      <xdr:rowOff>266700</xdr:rowOff>
    </xdr:from>
    <xdr:to>
      <xdr:col>11</xdr:col>
      <xdr:colOff>320040</xdr:colOff>
      <xdr:row>1</xdr:row>
      <xdr:rowOff>9525</xdr:rowOff>
    </xdr:to>
    <xdr:sp macro="[0]!goto_16">
      <xdr:nvSpPr>
        <xdr:cNvPr id="19" name="同侧圆角矩形 18"/>
        <xdr:cNvSpPr>
          <a:spLocks noChangeAspect="1"/>
        </xdr:cNvSpPr>
      </xdr:nvSpPr>
      <xdr:spPr>
        <a:xfrm>
          <a:off x="12958445"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个人所得税</a:t>
          </a:r>
          <a:endParaRPr lang="zh-CN" altLang="en-US" sz="1050">
            <a:latin typeface="+mn-ea"/>
          </a:endParaRPr>
        </a:p>
      </xdr:txBody>
    </xdr:sp>
    <xdr:clientData/>
  </xdr:twoCellAnchor>
  <xdr:twoCellAnchor editAs="absolute">
    <xdr:from>
      <xdr:col>11</xdr:col>
      <xdr:colOff>393700</xdr:colOff>
      <xdr:row>0</xdr:row>
      <xdr:rowOff>266700</xdr:rowOff>
    </xdr:from>
    <xdr:to>
      <xdr:col>12</xdr:col>
      <xdr:colOff>575945</xdr:colOff>
      <xdr:row>1</xdr:row>
      <xdr:rowOff>9525</xdr:rowOff>
    </xdr:to>
    <xdr:sp macro="[0]!goto_17">
      <xdr:nvSpPr>
        <xdr:cNvPr id="20" name="同侧圆角矩形 19"/>
        <xdr:cNvSpPr>
          <a:spLocks noChangeAspect="1"/>
        </xdr:cNvSpPr>
      </xdr:nvSpPr>
      <xdr:spPr>
        <a:xfrm>
          <a:off x="1390015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工资条</a:t>
          </a:r>
          <a:endParaRPr lang="zh-CN" altLang="en-US" sz="1050">
            <a:latin typeface="+mn-ea"/>
          </a:endParaRPr>
        </a:p>
      </xdr:txBody>
    </xdr:sp>
    <xdr:clientData/>
  </xdr:twoCellAnchor>
  <xdr:twoCellAnchor editAs="absolute">
    <xdr:from>
      <xdr:col>8</xdr:col>
      <xdr:colOff>567690</xdr:colOff>
      <xdr:row>0</xdr:row>
      <xdr:rowOff>266700</xdr:rowOff>
    </xdr:from>
    <xdr:to>
      <xdr:col>10</xdr:col>
      <xdr:colOff>64135</xdr:colOff>
      <xdr:row>1</xdr:row>
      <xdr:rowOff>9525</xdr:rowOff>
    </xdr:to>
    <xdr:sp macro="[0]!goto_15">
      <xdr:nvSpPr>
        <xdr:cNvPr id="21" name="同侧圆角矩形 20"/>
        <xdr:cNvSpPr>
          <a:spLocks noChangeAspect="1"/>
        </xdr:cNvSpPr>
      </xdr:nvSpPr>
      <xdr:spPr>
        <a:xfrm>
          <a:off x="12016740" y="266700"/>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员工档案</a:t>
          </a:r>
          <a:endParaRPr lang="zh-CN" altLang="en-US" sz="1050">
            <a:latin typeface="+mn-ea"/>
          </a:endParaRPr>
        </a:p>
      </xdr:txBody>
    </xdr:sp>
    <xdr:clientData/>
  </xdr:twoCellAnchor>
  <xdr:twoCellAnchor editAs="absolute">
    <xdr:from>
      <xdr:col>12</xdr:col>
      <xdr:colOff>647700</xdr:colOff>
      <xdr:row>0</xdr:row>
      <xdr:rowOff>263525</xdr:rowOff>
    </xdr:from>
    <xdr:to>
      <xdr:col>14</xdr:col>
      <xdr:colOff>144145</xdr:colOff>
      <xdr:row>1</xdr:row>
      <xdr:rowOff>6350</xdr:rowOff>
    </xdr:to>
    <xdr:sp macro="[0]!goto_16">
      <xdr:nvSpPr>
        <xdr:cNvPr id="22" name="同侧圆角矩形 21">
          <a:hlinkClick xmlns:r="http://schemas.openxmlformats.org/officeDocument/2006/relationships" r:id="rId1"/>
        </xdr:cNvPr>
        <xdr:cNvSpPr>
          <a:spLocks noChangeAspect="1"/>
        </xdr:cNvSpPr>
      </xdr:nvSpPr>
      <xdr:spPr>
        <a:xfrm>
          <a:off x="14839950" y="263525"/>
          <a:ext cx="868045" cy="438150"/>
        </a:xfrm>
        <a:prstGeom prst="round2SameRect">
          <a:avLst/>
        </a:prstGeom>
        <a:solidFill>
          <a:schemeClr val="accent1">
            <a:lumMod val="75000"/>
          </a:schemeClr>
        </a:solidFill>
        <a:effectLst>
          <a:outerShdw blurRad="50800" dist="38100" dir="16200000" rotWithShape="0">
            <a:prstClr val="black">
              <a:alpha val="40000"/>
            </a:prstClr>
          </a:outerShdw>
        </a:effectLst>
      </xdr:spPr>
      <xdr:style>
        <a:lnRef idx="0">
          <a:schemeClr val="accent2"/>
        </a:lnRef>
        <a:fillRef idx="3">
          <a:schemeClr val="accent2"/>
        </a:fillRef>
        <a:effectRef idx="3">
          <a:schemeClr val="accent2"/>
        </a:effectRef>
        <a:fontRef idx="minor">
          <a:schemeClr val="lt1"/>
        </a:fontRef>
      </xdr:style>
      <xdr:txBody>
        <a:bodyPr vertOverflow="overflow" horzOverflow="overflow" wrap="none" lIns="0" tIns="0" rIns="0" bIns="36195"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50">
              <a:latin typeface="+mn-ea"/>
            </a:rPr>
            <a:t>生日提醒</a:t>
          </a:r>
          <a:endParaRPr lang="zh-CN" altLang="en-US" sz="1050">
            <a:latin typeface="+mn-ea"/>
          </a:endParaRPr>
        </a:p>
      </xdr:txBody>
    </xdr:sp>
    <xdr:clientData/>
  </xdr:twoCellAnchor>
  <xdr:twoCellAnchor editAs="absolute">
    <xdr:from>
      <xdr:col>1</xdr:col>
      <xdr:colOff>1981200</xdr:colOff>
      <xdr:row>1</xdr:row>
      <xdr:rowOff>133350</xdr:rowOff>
    </xdr:from>
    <xdr:to>
      <xdr:col>1</xdr:col>
      <xdr:colOff>2850515</xdr:colOff>
      <xdr:row>1</xdr:row>
      <xdr:rowOff>447675</xdr:rowOff>
    </xdr:to>
    <xdr:sp macro="[0]!RefreshFileList">
      <xdr:nvSpPr>
        <xdr:cNvPr id="2" name="剪去对角的矩形 1"/>
        <xdr:cNvSpPr/>
      </xdr:nvSpPr>
      <xdr:spPr>
        <a:xfrm>
          <a:off x="2333625" y="828675"/>
          <a:ext cx="869315" cy="314325"/>
        </a:xfrm>
        <a:prstGeom prst="snip2DiagRect">
          <a:avLst/>
        </a:prstGeom>
        <a:solidFill>
          <a:schemeClr val="accent1">
            <a:lumMod val="75000"/>
          </a:schemeClr>
        </a:solidFill>
        <a:ln>
          <a:solidFill>
            <a:schemeClr val="bg1"/>
          </a:solid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返回</a:t>
          </a:r>
          <a:endParaRPr lang="zh-CN" altLang="en-US" sz="1000" b="1">
            <a:latin typeface="微软雅黑" panose="020B0503020204020204" charset="-122"/>
            <a:ea typeface="微软雅黑" panose="020B0503020204020204"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75000"/>
          </a:schemeClr>
        </a:solidFill>
        <a:ln>
          <a:solidFill>
            <a:schemeClr val="bg1"/>
          </a:solidFill>
        </a:ln>
        <a:effectLst>
          <a:outerShdw blurRad="63500" sx="102000" sy="102000" algn="ctr" rotWithShape="0">
            <a:prstClr val="black">
              <a:alpha val="40000"/>
            </a:prstClr>
          </a:outerShdw>
        </a:effectLst>
      </a:spPr>
      <a:bodyPr vertOverflow="clip" horzOverflow="clip" wrap="square" rtlCol="0" anchor="ctr" anchorCtr="0"/>
      <a:lstStyle>
        <a:defPPr algn="ctr">
          <a:defRPr lang="zh-CN" altLang="en-US" sz="1000" b="1">
            <a:latin typeface="微软雅黑" panose="020B0503020204020204" charset="-122"/>
            <a:ea typeface="微软雅黑" panose="020B0503020204020204"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comments" Target="../comments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4.xml"/><Relationship Id="rId1" Type="http://schemas.openxmlformats.org/officeDocument/2006/relationships/comments" Target="../comments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9.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7.xml"/></Relationships>
</file>

<file path=xl/worksheets/_rels/sheet20.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8.xml"/></Relationships>
</file>

<file path=xl/worksheets/_rels/sheet21.xml.rels><?xml version="1.0" encoding="UTF-8" standalone="yes"?>
<Relationships xmlns="http://schemas.openxmlformats.org/package/2006/relationships"><Relationship Id="rId6" Type="http://schemas.openxmlformats.org/officeDocument/2006/relationships/hyperlink" Target="http://yhocn.cn:9088/renshi/jianliwenjian/%E6%B5%8B%E8%AF%951.jpg,http://yhocn.cn:9088/&#20154;&#20107;/&#31616;&#21382;&#31649;&#29702;/&#27979;&#35797;4.jpg" TargetMode="External"/><Relationship Id="rId5" Type="http://schemas.openxmlformats.org/officeDocument/2006/relationships/hyperlink" Target="http://yhocn.cn:9088/renshi/jianliwenjian/ceshi4.jpg" TargetMode="External"/><Relationship Id="rId4" Type="http://schemas.openxmlformats.org/officeDocument/2006/relationships/hyperlink" Target="http://yhocn.cn:9088/&#20154;&#20107;&#31995;&#32479;/&#31616;&#21382;&#25991;&#20214;/&#27979;&#35797;&#36187;.pdf" TargetMode="External"/><Relationship Id="rId3" Type="http://schemas.openxmlformats.org/officeDocument/2006/relationships/hyperlink" Target="http://yhocn.cn:9088/renshi/jianliwenjian/ceshi9.jpg,http://yhocn.cn:9088/renshi/jianliwenjian/ceshi10.jpg" TargetMode="External"/><Relationship Id="rId2" Type="http://schemas.openxmlformats.org/officeDocument/2006/relationships/hyperlink" Target="http://yhocn.cn:9088/renshi/jianliwenjian/ceshi7.jpg,http://yhocn.cn:9088/renshi/jianliwenjian/ceshi8.jpg" TargetMode="External"/><Relationship Id="rId1" Type="http://schemas.openxmlformats.org/officeDocument/2006/relationships/drawing" Target="../drawings/drawing19.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D4" workbookViewId="0">
      <selection activeCell="E12" sqref="E12"/>
    </sheetView>
  </sheetViews>
  <sheetFormatPr defaultColWidth="3.625" defaultRowHeight="17.1" customHeight="1"/>
  <cols>
    <col min="1" max="1" width="3.625" style="102" customWidth="1"/>
    <col min="2" max="16384" width="3.625" style="102"/>
  </cols>
  <sheetData>
    <row r="4" customHeight="1" spans="1:42">
      <c r="A4" s="103"/>
      <c r="B4" s="103"/>
      <c r="C4" s="103"/>
      <c r="D4" s="103"/>
      <c r="E4" s="103"/>
      <c r="F4" s="103"/>
      <c r="G4" s="103"/>
      <c r="H4" s="103"/>
      <c r="I4" s="103"/>
      <c r="J4" s="103"/>
      <c r="K4" s="103"/>
      <c r="L4" s="103"/>
      <c r="M4" s="103"/>
      <c r="N4" s="103"/>
      <c r="O4" s="103"/>
      <c r="P4" s="103"/>
      <c r="Q4" s="103"/>
      <c r="R4" s="103"/>
      <c r="S4" s="103"/>
      <c r="T4" s="103"/>
      <c r="U4" s="103"/>
      <c r="V4" s="103"/>
      <c r="W4" s="103"/>
      <c r="X4" s="103"/>
      <c r="Y4" s="103"/>
      <c r="Z4" s="103"/>
      <c r="AA4" s="103"/>
      <c r="AB4" s="103"/>
      <c r="AC4" s="103"/>
      <c r="AD4" s="103"/>
      <c r="AE4" s="103"/>
      <c r="AF4" s="103"/>
      <c r="AG4" s="103"/>
      <c r="AH4" s="103"/>
      <c r="AI4" s="103"/>
      <c r="AJ4" s="103"/>
      <c r="AK4" s="103"/>
      <c r="AL4" s="103"/>
      <c r="AM4" s="103"/>
      <c r="AN4" s="103"/>
      <c r="AO4" s="103"/>
      <c r="AP4" s="103"/>
    </row>
    <row r="5" customHeight="1" spans="1:42">
      <c r="A5" s="103"/>
      <c r="B5" s="103"/>
      <c r="C5" s="103"/>
      <c r="D5" s="103"/>
      <c r="E5" s="103"/>
      <c r="F5" s="103"/>
      <c r="G5" s="103"/>
      <c r="H5" s="103"/>
      <c r="I5" s="103"/>
      <c r="J5" s="103"/>
      <c r="K5" s="103"/>
      <c r="L5" s="103"/>
      <c r="M5" s="103"/>
      <c r="N5" s="103"/>
      <c r="O5" s="103"/>
      <c r="P5" s="103"/>
      <c r="Q5" s="103"/>
      <c r="R5" s="103"/>
      <c r="S5" s="103"/>
      <c r="T5" s="103"/>
      <c r="U5" s="103"/>
      <c r="V5" s="103"/>
      <c r="W5" s="103"/>
      <c r="X5" s="103"/>
      <c r="Y5" s="103"/>
      <c r="Z5" s="103"/>
      <c r="AA5" s="103"/>
      <c r="AB5" s="103"/>
      <c r="AC5" s="103"/>
      <c r="AD5" s="103"/>
      <c r="AE5" s="103"/>
      <c r="AF5" s="103"/>
      <c r="AG5" s="103"/>
      <c r="AH5" s="103"/>
      <c r="AI5" s="103"/>
      <c r="AJ5" s="103"/>
      <c r="AK5" s="103"/>
      <c r="AL5" s="103"/>
      <c r="AM5" s="103"/>
      <c r="AN5" s="103"/>
      <c r="AO5" s="103"/>
      <c r="AP5" s="103"/>
    </row>
    <row r="6" customHeight="1" spans="1:42">
      <c r="A6" s="104"/>
      <c r="B6" s="104"/>
      <c r="C6" s="104"/>
      <c r="D6" s="104"/>
      <c r="E6" s="104"/>
      <c r="F6" s="104"/>
      <c r="G6" s="104"/>
      <c r="H6" s="105"/>
      <c r="I6" s="105"/>
      <c r="J6" s="105"/>
      <c r="K6" s="105"/>
      <c r="L6" s="105"/>
      <c r="M6" s="105"/>
      <c r="N6" s="105"/>
      <c r="O6" s="105"/>
      <c r="P6" s="105"/>
      <c r="Q6" s="105"/>
      <c r="R6" s="104"/>
      <c r="S6" s="104"/>
      <c r="T6" s="104"/>
      <c r="U6" s="104"/>
      <c r="V6" s="104"/>
      <c r="W6" s="104"/>
      <c r="X6" s="104"/>
      <c r="Y6" s="104"/>
      <c r="Z6" s="104"/>
      <c r="AA6" s="104"/>
      <c r="AB6" s="104"/>
      <c r="AC6" s="104"/>
      <c r="AD6" s="104"/>
      <c r="AE6" s="104"/>
      <c r="AF6" s="104"/>
      <c r="AG6" s="104"/>
      <c r="AH6" s="104"/>
      <c r="AI6" s="104"/>
      <c r="AJ6" s="104"/>
      <c r="AK6" s="104"/>
      <c r="AL6" s="104"/>
      <c r="AM6" s="104"/>
      <c r="AN6" s="104"/>
      <c r="AO6" s="104"/>
      <c r="AP6" s="104"/>
    </row>
    <row r="7" customHeight="1" spans="1:42">
      <c r="E7" s="106"/>
      <c r="F7" s="106"/>
      <c r="G7" s="106"/>
      <c r="H7" s="107"/>
      <c r="I7" s="107"/>
      <c r="J7" s="107"/>
      <c r="K7" s="107"/>
      <c r="L7" s="107"/>
      <c r="M7" s="107"/>
      <c r="N7" s="108"/>
      <c r="O7" s="108"/>
      <c r="P7" s="108"/>
      <c r="Q7" s="108"/>
      <c r="T7" s="108"/>
      <c r="U7" s="108"/>
      <c r="V7" s="108"/>
      <c r="W7" s="108"/>
    </row>
    <row r="8" customHeight="1" spans="1:42">
      <c r="H8" s="108"/>
      <c r="I8" s="108"/>
      <c r="J8" s="108"/>
      <c r="K8" s="108"/>
      <c r="L8" s="108"/>
      <c r="M8" s="108"/>
      <c r="N8" s="108"/>
      <c r="O8" s="108"/>
      <c r="P8" s="108"/>
      <c r="Q8" s="108"/>
      <c r="T8" s="108"/>
      <c r="U8" s="108"/>
      <c r="V8" s="108"/>
      <c r="W8" s="108"/>
    </row>
    <row r="9" customHeight="1" spans="1:42">
      <c r="H9" s="108"/>
      <c r="I9" s="108"/>
      <c r="J9" s="108"/>
      <c r="K9" s="108"/>
      <c r="L9" s="108"/>
      <c r="M9" s="108"/>
      <c r="N9" s="108"/>
      <c r="O9" s="108"/>
      <c r="P9" s="108"/>
      <c r="Q9" s="108"/>
      <c r="R9" s="108"/>
      <c r="S9" s="108"/>
      <c r="T9" s="108"/>
      <c r="U9" s="108"/>
      <c r="V9" s="108"/>
      <c r="W9" s="108"/>
    </row>
    <row r="10" customHeight="1" spans="1:42">
      <c r="Q10" s="108"/>
      <c r="R10" s="108"/>
      <c r="S10" s="108"/>
      <c r="T10" s="108"/>
      <c r="U10" s="108"/>
      <c r="V10" s="108"/>
      <c r="W10" s="108"/>
    </row>
    <row r="11" customHeight="1" spans="1:42">
      <c r="Q11" s="108"/>
      <c r="R11" s="108"/>
      <c r="S11" s="108"/>
      <c r="T11" s="108"/>
      <c r="U11" s="108"/>
      <c r="V11" s="108"/>
      <c r="W11" s="108"/>
    </row>
    <row r="12" customHeight="1" spans="1:42">
      <c r="Q12" s="108"/>
      <c r="R12" s="108"/>
      <c r="S12" s="108"/>
      <c r="T12" s="108"/>
      <c r="U12" s="108"/>
      <c r="V12" s="108"/>
      <c r="W12" s="108"/>
    </row>
    <row r="13" customHeight="1" spans="1:42">
      <c r="Q13" s="108"/>
      <c r="R13" s="108"/>
      <c r="S13" s="108"/>
      <c r="T13" s="108"/>
      <c r="U13" s="108"/>
      <c r="V13" s="108"/>
      <c r="W13" s="108"/>
    </row>
  </sheetData>
  <sheetProtection algorithmName="SHA-512" hashValue="Pd9ZDC/Q57xnRFc3+JcfSWQftDe8DuTR9qwQxVe0d5h0quKCnDNDllc8829XFaltIO7zAHUrop/mpAKCHBReFg==" saltValue="ILuqvFd2FeQymIu43rlRhA==" spinCount="100000" sheet="1" select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B1" workbookViewId="0">
      <pane ySplit="2" topLeftCell="A3" activePane="bottomLeft" state="frozen"/>
      <selection/>
      <selection pane="bottomLeft" activeCell="G12" sqref="F12:G13"/>
    </sheetView>
  </sheetViews>
  <sheetFormatPr defaultColWidth="9" defaultRowHeight="21.95" customHeight="1"/>
  <cols>
    <col min="1" max="1" width="1.625" style="84" customWidth="1"/>
    <col min="2" max="2" width="2.625" style="85" customWidth="1"/>
    <col min="3" max="3" width="15.25" style="86" customWidth="1"/>
    <col min="4" max="4" width="19.125" style="87" customWidth="1"/>
    <col min="5" max="5" width="10.5" style="87" customWidth="1"/>
    <col min="6" max="8" width="24.625" style="87" customWidth="1"/>
    <col min="9" max="9" width="2.625" style="85" customWidth="1"/>
    <col min="10" max="10" width="4.25" style="84" customWidth="1"/>
    <col min="11" max="16384" width="9" style="84"/>
  </cols>
  <sheetData>
    <row r="1" s="82" customFormat="1" ht="54.95" customHeight="1" spans="1:10">
      <c r="A1" s="88"/>
      <c r="C1" s="89"/>
      <c r="J1" s="90"/>
    </row>
    <row r="2" ht="15.95" customHeight="1" spans="1:10">
      <c r="B2" s="84"/>
      <c r="C2" s="91"/>
      <c r="D2" s="84"/>
      <c r="E2" s="84"/>
      <c r="F2" s="84"/>
      <c r="G2" s="84"/>
      <c r="H2" s="84"/>
      <c r="I2" s="84"/>
    </row>
    <row r="3" ht="15.95" customHeight="1" spans="1:10">
      <c r="C3" s="92"/>
      <c r="D3" s="85"/>
      <c r="E3" s="85"/>
      <c r="F3" s="85"/>
      <c r="G3" s="85"/>
      <c r="H3" s="85"/>
    </row>
    <row r="4" ht="75.95" customHeight="1" spans="1:10">
      <c r="C4" s="93" t="s">
        <v>0</v>
      </c>
      <c r="D4" s="94"/>
      <c r="E4" s="94"/>
      <c r="F4" s="95">
        <f>D7</f>
        <v>1</v>
      </c>
      <c r="G4" s="96" t="s">
        <v>1</v>
      </c>
      <c r="H4" s="96"/>
    </row>
    <row r="5" ht="6" customHeight="1" spans="1:10">
      <c r="C5" s="97"/>
      <c r="D5" s="94"/>
      <c r="E5" s="94"/>
      <c r="F5" s="98"/>
      <c r="G5" s="98"/>
      <c r="H5" s="98"/>
    </row>
    <row r="6" s="83" customFormat="1" ht="9" customHeight="1" spans="1:10">
      <c r="B6" s="85"/>
      <c r="C6" s="99"/>
      <c r="D6" s="100"/>
      <c r="E6" s="100"/>
      <c r="F6" s="101"/>
      <c r="G6" s="101"/>
      <c r="H6" s="101"/>
      <c r="I6" s="85"/>
    </row>
    <row r="7" hidden="1" customHeight="1" spans="1:10">
      <c r="B7" s="85" t="s">
        <v>2</v>
      </c>
      <c r="D7" s="87">
        <v>1</v>
      </c>
    </row>
    <row r="8" customHeight="1" spans="1:10">
      <c r="C8" s="86" t="s">
        <v>3</v>
      </c>
      <c r="D8" s="87" t="s">
        <v>4</v>
      </c>
    </row>
    <row r="9" customHeight="1" spans="1:10">
      <c r="C9" s="86" t="s">
        <v>5</v>
      </c>
      <c r="D9" s="87" t="s">
        <v>6</v>
      </c>
    </row>
    <row r="10" customHeight="1" spans="1:10">
      <c r="C10" s="86" t="s">
        <v>7</v>
      </c>
      <c r="D10" s="87" t="s">
        <v>8</v>
      </c>
    </row>
    <row r="11" customHeight="1" spans="1:10">
      <c r="C11" s="86" t="s">
        <v>9</v>
      </c>
      <c r="D11" s="87" t="s">
        <v>10</v>
      </c>
    </row>
    <row r="18" hidden="1" customHeight="1" spans="3:4">
      <c r="C18" s="86" t="s">
        <v>3</v>
      </c>
      <c r="D18" s="87" t="s">
        <v>11</v>
      </c>
    </row>
    <row r="19" hidden="1" customHeight="1" spans="3:4">
      <c r="C19" s="86" t="s">
        <v>5</v>
      </c>
      <c r="D19" s="87" t="s">
        <v>6</v>
      </c>
    </row>
    <row r="20" hidden="1" customHeight="1" spans="3:4">
      <c r="C20" s="86" t="s">
        <v>7</v>
      </c>
      <c r="D20" s="87" t="s">
        <v>8</v>
      </c>
    </row>
    <row r="21" hidden="1" customHeight="1" spans="3:4">
      <c r="C21" s="86" t="s">
        <v>9</v>
      </c>
      <c r="D21" s="87" t="s">
        <v>12</v>
      </c>
    </row>
    <row r="22" hidden="1" customHeight="1" spans="3:4">
      <c r="C22" s="86" t="s">
        <v>13</v>
      </c>
      <c r="D22" s="87" t="s">
        <v>10</v>
      </c>
    </row>
    <row r="23" hidden="1" customHeight="1"/>
    <row r="24" hidden="1" customHeight="1"/>
    <row r="25" hidden="1" customHeight="1"/>
    <row r="26" hidden="1" customHeight="1"/>
    <row r="27" hidden="1" customHeight="1"/>
    <row r="28" hidden="1" customHeight="1" spans="3:4">
      <c r="C28" s="86" t="s">
        <v>3</v>
      </c>
      <c r="D28" s="87" t="s">
        <v>14</v>
      </c>
    </row>
    <row r="29" hidden="1" customHeight="1" spans="3:4">
      <c r="C29" s="86" t="s">
        <v>5</v>
      </c>
      <c r="D29" s="87" t="s">
        <v>15</v>
      </c>
    </row>
    <row r="30" hidden="1" customHeight="1" spans="3:4">
      <c r="D30" s="87" t="s">
        <v>16</v>
      </c>
    </row>
    <row r="31" hidden="1" customHeight="1" spans="3:4">
      <c r="C31" s="86" t="s">
        <v>7</v>
      </c>
      <c r="D31" s="87" t="s">
        <v>17</v>
      </c>
    </row>
    <row r="32" hidden="1" customHeight="1" spans="3:4">
      <c r="C32" s="86" t="s">
        <v>9</v>
      </c>
      <c r="D32" s="87" t="s">
        <v>8</v>
      </c>
    </row>
    <row r="33" hidden="1" customHeight="1" spans="3:4">
      <c r="C33" s="86" t="s">
        <v>13</v>
      </c>
      <c r="D33" s="87" t="s">
        <v>10</v>
      </c>
    </row>
    <row r="34" hidden="1" customHeight="1"/>
    <row r="35" hidden="1" customHeight="1"/>
    <row r="36" hidden="1" customHeight="1"/>
    <row r="37" hidden="1" customHeight="1"/>
    <row r="38" hidden="1" customHeight="1" spans="3:4">
      <c r="C38" s="86" t="s">
        <v>3</v>
      </c>
      <c r="D38" s="87" t="s">
        <v>18</v>
      </c>
    </row>
    <row r="39" hidden="1" customHeight="1" spans="3:4">
      <c r="C39" s="86" t="s">
        <v>5</v>
      </c>
      <c r="D39" s="87" t="s">
        <v>10</v>
      </c>
    </row>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86" t="s">
        <v>3</v>
      </c>
      <c r="D48" s="87" t="s">
        <v>19</v>
      </c>
    </row>
    <row r="49" hidden="1" customHeight="1" spans="3:4">
      <c r="C49" s="86" t="s">
        <v>5</v>
      </c>
      <c r="D49" s="87" t="s">
        <v>6</v>
      </c>
    </row>
    <row r="50" hidden="1" customHeight="1" spans="3:4">
      <c r="C50" s="86" t="s">
        <v>7</v>
      </c>
      <c r="D50" s="87" t="s">
        <v>8</v>
      </c>
    </row>
    <row r="51" hidden="1" customHeight="1"/>
    <row r="52" hidden="1" customHeight="1"/>
    <row r="53" hidden="1" customHeight="1"/>
    <row r="54" hidden="1" customHeight="1"/>
    <row r="55" hidden="1" customHeight="1"/>
    <row r="56" hidden="1" customHeight="1"/>
    <row r="57" hidden="1" customHeight="1"/>
    <row r="58" hidden="1" customHeight="1" spans="3:4">
      <c r="C58" s="86" t="s">
        <v>3</v>
      </c>
      <c r="D58" s="87" t="s">
        <v>20</v>
      </c>
    </row>
    <row r="59" hidden="1" customHeight="1" spans="3:4">
      <c r="C59" s="86" t="s">
        <v>5</v>
      </c>
      <c r="D59" s="87" t="s">
        <v>10</v>
      </c>
    </row>
    <row r="60" hidden="1" customHeight="1" spans="3:4">
      <c r="C60" s="86" t="s">
        <v>7</v>
      </c>
      <c r="D60" s="87" t="s">
        <v>21</v>
      </c>
    </row>
    <row r="61" hidden="1" customHeight="1" spans="3:4">
      <c r="D61" s="87" t="s">
        <v>22</v>
      </c>
    </row>
    <row r="62" hidden="1" customHeight="1"/>
    <row r="63" hidden="1" customHeight="1"/>
    <row r="64" hidden="1" customHeight="1"/>
    <row r="65" hidden="1" customHeight="1"/>
    <row r="66" hidden="1" customHeight="1"/>
    <row r="67" hidden="1" customHeight="1"/>
    <row r="68" hidden="1" customHeight="1" spans="3:4">
      <c r="C68" s="86" t="s">
        <v>3</v>
      </c>
      <c r="D68" s="87" t="s">
        <v>23</v>
      </c>
    </row>
    <row r="69" hidden="1" customHeight="1" spans="3:4">
      <c r="C69" s="86" t="s">
        <v>5</v>
      </c>
      <c r="D69" s="87" t="s">
        <v>24</v>
      </c>
    </row>
    <row r="70" hidden="1" customHeight="1" spans="3:4">
      <c r="C70" s="86" t="s">
        <v>7</v>
      </c>
      <c r="D70" s="87" t="s">
        <v>8</v>
      </c>
    </row>
    <row r="71" hidden="1" customHeight="1" spans="3:4">
      <c r="C71" s="86" t="s">
        <v>9</v>
      </c>
      <c r="D71" s="87" t="s">
        <v>10</v>
      </c>
    </row>
    <row r="72" hidden="1" customHeight="1"/>
    <row r="73" hidden="1" customHeight="1"/>
    <row r="74" hidden="1" customHeight="1"/>
    <row r="75" hidden="1" customHeight="1"/>
    <row r="76" hidden="1" customHeight="1"/>
    <row r="77" hidden="1" customHeight="1"/>
    <row r="78" hidden="1" customHeight="1" spans="3:4">
      <c r="C78" s="86" t="s">
        <v>3</v>
      </c>
      <c r="D78" s="87" t="s">
        <v>25</v>
      </c>
    </row>
    <row r="79" hidden="1" customHeight="1" spans="3:4">
      <c r="C79" s="86" t="s">
        <v>5</v>
      </c>
      <c r="D79" s="87" t="s">
        <v>6</v>
      </c>
    </row>
    <row r="80" hidden="1" customHeight="1" spans="3:4">
      <c r="C80" s="86" t="s">
        <v>7</v>
      </c>
      <c r="D80" s="87" t="s">
        <v>8</v>
      </c>
    </row>
    <row r="81" hidden="1" customHeight="1" spans="3:4">
      <c r="C81" s="86" t="s">
        <v>9</v>
      </c>
      <c r="D81" s="87" t="s">
        <v>10</v>
      </c>
    </row>
    <row r="82" hidden="1" customHeight="1"/>
    <row r="83" hidden="1" customHeight="1"/>
    <row r="84" hidden="1" customHeight="1"/>
    <row r="85" hidden="1" customHeight="1"/>
    <row r="86" hidden="1" customHeight="1"/>
    <row r="87" hidden="1" customHeight="1"/>
    <row r="88" hidden="1" customHeight="1" spans="3:4">
      <c r="C88" s="86" t="s">
        <v>3</v>
      </c>
      <c r="D88" s="87" t="s">
        <v>26</v>
      </c>
    </row>
    <row r="89" hidden="1" customHeight="1" spans="3:4">
      <c r="C89" s="86" t="s">
        <v>5</v>
      </c>
      <c r="D89" s="87" t="s">
        <v>10</v>
      </c>
    </row>
    <row r="90" hidden="1" customHeight="1" spans="3:4">
      <c r="C90" s="86" t="s">
        <v>7</v>
      </c>
      <c r="D90" s="87" t="s">
        <v>27</v>
      </c>
    </row>
    <row r="91" hidden="1" customHeight="1"/>
    <row r="92" hidden="1" customHeight="1"/>
    <row r="93" hidden="1" customHeight="1"/>
    <row r="94" hidden="1" customHeight="1"/>
    <row r="95" hidden="1" customHeight="1"/>
    <row r="96" hidden="1" customHeight="1"/>
    <row r="97" hidden="1" customHeight="1"/>
    <row r="98" hidden="1" customHeight="1" spans="3:4">
      <c r="C98" s="86" t="s">
        <v>3</v>
      </c>
      <c r="D98" s="87" t="s">
        <v>28</v>
      </c>
    </row>
    <row r="99" hidden="1" customHeight="1" spans="3:4">
      <c r="C99" s="86" t="s">
        <v>5</v>
      </c>
      <c r="D99" s="87" t="s">
        <v>10</v>
      </c>
    </row>
    <row r="100" hidden="1" customHeight="1" spans="3:4">
      <c r="C100" s="86" t="s">
        <v>7</v>
      </c>
      <c r="D100" s="87" t="s">
        <v>27</v>
      </c>
    </row>
    <row r="101" hidden="1" customHeight="1"/>
    <row r="102" hidden="1" customHeight="1"/>
    <row r="103" hidden="1" customHeight="1"/>
    <row r="104" hidden="1" customHeight="1"/>
    <row r="105" hidden="1" customHeight="1"/>
    <row r="106" hidden="1" customHeight="1"/>
    <row r="107" hidden="1" customHeight="1"/>
    <row r="108" hidden="1" customHeight="1" spans="3:4">
      <c r="C108" s="86" t="s">
        <v>3</v>
      </c>
      <c r="D108" s="87" t="s">
        <v>29</v>
      </c>
    </row>
    <row r="109" hidden="1" customHeight="1" spans="3:4">
      <c r="C109" s="86" t="s">
        <v>5</v>
      </c>
      <c r="D109" s="87" t="s">
        <v>10</v>
      </c>
    </row>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spans="3:4">
      <c r="C118" s="86" t="s">
        <v>3</v>
      </c>
      <c r="D118" s="87" t="s">
        <v>30</v>
      </c>
    </row>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spans="3:4">
      <c r="C128" s="86" t="s">
        <v>3</v>
      </c>
      <c r="D128" s="87" t="s">
        <v>31</v>
      </c>
    </row>
    <row r="129" hidden="1" customHeight="1" spans="3:4">
      <c r="C129" s="86" t="s">
        <v>5</v>
      </c>
      <c r="D129" s="87" t="s">
        <v>10</v>
      </c>
    </row>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algorithmName="SHA-512" hashValue="okvEhGYhuH6dX8aWOf+qN7j1MgZzSCxWAtUhBFeHL2jgW4JGkYeZ7kep7zsXzqIoWBdrl3v8Fa5O64LgEm2AUA==" saltValue="L+40QBPa68JDPkZ5MUGvBA==" spinCount="100000"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2" sqref="E12"/>
    </sheetView>
  </sheetViews>
  <sheetFormatPr defaultColWidth="9" defaultRowHeight="14.25" outlineLevelRow="2" outlineLevelCol="4"/>
  <cols>
    <col min="1" max="1" width="9.375"/>
    <col min="3" max="3" width="11.5"/>
  </cols>
  <sheetData>
    <row r="1" spans="1:5">
      <c r="A1" s="72">
        <v>58441</v>
      </c>
      <c r="C1" s="72">
        <v>47848</v>
      </c>
      <c r="D1">
        <v>1000</v>
      </c>
      <c r="E1">
        <v>10</v>
      </c>
    </row>
    <row r="3" spans="1:5">
      <c r="A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AO5"/>
  <sheetViews>
    <sheetView showGridLines="0" workbookViewId="0">
      <pane ySplit="4" topLeftCell="A5" activePane="bottomLeft" state="frozen"/>
      <selection/>
      <selection pane="bottomLeft" activeCell="E9" sqref="E9"/>
    </sheetView>
  </sheetViews>
  <sheetFormatPr defaultColWidth="9" defaultRowHeight="20" customHeight="1" outlineLevelRow="4"/>
  <cols>
    <col min="1" max="1" width="4.625" customWidth="1"/>
    <col min="2" max="2" width="4.625" hidden="1" customWidth="1"/>
    <col min="3" max="7" width="12.625" style="1" customWidth="1"/>
    <col min="8" max="8" width="20" style="1" customWidth="1"/>
    <col min="9" max="17" width="12.625" style="1" customWidth="1"/>
    <col min="18" max="18" width="22.75" style="1" customWidth="1"/>
    <col min="19" max="41" width="12.625" style="1" customWidth="1"/>
  </cols>
  <sheetData>
    <row r="1" ht="54.75" customHeight="1" spans="2:41">
      <c r="C1" s="27"/>
      <c r="D1" s="28"/>
      <c r="E1" s="27"/>
      <c r="F1" s="27"/>
      <c r="G1" s="81">
        <f ca="1">TODAY()</f>
        <v>46099</v>
      </c>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row>
    <row r="2" ht="40" customHeight="1" spans="2:41">
      <c r="C2" s="4" t="s">
        <v>33</v>
      </c>
      <c r="D2" s="28"/>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row>
    <row r="3" ht="30" customHeight="1" spans="2:41">
      <c r="C3" s="27"/>
      <c r="D3" s="28"/>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row>
    <row r="4" ht="30" customHeight="1" spans="2:41">
      <c r="C4" s="7" t="s">
        <v>34</v>
      </c>
      <c r="D4" s="8" t="s">
        <v>35</v>
      </c>
      <c r="E4" s="7" t="s">
        <v>36</v>
      </c>
      <c r="F4" s="7">
        <v>1</v>
      </c>
      <c r="G4" s="7">
        <v>2</v>
      </c>
      <c r="H4" s="7">
        <v>3</v>
      </c>
      <c r="I4" s="7">
        <v>4</v>
      </c>
      <c r="J4" s="7">
        <v>5</v>
      </c>
      <c r="K4" s="7">
        <v>6</v>
      </c>
      <c r="L4" s="7">
        <v>7</v>
      </c>
      <c r="M4" s="7">
        <v>8</v>
      </c>
      <c r="N4" s="7">
        <v>9</v>
      </c>
      <c r="O4" s="7">
        <v>10</v>
      </c>
      <c r="P4" s="7">
        <v>11</v>
      </c>
      <c r="Q4" s="7">
        <v>12</v>
      </c>
      <c r="R4" s="7">
        <v>13</v>
      </c>
      <c r="S4" s="7">
        <v>14</v>
      </c>
      <c r="T4" s="7">
        <v>15</v>
      </c>
      <c r="U4" s="7">
        <v>16</v>
      </c>
      <c r="V4" s="7">
        <v>17</v>
      </c>
      <c r="W4" s="7">
        <v>18</v>
      </c>
      <c r="X4" s="7">
        <v>19</v>
      </c>
      <c r="Y4" s="7">
        <v>20</v>
      </c>
      <c r="Z4" s="7">
        <v>21</v>
      </c>
      <c r="AA4" s="7">
        <v>22</v>
      </c>
      <c r="AB4" s="7">
        <v>23</v>
      </c>
      <c r="AC4" s="7">
        <v>24</v>
      </c>
      <c r="AD4" s="7">
        <v>25</v>
      </c>
      <c r="AE4" s="7">
        <v>26</v>
      </c>
      <c r="AF4" s="7">
        <v>27</v>
      </c>
      <c r="AG4" s="7">
        <v>28</v>
      </c>
      <c r="AH4" s="7">
        <v>29</v>
      </c>
      <c r="AI4" s="7">
        <v>30</v>
      </c>
      <c r="AJ4" s="7">
        <v>31</v>
      </c>
      <c r="AK4" s="7" t="s">
        <v>37</v>
      </c>
      <c r="AL4" s="7" t="s">
        <v>38</v>
      </c>
      <c r="AM4" s="7" t="s">
        <v>39</v>
      </c>
      <c r="AN4" s="7" t="s">
        <v>40</v>
      </c>
      <c r="AO4" s="7" t="s">
        <v>41</v>
      </c>
    </row>
    <row r="5" customHeight="1" spans="2:41">
      <c r="B5">
        <v>917</v>
      </c>
      <c r="C5" s="1">
        <v>2026</v>
      </c>
      <c r="D5" s="1">
        <v>3</v>
      </c>
      <c r="E5" s="1" t="s">
        <v>42</v>
      </c>
      <c r="F5" s="1" t="s">
        <v>43</v>
      </c>
      <c r="G5" s="1" t="s">
        <v>43</v>
      </c>
      <c r="H5" s="1" t="s">
        <v>43</v>
      </c>
      <c r="S5" s="68"/>
      <c r="U5" s="1" t="s">
        <v>43</v>
      </c>
      <c r="AK5" s="1">
        <v>1</v>
      </c>
      <c r="AL5" s="1">
        <v>4</v>
      </c>
      <c r="AO5" s="1">
        <v>0</v>
      </c>
    </row>
  </sheetData>
  <conditionalFormatting sqref="F13:Z13">
    <cfRule type="expression" dxfId="0" priority="11">
      <formula>MOD(ROW(),2)=0</formula>
    </cfRule>
  </conditionalFormatting>
  <conditionalFormatting sqref="AA13">
    <cfRule type="expression" dxfId="0" priority="10">
      <formula>MOD(ROW(),2)=0</formula>
    </cfRule>
  </conditionalFormatting>
  <conditionalFormatting sqref="AB13">
    <cfRule type="expression" dxfId="0" priority="9">
      <formula>MOD(ROW(),2)=0</formula>
    </cfRule>
  </conditionalFormatting>
  <conditionalFormatting sqref="AC13">
    <cfRule type="expression" dxfId="0" priority="8">
      <formula>MOD(ROW(),2)=0</formula>
    </cfRule>
  </conditionalFormatting>
  <conditionalFormatting sqref="AD13">
    <cfRule type="expression" dxfId="0" priority="7">
      <formula>MOD(ROW(),2)=0</formula>
    </cfRule>
  </conditionalFormatting>
  <conditionalFormatting sqref="AE13">
    <cfRule type="expression" dxfId="0" priority="6">
      <formula>MOD(ROW(),2)=0</formula>
    </cfRule>
  </conditionalFormatting>
  <conditionalFormatting sqref="AF13">
    <cfRule type="expression" dxfId="0" priority="5">
      <formula>MOD(ROW(),2)=0</formula>
    </cfRule>
  </conditionalFormatting>
  <conditionalFormatting sqref="AG13">
    <cfRule type="expression" dxfId="0" priority="4">
      <formula>MOD(ROW(),2)=0</formula>
    </cfRule>
  </conditionalFormatting>
  <conditionalFormatting sqref="AH13">
    <cfRule type="expression" dxfId="0" priority="3">
      <formula>MOD(ROW(),2)=0</formula>
    </cfRule>
  </conditionalFormatting>
  <conditionalFormatting sqref="AI13">
    <cfRule type="expression" dxfId="0" priority="2">
      <formula>MOD(ROW(),2)=0</formula>
    </cfRule>
  </conditionalFormatting>
  <conditionalFormatting sqref="AJ13">
    <cfRule type="expression" dxfId="0" priority="1">
      <formula>MOD(ROW(),2)=0</formula>
    </cfRule>
  </conditionalFormatting>
  <conditionalFormatting sqref="AK13">
    <cfRule type="expression" dxfId="0" priority="16">
      <formula>MOD(ROW(),2)=0</formula>
    </cfRule>
  </conditionalFormatting>
  <conditionalFormatting sqref="AL13">
    <cfRule type="expression" dxfId="0" priority="15">
      <formula>MOD(ROW(),2)=0</formula>
    </cfRule>
  </conditionalFormatting>
  <conditionalFormatting sqref="AM13">
    <cfRule type="expression" dxfId="0" priority="14">
      <formula>MOD(ROW(),2)=0</formula>
    </cfRule>
  </conditionalFormatting>
  <conditionalFormatting sqref="AN13">
    <cfRule type="expression" dxfId="0" priority="13">
      <formula>MOD(ROW(),2)=0</formula>
    </cfRule>
  </conditionalFormatting>
  <conditionalFormatting sqref="AO13">
    <cfRule type="expression" dxfId="0" priority="12">
      <formula>MOD(ROW(),2)=0</formula>
    </cfRule>
  </conditionalFormatting>
  <conditionalFormatting sqref="C5:Z10 C11:AJ11 C12:Z12 C13:E13 C14:Z1048576">
    <cfRule type="expression" dxfId="0" priority="43">
      <formula>MOD(ROW(),2)=0</formula>
    </cfRule>
  </conditionalFormatting>
  <conditionalFormatting sqref="AA5:AA10 AA12 AA14:AA1048576">
    <cfRule type="expression" dxfId="0" priority="42">
      <formula>MOD(ROW(),2)=0</formula>
    </cfRule>
  </conditionalFormatting>
  <conditionalFormatting sqref="AB5:AB10 AB12 AB14:AB1048576">
    <cfRule type="expression" dxfId="0" priority="41">
      <formula>MOD(ROW(),2)=0</formula>
    </cfRule>
  </conditionalFormatting>
  <conditionalFormatting sqref="AC5:AC10 AC12 AC14:AC1048576">
    <cfRule type="expression" dxfId="0" priority="40">
      <formula>MOD(ROW(),2)=0</formula>
    </cfRule>
  </conditionalFormatting>
  <conditionalFormatting sqref="AD5:AD10 AD12 AD14:AD1048576">
    <cfRule type="expression" dxfId="0" priority="39">
      <formula>MOD(ROW(),2)=0</formula>
    </cfRule>
  </conditionalFormatting>
  <conditionalFormatting sqref="AE5:AE10 AE12 AE14:AE1048576">
    <cfRule type="expression" dxfId="0" priority="38">
      <formula>MOD(ROW(),2)=0</formula>
    </cfRule>
  </conditionalFormatting>
  <conditionalFormatting sqref="AF5:AF10 AF12 AF14:AF1048576">
    <cfRule type="expression" dxfId="0" priority="37">
      <formula>MOD(ROW(),2)=0</formula>
    </cfRule>
  </conditionalFormatting>
  <conditionalFormatting sqref="AG5:AG10 AG12 AG14:AG1048576">
    <cfRule type="expression" dxfId="0" priority="36">
      <formula>MOD(ROW(),2)=0</formula>
    </cfRule>
  </conditionalFormatting>
  <conditionalFormatting sqref="AH5:AH10 AH12 AH14:AH1048576">
    <cfRule type="expression" dxfId="0" priority="35">
      <formula>MOD(ROW(),2)=0</formula>
    </cfRule>
  </conditionalFormatting>
  <conditionalFormatting sqref="AI5:AI10 AI12 AI14:AI1048576">
    <cfRule type="expression" dxfId="0" priority="34">
      <formula>MOD(ROW(),2)=0</formula>
    </cfRule>
  </conditionalFormatting>
  <conditionalFormatting sqref="AJ5:AJ10 AJ12 AJ14:AJ1048576">
    <cfRule type="expression" dxfId="0" priority="33">
      <formula>MOD(ROW(),2)=0</formula>
    </cfRule>
  </conditionalFormatting>
  <conditionalFormatting sqref="AK5:AK12 AK14:AK1048576">
    <cfRule type="expression" dxfId="0" priority="32">
      <formula>MOD(ROW(),2)=0</formula>
    </cfRule>
  </conditionalFormatting>
  <conditionalFormatting sqref="AL5:AL12 AL14:AL1048576">
    <cfRule type="expression" dxfId="0" priority="31">
      <formula>MOD(ROW(),2)=0</formula>
    </cfRule>
  </conditionalFormatting>
  <conditionalFormatting sqref="AM5:AM12 AM14:AM1048576">
    <cfRule type="expression" dxfId="0" priority="30">
      <formula>MOD(ROW(),2)=0</formula>
    </cfRule>
  </conditionalFormatting>
  <conditionalFormatting sqref="AN5:AN12 AN14:AN1048576">
    <cfRule type="expression" dxfId="0" priority="29">
      <formula>MOD(ROW(),2)=0</formula>
    </cfRule>
  </conditionalFormatting>
  <conditionalFormatting sqref="AO5:AO12 AO14:AO1048576">
    <cfRule type="expression" dxfId="0" priority="28">
      <formula>MOD(ROW(),2)=0</formula>
    </cfRule>
  </conditionalFormatting>
  <dataValidations count="3">
    <dataValidation type="list" allowBlank="1" showInputMessage="1" showErrorMessage="1" sqref="D14">
      <formula1>"01,02,03,04,05,06,07,08,09,10,11,12"</formula1>
    </dataValidation>
    <dataValidation type="list" allowBlank="1" showInputMessage="1" showErrorMessage="1" sqref="D5:D13 D15:D1048576">
      <formula1>"1,2,3,4,5,6,7,8,9,10,11,12"</formula1>
    </dataValidation>
    <dataValidation type="list" allowBlank="1" showInputMessage="1" showErrorMessage="1" sqref="F5:AJ1048576">
      <formula1>"-,出勤,旷勤,请假,迟到,早退"</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AD14"/>
  <sheetViews>
    <sheetView showGridLines="0" workbookViewId="0">
      <pane ySplit="4" topLeftCell="A5" activePane="bottomLeft" state="frozen"/>
      <selection/>
      <selection pane="bottomLeft" activeCell="G9" sqref="G9"/>
    </sheetView>
  </sheetViews>
  <sheetFormatPr defaultColWidth="9" defaultRowHeight="20" customHeight="1"/>
  <cols>
    <col min="1" max="1" width="4.625" customWidth="1"/>
    <col min="2" max="2" width="4.625" hidden="1" customWidth="1"/>
    <col min="3" max="5" width="12.625" style="78" customWidth="1"/>
    <col min="6" max="7" width="12.625" style="64" customWidth="1"/>
    <col min="8" max="8" width="20" style="64" customWidth="1"/>
    <col min="9" max="10" width="12.625" style="78" customWidth="1"/>
    <col min="11" max="11" width="12.625" style="64" customWidth="1"/>
    <col min="12" max="17" width="12.625" style="78" customWidth="1"/>
    <col min="18" max="18" width="22.75" style="64" customWidth="1"/>
    <col min="19" max="26" width="12.625" style="78" customWidth="1"/>
    <col min="27" max="27" width="21.625" style="78" customWidth="1"/>
    <col min="28" max="28" width="22" style="78" customWidth="1"/>
    <col min="29" max="29" width="12.625" style="78" customWidth="1"/>
    <col min="30" max="30" width="22.25" style="78" customWidth="1"/>
  </cols>
  <sheetData>
    <row r="1" ht="54.75" customHeight="1" spans="2:30">
      <c r="C1"/>
      <c r="D1"/>
      <c r="E1"/>
      <c r="F1" s="48"/>
      <c r="G1" s="48"/>
      <c r="H1" s="48"/>
      <c r="I1"/>
      <c r="J1"/>
      <c r="K1" s="48"/>
      <c r="L1"/>
      <c r="M1"/>
      <c r="N1"/>
      <c r="O1"/>
      <c r="P1"/>
      <c r="Q1"/>
      <c r="R1" s="48"/>
      <c r="S1"/>
      <c r="T1"/>
      <c r="U1"/>
      <c r="V1"/>
      <c r="W1"/>
      <c r="X1"/>
      <c r="Y1"/>
      <c r="Z1"/>
      <c r="AA1"/>
      <c r="AB1"/>
      <c r="AC1"/>
      <c r="AD1"/>
    </row>
    <row r="2" ht="40" customHeight="1" spans="2:30">
      <c r="C2" s="4" t="s">
        <v>44</v>
      </c>
      <c r="D2"/>
      <c r="E2"/>
      <c r="F2" s="48"/>
      <c r="G2" s="48"/>
      <c r="H2" s="48"/>
      <c r="I2"/>
      <c r="J2"/>
      <c r="K2" s="48"/>
      <c r="L2"/>
      <c r="M2"/>
      <c r="N2"/>
      <c r="O2"/>
      <c r="P2"/>
      <c r="Q2"/>
      <c r="R2" s="48"/>
      <c r="S2"/>
      <c r="T2"/>
      <c r="U2"/>
      <c r="V2"/>
      <c r="W2"/>
      <c r="X2"/>
      <c r="Y2"/>
      <c r="Z2" s="72"/>
      <c r="AA2"/>
      <c r="AB2"/>
      <c r="AC2"/>
      <c r="AD2"/>
    </row>
    <row r="3" ht="30" customHeight="1" spans="2:30">
      <c r="C3"/>
      <c r="D3"/>
      <c r="E3"/>
      <c r="F3" s="48"/>
      <c r="G3" s="48"/>
      <c r="H3" s="48"/>
      <c r="I3"/>
      <c r="J3"/>
      <c r="K3" s="48"/>
      <c r="L3"/>
      <c r="M3"/>
      <c r="N3"/>
      <c r="O3"/>
      <c r="P3"/>
      <c r="Q3"/>
      <c r="R3" s="48"/>
      <c r="S3"/>
      <c r="T3"/>
      <c r="U3"/>
      <c r="V3"/>
      <c r="W3"/>
      <c r="X3"/>
      <c r="Y3"/>
      <c r="Z3" s="72"/>
      <c r="AA3"/>
      <c r="AB3"/>
      <c r="AC3"/>
      <c r="AD3"/>
    </row>
    <row r="4" ht="30" customHeight="1" spans="2:30">
      <c r="C4" s="79" t="s">
        <v>36</v>
      </c>
      <c r="D4" s="79" t="s">
        <v>45</v>
      </c>
      <c r="E4" s="79" t="s">
        <v>46</v>
      </c>
      <c r="F4" s="65" t="s">
        <v>47</v>
      </c>
      <c r="G4" s="65" t="s">
        <v>48</v>
      </c>
      <c r="H4" s="65" t="s">
        <v>49</v>
      </c>
      <c r="I4" s="79" t="s">
        <v>50</v>
      </c>
      <c r="J4" s="79" t="s">
        <v>51</v>
      </c>
      <c r="K4" s="65" t="s">
        <v>52</v>
      </c>
      <c r="L4" s="79" t="s">
        <v>53</v>
      </c>
      <c r="M4" s="80" t="s">
        <v>54</v>
      </c>
      <c r="N4" s="79" t="s">
        <v>55</v>
      </c>
      <c r="O4" s="79" t="s">
        <v>56</v>
      </c>
      <c r="P4" s="79" t="s">
        <v>57</v>
      </c>
      <c r="Q4" s="79" t="s">
        <v>58</v>
      </c>
      <c r="R4" s="65" t="s">
        <v>59</v>
      </c>
      <c r="S4" s="80" t="s">
        <v>60</v>
      </c>
      <c r="T4" s="79" t="s">
        <v>61</v>
      </c>
      <c r="U4" s="79" t="s">
        <v>62</v>
      </c>
      <c r="V4" s="79" t="s">
        <v>63</v>
      </c>
      <c r="W4" s="79" t="s">
        <v>64</v>
      </c>
      <c r="X4" s="79" t="s">
        <v>65</v>
      </c>
      <c r="Y4" s="79" t="s">
        <v>66</v>
      </c>
      <c r="Z4" s="80" t="s">
        <v>67</v>
      </c>
      <c r="AA4" s="79" t="s">
        <v>68</v>
      </c>
      <c r="AB4" s="79" t="s">
        <v>69</v>
      </c>
      <c r="AC4" s="79" t="s">
        <v>70</v>
      </c>
      <c r="AD4" s="79" t="s">
        <v>71</v>
      </c>
    </row>
    <row r="5" customHeight="1" spans="2:30">
      <c r="B5">
        <v>210</v>
      </c>
      <c r="C5" s="78" t="s">
        <v>72</v>
      </c>
      <c r="D5" s="78" t="s">
        <v>73</v>
      </c>
      <c r="E5" s="78" t="s">
        <v>74</v>
      </c>
      <c r="F5" s="64" t="s">
        <v>75</v>
      </c>
      <c r="G5" s="64" t="s">
        <v>76</v>
      </c>
      <c r="H5" s="64" t="s">
        <v>77</v>
      </c>
      <c r="I5" s="78" t="s">
        <v>78</v>
      </c>
      <c r="J5" s="78" t="s">
        <v>79</v>
      </c>
      <c r="K5" s="64" t="s">
        <v>80</v>
      </c>
      <c r="L5" s="78" t="s">
        <v>81</v>
      </c>
      <c r="M5" s="68">
        <v>45583</v>
      </c>
      <c r="N5" s="78" t="s">
        <v>82</v>
      </c>
      <c r="O5" s="78" t="s">
        <v>83</v>
      </c>
      <c r="P5" s="78">
        <v>9000</v>
      </c>
      <c r="Q5" s="78">
        <v>2000</v>
      </c>
      <c r="R5" s="64" t="s">
        <v>84</v>
      </c>
      <c r="S5" s="68">
        <v>43922</v>
      </c>
      <c r="T5" s="78">
        <v>3</v>
      </c>
      <c r="Z5" s="68"/>
      <c r="AD5" s="78" t="s">
        <v>85</v>
      </c>
    </row>
    <row r="6" customHeight="1" spans="2:30">
      <c r="M6" s="68"/>
      <c r="S6" s="68"/>
      <c r="Z6" s="68"/>
    </row>
    <row r="7" customHeight="1" spans="2:30">
      <c r="M7" s="68"/>
      <c r="S7" s="68"/>
      <c r="Z7" s="68"/>
    </row>
    <row r="8" customHeight="1" spans="2:30">
      <c r="M8" s="68"/>
      <c r="S8" s="68"/>
      <c r="Z8" s="68"/>
      <c r="AD8" s="68"/>
    </row>
    <row r="9" customHeight="1" spans="2:30">
      <c r="M9" s="68"/>
      <c r="S9" s="68"/>
      <c r="Z9" s="68"/>
      <c r="AD9" s="68"/>
    </row>
    <row r="10" customHeight="1" spans="2:30">
      <c r="M10" s="68"/>
      <c r="S10" s="68"/>
      <c r="Z10" s="68"/>
      <c r="AD10" s="68"/>
    </row>
    <row r="11" customHeight="1" spans="2:30">
      <c r="M11" s="68"/>
      <c r="S11" s="68"/>
      <c r="Z11" s="68"/>
    </row>
    <row r="12" customHeight="1" spans="2:30">
      <c r="M12" s="68"/>
      <c r="S12" s="68"/>
      <c r="AD12" s="68"/>
    </row>
    <row r="13" customHeight="1" spans="2:30">
      <c r="M13" s="68"/>
      <c r="S13" s="68"/>
    </row>
    <row r="14" customHeight="1" spans="2:30">
      <c r="M14" s="68"/>
      <c r="S14" s="68"/>
      <c r="AD14" s="68"/>
    </row>
  </sheetData>
  <conditionalFormatting sqref="N14">
    <cfRule type="expression" dxfId="0" priority="2">
      <formula>MOD(ROW(),2)=0</formula>
    </cfRule>
  </conditionalFormatting>
  <conditionalFormatting sqref="O14">
    <cfRule type="expression" dxfId="0" priority="1">
      <formula>MOD(ROW(),2)=0</formula>
    </cfRule>
  </conditionalFormatting>
  <conditionalFormatting sqref="AD14">
    <cfRule type="expression" dxfId="0" priority="3">
      <formula>MOD(ROW(),2)=0</formula>
    </cfRule>
  </conditionalFormatting>
  <conditionalFormatting sqref="C5:AC13 C15:AC1048576">
    <cfRule type="expression" dxfId="0" priority="8">
      <formula>MOD(ROW(),2)=0</formula>
    </cfRule>
  </conditionalFormatting>
  <conditionalFormatting sqref="AD5:AD13 AD15:AD1048576">
    <cfRule type="expression" dxfId="0" priority="7">
      <formula>MOD(ROW(),2)=0</formula>
    </cfRule>
  </conditionalFormatting>
  <conditionalFormatting sqref="C14:M14 P14:AC14">
    <cfRule type="expression" dxfId="0" priority="4">
      <formula>MOD(ROW(),2)=0</formula>
    </cfRule>
  </conditionalFormatting>
  <dataValidations count="2">
    <dataValidation type="list" allowBlank="1" showInputMessage="1" showErrorMessage="1" sqref="D5:D1048576">
      <formula1>配置表!$E$5:$E$65536</formula1>
    </dataValidation>
    <dataValidation type="list" allowBlank="1" showInputMessage="1" showErrorMessage="1" sqref="E5:E1048576">
      <formula1>配置表!$F$5:$F$65536</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EU24"/>
  <sheetViews>
    <sheetView topLeftCell="A13" workbookViewId="0">
      <selection activeCell="E12" sqref="E12"/>
    </sheetView>
  </sheetViews>
  <sheetFormatPr defaultColWidth="9" defaultRowHeight="14.25"/>
  <cols>
    <col min="25" max="25" width="12.625" style="48"/>
    <col min="26" max="26" width="11.5" style="75"/>
    <col min="29" max="29" width="12.625" style="48"/>
    <col min="81" max="81" width="11.5" style="27"/>
    <col min="82" max="82" width="9" style="27"/>
    <col min="83" max="83" width="12.375" style="75" customWidth="1"/>
    <col min="84" max="84" width="9" style="75"/>
  </cols>
  <sheetData>
    <row r="1" spans="1:151">
      <c r="A1" t="s">
        <v>86</v>
      </c>
      <c r="B1" t="s">
        <v>36</v>
      </c>
      <c r="C1" t="s">
        <v>47</v>
      </c>
      <c r="D1" t="s">
        <v>48</v>
      </c>
      <c r="E1" t="s">
        <v>87</v>
      </c>
      <c r="J1" t="s">
        <v>88</v>
      </c>
      <c r="K1" t="s">
        <v>89</v>
      </c>
      <c r="L1" t="s">
        <v>90</v>
      </c>
      <c r="M1" t="s">
        <v>91</v>
      </c>
      <c r="N1" t="s">
        <v>92</v>
      </c>
      <c r="O1" t="s">
        <v>93</v>
      </c>
      <c r="P1" t="s">
        <v>94</v>
      </c>
      <c r="V1" s="27" t="s">
        <v>36</v>
      </c>
      <c r="W1" s="27" t="s">
        <v>45</v>
      </c>
      <c r="X1" s="27" t="s">
        <v>95</v>
      </c>
      <c r="Y1" s="48" t="s">
        <v>49</v>
      </c>
      <c r="Z1" s="75" t="s">
        <v>60</v>
      </c>
      <c r="AA1" s="27" t="s">
        <v>57</v>
      </c>
      <c r="AB1" s="27" t="s">
        <v>58</v>
      </c>
      <c r="AC1" s="48" t="s">
        <v>96</v>
      </c>
      <c r="AI1" t="s">
        <v>45</v>
      </c>
      <c r="AJ1" t="s">
        <v>36</v>
      </c>
      <c r="AK1" t="s">
        <v>95</v>
      </c>
      <c r="AL1" t="s">
        <v>57</v>
      </c>
      <c r="AM1" t="s">
        <v>97</v>
      </c>
      <c r="AN1" t="s">
        <v>98</v>
      </c>
      <c r="AO1" t="s">
        <v>99</v>
      </c>
      <c r="AP1" t="s">
        <v>100</v>
      </c>
      <c r="AQ1" t="s">
        <v>101</v>
      </c>
      <c r="AR1" t="s">
        <v>102</v>
      </c>
      <c r="AS1" t="s">
        <v>103</v>
      </c>
      <c r="AT1" t="s">
        <v>104</v>
      </c>
      <c r="AU1" t="s">
        <v>105</v>
      </c>
      <c r="AV1" t="s">
        <v>106</v>
      </c>
      <c r="AW1" t="s">
        <v>107</v>
      </c>
      <c r="AX1" t="s">
        <v>41</v>
      </c>
      <c r="AY1" t="s">
        <v>108</v>
      </c>
      <c r="AZ1" t="s">
        <v>109</v>
      </c>
      <c r="BA1" t="s">
        <v>110</v>
      </c>
      <c r="BB1" t="s">
        <v>111</v>
      </c>
      <c r="BC1" t="s">
        <v>112</v>
      </c>
      <c r="BD1" t="s">
        <v>113</v>
      </c>
      <c r="BE1" t="s">
        <v>114</v>
      </c>
      <c r="BF1" t="s">
        <v>115</v>
      </c>
      <c r="BG1" t="s">
        <v>116</v>
      </c>
      <c r="BH1" t="s">
        <v>117</v>
      </c>
      <c r="BI1" t="s">
        <v>118</v>
      </c>
      <c r="BJ1" t="s">
        <v>119</v>
      </c>
      <c r="BK1" t="s">
        <v>120</v>
      </c>
      <c r="BL1" t="s">
        <v>121</v>
      </c>
      <c r="BM1" t="s">
        <v>122</v>
      </c>
      <c r="BN1" t="s">
        <v>123</v>
      </c>
      <c r="BO1" t="s">
        <v>124</v>
      </c>
      <c r="BP1" t="s">
        <v>125</v>
      </c>
      <c r="BQ1" t="s">
        <v>126</v>
      </c>
      <c r="BR1" t="s">
        <v>127</v>
      </c>
      <c r="BS1" t="s">
        <v>128</v>
      </c>
      <c r="BT1" t="s">
        <v>120</v>
      </c>
      <c r="BU1" t="s">
        <v>121</v>
      </c>
      <c r="BV1" t="s">
        <v>122</v>
      </c>
      <c r="BW1" t="s">
        <v>129</v>
      </c>
      <c r="BX1" t="s">
        <v>130</v>
      </c>
      <c r="BY1" t="s">
        <v>131</v>
      </c>
      <c r="BZ1" t="s">
        <v>132</v>
      </c>
      <c r="CA1" t="s">
        <v>133</v>
      </c>
      <c r="CB1" t="s">
        <v>134</v>
      </c>
      <c r="CC1" s="27" t="s">
        <v>135</v>
      </c>
      <c r="CD1" s="27" t="s">
        <v>136</v>
      </c>
      <c r="CE1" s="75" t="s">
        <v>137</v>
      </c>
      <c r="CF1"/>
      <c r="CK1" t="s">
        <v>36</v>
      </c>
      <c r="CL1" t="s">
        <v>45</v>
      </c>
      <c r="CM1" t="s">
        <v>95</v>
      </c>
      <c r="CN1" t="s">
        <v>114</v>
      </c>
      <c r="CO1" t="s">
        <v>124</v>
      </c>
      <c r="CP1" t="s">
        <v>138</v>
      </c>
      <c r="CQ1" t="s">
        <v>115</v>
      </c>
      <c r="CR1" t="s">
        <v>125</v>
      </c>
      <c r="CS1" t="s">
        <v>139</v>
      </c>
      <c r="CT1" t="s">
        <v>117</v>
      </c>
      <c r="CU1" t="s">
        <v>118</v>
      </c>
      <c r="CV1" t="s">
        <v>140</v>
      </c>
      <c r="CW1" t="s">
        <v>141</v>
      </c>
      <c r="CX1" t="s">
        <v>137</v>
      </c>
      <c r="ES1" t="s">
        <v>142</v>
      </c>
      <c r="ET1" t="s">
        <v>143</v>
      </c>
      <c r="EU1" t="s">
        <v>144</v>
      </c>
    </row>
    <row r="2" spans="1:151">
      <c r="A2">
        <v>94</v>
      </c>
      <c r="B2" t="s">
        <v>145</v>
      </c>
      <c r="C2" t="s">
        <v>146</v>
      </c>
      <c r="D2" t="s">
        <v>146</v>
      </c>
      <c r="E2" t="s">
        <v>32</v>
      </c>
      <c r="J2">
        <v>94</v>
      </c>
      <c r="K2">
        <v>1</v>
      </c>
      <c r="L2">
        <v>1</v>
      </c>
      <c r="M2">
        <v>1</v>
      </c>
      <c r="N2">
        <v>1</v>
      </c>
      <c r="O2">
        <v>1</v>
      </c>
      <c r="P2" t="s">
        <v>1</v>
      </c>
      <c r="V2" t="s">
        <v>147</v>
      </c>
      <c r="W2" t="s">
        <v>148</v>
      </c>
      <c r="X2" t="s">
        <v>74</v>
      </c>
      <c r="Y2" s="48" t="s">
        <v>77</v>
      </c>
      <c r="Z2" s="75">
        <v>43922</v>
      </c>
      <c r="AA2">
        <v>9000</v>
      </c>
      <c r="AB2">
        <v>2000</v>
      </c>
      <c r="AC2" s="48" t="s">
        <v>84</v>
      </c>
      <c r="CK2" t="s">
        <v>149</v>
      </c>
      <c r="CL2" t="s">
        <v>150</v>
      </c>
      <c r="CM2" t="s">
        <v>74</v>
      </c>
      <c r="CN2">
        <v>60</v>
      </c>
      <c r="CO2">
        <v>60</v>
      </c>
      <c r="CP2">
        <v>120</v>
      </c>
      <c r="CQ2">
        <v>60</v>
      </c>
      <c r="CR2">
        <v>0</v>
      </c>
      <c r="CS2">
        <v>60</v>
      </c>
      <c r="CT2">
        <v>60</v>
      </c>
      <c r="CU2">
        <v>60</v>
      </c>
      <c r="CV2">
        <v>240</v>
      </c>
      <c r="CW2">
        <v>60</v>
      </c>
      <c r="CX2" s="72">
        <v>45005</v>
      </c>
      <c r="ES2" t="s">
        <v>151</v>
      </c>
      <c r="ET2" t="s">
        <v>151</v>
      </c>
      <c r="EU2" t="s">
        <v>152</v>
      </c>
    </row>
    <row r="3" spans="1:151">
      <c r="J3">
        <v>94</v>
      </c>
      <c r="K3">
        <v>1</v>
      </c>
      <c r="L3">
        <v>1</v>
      </c>
      <c r="M3">
        <v>1</v>
      </c>
      <c r="N3">
        <v>1</v>
      </c>
      <c r="O3">
        <v>1</v>
      </c>
      <c r="P3" t="s">
        <v>153</v>
      </c>
      <c r="V3" t="s">
        <v>145</v>
      </c>
      <c r="W3" t="s">
        <v>148</v>
      </c>
      <c r="X3" t="s">
        <v>154</v>
      </c>
      <c r="Y3" s="48" t="s">
        <v>155</v>
      </c>
      <c r="Z3" s="75">
        <v>43908</v>
      </c>
      <c r="AA3">
        <v>6000</v>
      </c>
      <c r="AB3">
        <v>2000</v>
      </c>
      <c r="AC3" s="48" t="s">
        <v>156</v>
      </c>
      <c r="CK3" t="s">
        <v>157</v>
      </c>
      <c r="CL3" t="s">
        <v>150</v>
      </c>
      <c r="CM3" t="s">
        <v>158</v>
      </c>
      <c r="CN3">
        <v>100</v>
      </c>
      <c r="CO3">
        <v>100</v>
      </c>
      <c r="CP3">
        <v>200</v>
      </c>
      <c r="CQ3">
        <v>100</v>
      </c>
      <c r="CR3">
        <v>0</v>
      </c>
      <c r="CS3">
        <v>100</v>
      </c>
      <c r="CT3">
        <v>100</v>
      </c>
      <c r="CU3">
        <v>100</v>
      </c>
      <c r="CV3">
        <v>400</v>
      </c>
      <c r="CW3">
        <v>100</v>
      </c>
      <c r="CX3" s="72">
        <v>45046</v>
      </c>
      <c r="ES3" t="s">
        <v>159</v>
      </c>
      <c r="ET3" t="s">
        <v>159</v>
      </c>
      <c r="EU3" t="s">
        <v>160</v>
      </c>
    </row>
    <row r="4" spans="1:151">
      <c r="J4">
        <v>94</v>
      </c>
      <c r="K4">
        <v>1</v>
      </c>
      <c r="L4">
        <v>1</v>
      </c>
      <c r="M4">
        <v>1</v>
      </c>
      <c r="N4">
        <v>1</v>
      </c>
      <c r="O4">
        <v>1</v>
      </c>
      <c r="P4" t="s">
        <v>161</v>
      </c>
      <c r="V4" t="s">
        <v>162</v>
      </c>
      <c r="W4" t="s">
        <v>148</v>
      </c>
      <c r="X4" t="s">
        <v>163</v>
      </c>
      <c r="Y4" s="48" t="s">
        <v>164</v>
      </c>
      <c r="Z4" s="75">
        <v>44378</v>
      </c>
      <c r="AA4">
        <v>5000</v>
      </c>
      <c r="AB4">
        <v>2000</v>
      </c>
      <c r="AC4" s="48" t="s">
        <v>165</v>
      </c>
      <c r="CK4" t="s">
        <v>166</v>
      </c>
      <c r="CL4" t="s">
        <v>150</v>
      </c>
      <c r="CM4" t="s">
        <v>74</v>
      </c>
      <c r="CN4">
        <v>60</v>
      </c>
      <c r="CO4">
        <v>60</v>
      </c>
      <c r="CP4">
        <v>120</v>
      </c>
      <c r="CQ4">
        <v>60</v>
      </c>
      <c r="CR4">
        <v>1000</v>
      </c>
      <c r="CS4">
        <v>1060</v>
      </c>
      <c r="CT4">
        <v>60</v>
      </c>
      <c r="CU4">
        <v>60</v>
      </c>
      <c r="CV4">
        <v>240</v>
      </c>
      <c r="CW4">
        <v>1060</v>
      </c>
      <c r="CX4" s="72">
        <v>45032</v>
      </c>
    </row>
    <row r="5" spans="1:151">
      <c r="J5">
        <v>94</v>
      </c>
      <c r="K5">
        <v>1</v>
      </c>
      <c r="L5">
        <v>1</v>
      </c>
      <c r="M5">
        <v>1</v>
      </c>
      <c r="N5">
        <v>1</v>
      </c>
      <c r="O5">
        <v>1</v>
      </c>
      <c r="P5" t="s">
        <v>167</v>
      </c>
      <c r="V5" t="s">
        <v>149</v>
      </c>
      <c r="W5" t="s">
        <v>150</v>
      </c>
      <c r="X5" t="s">
        <v>74</v>
      </c>
      <c r="Y5" s="48" t="s">
        <v>168</v>
      </c>
      <c r="Z5" s="75">
        <v>45017</v>
      </c>
      <c r="AA5">
        <v>3000</v>
      </c>
      <c r="AB5">
        <v>200</v>
      </c>
      <c r="AC5" s="48" t="s">
        <v>169</v>
      </c>
      <c r="CK5" t="s">
        <v>170</v>
      </c>
      <c r="CL5" t="s">
        <v>150</v>
      </c>
      <c r="CM5" t="s">
        <v>154</v>
      </c>
      <c r="CN5">
        <v>60</v>
      </c>
      <c r="CO5">
        <v>60</v>
      </c>
      <c r="CP5">
        <v>120</v>
      </c>
      <c r="CQ5">
        <v>60</v>
      </c>
      <c r="CR5">
        <v>60</v>
      </c>
      <c r="CS5">
        <v>120</v>
      </c>
      <c r="CT5">
        <v>60</v>
      </c>
      <c r="CU5">
        <v>60</v>
      </c>
      <c r="CV5">
        <v>240</v>
      </c>
      <c r="CW5">
        <v>120</v>
      </c>
      <c r="CX5" s="72">
        <v>46057</v>
      </c>
    </row>
    <row r="6" spans="1:151">
      <c r="J6">
        <v>94</v>
      </c>
      <c r="K6">
        <v>1</v>
      </c>
      <c r="L6">
        <v>1</v>
      </c>
      <c r="M6">
        <v>1</v>
      </c>
      <c r="N6">
        <v>1</v>
      </c>
      <c r="O6">
        <v>1</v>
      </c>
      <c r="P6" t="s">
        <v>171</v>
      </c>
      <c r="V6" t="s">
        <v>172</v>
      </c>
      <c r="W6" t="s">
        <v>148</v>
      </c>
      <c r="X6" t="s">
        <v>74</v>
      </c>
      <c r="Y6" s="48" t="s">
        <v>173</v>
      </c>
      <c r="Z6" s="75">
        <v>43020</v>
      </c>
      <c r="AA6">
        <v>5000</v>
      </c>
      <c r="AB6">
        <v>450</v>
      </c>
      <c r="AC6" s="48" t="s">
        <v>169</v>
      </c>
      <c r="CK6" t="s">
        <v>170</v>
      </c>
      <c r="CL6" t="s">
        <v>150</v>
      </c>
      <c r="CM6" t="s">
        <v>154</v>
      </c>
      <c r="CN6">
        <v>60</v>
      </c>
      <c r="CO6">
        <v>60</v>
      </c>
      <c r="CP6">
        <v>120</v>
      </c>
      <c r="CQ6">
        <v>60</v>
      </c>
      <c r="CR6">
        <v>60</v>
      </c>
      <c r="CS6">
        <v>120</v>
      </c>
      <c r="CT6">
        <v>60</v>
      </c>
      <c r="CU6">
        <v>60</v>
      </c>
      <c r="CV6">
        <v>240</v>
      </c>
      <c r="CW6">
        <v>120</v>
      </c>
      <c r="CX6" s="72">
        <v>46057</v>
      </c>
    </row>
    <row r="7" spans="1:151">
      <c r="J7">
        <v>94</v>
      </c>
      <c r="K7">
        <v>1</v>
      </c>
      <c r="L7">
        <v>1</v>
      </c>
      <c r="M7">
        <v>1</v>
      </c>
      <c r="N7">
        <v>1</v>
      </c>
      <c r="O7">
        <v>1</v>
      </c>
      <c r="P7" t="s">
        <v>174</v>
      </c>
      <c r="V7" t="s">
        <v>170</v>
      </c>
      <c r="W7" t="s">
        <v>150</v>
      </c>
      <c r="X7" t="s">
        <v>154</v>
      </c>
      <c r="Y7" s="48" t="s">
        <v>175</v>
      </c>
      <c r="Z7" s="75">
        <v>43922</v>
      </c>
      <c r="AA7">
        <v>3000</v>
      </c>
      <c r="AB7">
        <v>200</v>
      </c>
      <c r="AC7" s="48" t="s">
        <v>176</v>
      </c>
      <c r="CX7" s="72"/>
    </row>
    <row r="8" spans="1:151">
      <c r="J8">
        <v>94</v>
      </c>
      <c r="K8">
        <v>1</v>
      </c>
      <c r="L8">
        <v>1</v>
      </c>
      <c r="M8">
        <v>1</v>
      </c>
      <c r="N8">
        <v>1</v>
      </c>
      <c r="O8">
        <v>1</v>
      </c>
      <c r="P8" t="s">
        <v>177</v>
      </c>
      <c r="V8" t="s">
        <v>166</v>
      </c>
      <c r="W8" t="s">
        <v>150</v>
      </c>
      <c r="X8" t="s">
        <v>74</v>
      </c>
      <c r="Y8" s="48" t="s">
        <v>178</v>
      </c>
      <c r="Z8" s="75">
        <v>43922</v>
      </c>
      <c r="AA8">
        <v>3000</v>
      </c>
      <c r="AB8">
        <v>200</v>
      </c>
      <c r="AC8" s="48" t="s">
        <v>179</v>
      </c>
      <c r="CX8" s="72"/>
    </row>
    <row r="9" spans="1:151">
      <c r="J9">
        <v>94</v>
      </c>
      <c r="K9">
        <v>1</v>
      </c>
      <c r="L9">
        <v>1</v>
      </c>
      <c r="M9">
        <v>1</v>
      </c>
      <c r="N9">
        <v>1</v>
      </c>
      <c r="O9">
        <v>1</v>
      </c>
      <c r="P9" t="s">
        <v>180</v>
      </c>
      <c r="V9" t="s">
        <v>181</v>
      </c>
      <c r="W9" t="s">
        <v>73</v>
      </c>
      <c r="X9" t="s">
        <v>74</v>
      </c>
      <c r="Y9" s="48" t="s">
        <v>182</v>
      </c>
      <c r="Z9" s="75">
        <v>45006</v>
      </c>
      <c r="AA9">
        <v>5000</v>
      </c>
      <c r="AB9">
        <v>200</v>
      </c>
      <c r="AC9" s="48" t="s">
        <v>183</v>
      </c>
    </row>
    <row r="10" spans="1:151">
      <c r="J10">
        <v>94</v>
      </c>
      <c r="K10">
        <v>1</v>
      </c>
      <c r="L10">
        <v>1</v>
      </c>
      <c r="M10">
        <v>1</v>
      </c>
      <c r="N10">
        <v>1</v>
      </c>
      <c r="O10">
        <v>1</v>
      </c>
      <c r="P10" t="s">
        <v>184</v>
      </c>
      <c r="V10" t="s">
        <v>185</v>
      </c>
      <c r="W10" t="s">
        <v>186</v>
      </c>
      <c r="X10" t="s">
        <v>74</v>
      </c>
      <c r="Y10" s="48" t="s">
        <v>187</v>
      </c>
      <c r="Z10" s="75">
        <v>45017</v>
      </c>
      <c r="AA10">
        <v>3000</v>
      </c>
      <c r="AB10">
        <v>300</v>
      </c>
      <c r="AC10" s="48" t="s">
        <v>188</v>
      </c>
    </row>
    <row r="11" spans="1:151">
      <c r="J11">
        <v>94</v>
      </c>
      <c r="K11">
        <v>1</v>
      </c>
      <c r="L11">
        <v>1</v>
      </c>
      <c r="M11">
        <v>1</v>
      </c>
      <c r="N11">
        <v>1</v>
      </c>
      <c r="O11">
        <v>1</v>
      </c>
      <c r="P11" t="s">
        <v>189</v>
      </c>
    </row>
    <row r="12" spans="1:151">
      <c r="J12">
        <v>94</v>
      </c>
      <c r="K12">
        <v>1</v>
      </c>
      <c r="L12">
        <v>1</v>
      </c>
      <c r="M12">
        <v>1</v>
      </c>
      <c r="N12">
        <v>1</v>
      </c>
      <c r="O12">
        <v>1</v>
      </c>
      <c r="P12" t="s">
        <v>190</v>
      </c>
    </row>
    <row r="13" spans="1:151">
      <c r="J13">
        <v>94</v>
      </c>
      <c r="K13">
        <v>1</v>
      </c>
      <c r="L13">
        <v>1</v>
      </c>
      <c r="M13">
        <v>1</v>
      </c>
      <c r="N13">
        <v>1</v>
      </c>
      <c r="O13">
        <v>1</v>
      </c>
      <c r="P13" t="s">
        <v>191</v>
      </c>
    </row>
    <row r="14" spans="1:151">
      <c r="J14">
        <v>94</v>
      </c>
      <c r="K14">
        <v>1</v>
      </c>
      <c r="L14">
        <v>1</v>
      </c>
      <c r="M14">
        <v>1</v>
      </c>
      <c r="N14">
        <v>1</v>
      </c>
      <c r="O14">
        <v>1</v>
      </c>
      <c r="P14" t="s">
        <v>192</v>
      </c>
    </row>
    <row r="15" spans="1:151">
      <c r="J15">
        <v>94</v>
      </c>
      <c r="K15">
        <v>1</v>
      </c>
      <c r="L15">
        <v>1</v>
      </c>
      <c r="M15">
        <v>1</v>
      </c>
      <c r="N15">
        <v>1</v>
      </c>
      <c r="O15">
        <v>1</v>
      </c>
      <c r="P15" t="s">
        <v>193</v>
      </c>
    </row>
    <row r="16" spans="1:151">
      <c r="J16">
        <v>94</v>
      </c>
      <c r="K16">
        <v>1</v>
      </c>
      <c r="L16">
        <v>1</v>
      </c>
      <c r="M16">
        <v>1</v>
      </c>
      <c r="N16">
        <v>1</v>
      </c>
      <c r="O16">
        <v>1</v>
      </c>
      <c r="P16" t="s">
        <v>194</v>
      </c>
    </row>
    <row r="17" spans="10:16">
      <c r="J17">
        <v>94</v>
      </c>
      <c r="K17">
        <v>1</v>
      </c>
      <c r="L17">
        <v>1</v>
      </c>
      <c r="M17">
        <v>1</v>
      </c>
      <c r="N17">
        <v>1</v>
      </c>
      <c r="O17">
        <v>1</v>
      </c>
      <c r="P17" t="s">
        <v>195</v>
      </c>
    </row>
    <row r="18" spans="10:16">
      <c r="J18">
        <v>94</v>
      </c>
      <c r="K18">
        <v>1</v>
      </c>
      <c r="L18">
        <v>1</v>
      </c>
      <c r="M18">
        <v>1</v>
      </c>
      <c r="N18">
        <v>1</v>
      </c>
      <c r="O18">
        <v>1</v>
      </c>
      <c r="P18" t="s">
        <v>196</v>
      </c>
    </row>
    <row r="19" spans="10:16">
      <c r="J19">
        <v>94</v>
      </c>
      <c r="K19">
        <v>1</v>
      </c>
      <c r="L19">
        <v>1</v>
      </c>
      <c r="M19">
        <v>1</v>
      </c>
      <c r="N19">
        <v>1</v>
      </c>
      <c r="O19">
        <v>1</v>
      </c>
      <c r="P19" t="s">
        <v>197</v>
      </c>
    </row>
    <row r="20" spans="10:16">
      <c r="J20">
        <v>94</v>
      </c>
      <c r="K20">
        <v>1</v>
      </c>
      <c r="L20">
        <v>1</v>
      </c>
      <c r="M20">
        <v>1</v>
      </c>
      <c r="N20">
        <v>1</v>
      </c>
      <c r="O20">
        <v>1</v>
      </c>
      <c r="P20" t="s">
        <v>198</v>
      </c>
    </row>
    <row r="21" spans="10:16">
      <c r="J21">
        <v>94</v>
      </c>
      <c r="K21">
        <v>1</v>
      </c>
      <c r="L21">
        <v>1</v>
      </c>
      <c r="M21">
        <v>1</v>
      </c>
      <c r="N21">
        <v>1</v>
      </c>
      <c r="O21">
        <v>1</v>
      </c>
      <c r="P21" t="s">
        <v>199</v>
      </c>
    </row>
    <row r="22" spans="10:16">
      <c r="J22">
        <v>94</v>
      </c>
      <c r="K22">
        <v>1</v>
      </c>
      <c r="L22">
        <v>1</v>
      </c>
      <c r="M22">
        <v>1</v>
      </c>
      <c r="N22">
        <v>1</v>
      </c>
      <c r="O22">
        <v>1</v>
      </c>
      <c r="P22" t="s">
        <v>200</v>
      </c>
    </row>
    <row r="23" spans="10:16">
      <c r="J23">
        <v>94</v>
      </c>
      <c r="K23">
        <v>1</v>
      </c>
      <c r="L23">
        <v>1</v>
      </c>
      <c r="M23">
        <v>1</v>
      </c>
      <c r="N23">
        <v>1</v>
      </c>
      <c r="O23">
        <v>1</v>
      </c>
      <c r="P23" t="s">
        <v>201</v>
      </c>
    </row>
    <row r="24" spans="10:16">
      <c r="J24">
        <v>94</v>
      </c>
      <c r="K24">
        <v>1</v>
      </c>
      <c r="L24">
        <v>1</v>
      </c>
      <c r="M24">
        <v>1</v>
      </c>
      <c r="N24">
        <v>1</v>
      </c>
      <c r="O24">
        <v>1</v>
      </c>
      <c r="P24" t="s">
        <v>202</v>
      </c>
    </row>
  </sheetData>
  <pageMargins left="0.75" right="0.75" top="1" bottom="1" header="0.5" footer="0.5"/>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BE14"/>
  <sheetViews>
    <sheetView showGridLines="0" workbookViewId="0">
      <pane ySplit="4" topLeftCell="A5" activePane="bottomLeft" state="frozen"/>
      <selection/>
      <selection pane="bottomLeft" activeCell="H5" sqref="H5"/>
    </sheetView>
  </sheetViews>
  <sheetFormatPr defaultColWidth="9" defaultRowHeight="20" customHeight="1"/>
  <cols>
    <col min="1" max="1" width="4.625" customWidth="1"/>
    <col min="2" max="2" width="4.625" hidden="1" customWidth="1"/>
    <col min="3" max="5" width="12.625" style="1" customWidth="1"/>
    <col min="6" max="6" width="21.75" style="64" customWidth="1"/>
    <col min="7" max="7" width="12.625" style="74" customWidth="1"/>
    <col min="8" max="52" width="12.625" style="1" customWidth="1"/>
    <col min="53" max="53" width="12.625" style="64" customWidth="1"/>
    <col min="54" max="54" width="23.375" style="64" customWidth="1"/>
    <col min="55" max="56" width="12.625" style="74" customWidth="1"/>
    <col min="57" max="57" width="12.625" style="64" customWidth="1"/>
  </cols>
  <sheetData>
    <row r="1" ht="54.75" customHeight="1" spans="2:57">
      <c r="C1" s="27"/>
      <c r="D1" s="27"/>
      <c r="E1" s="27"/>
      <c r="F1" s="48"/>
      <c r="G1" s="75"/>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48"/>
      <c r="BB1" s="48"/>
      <c r="BC1" s="75"/>
      <c r="BD1" s="75"/>
      <c r="BE1" s="48"/>
    </row>
    <row r="2" ht="40" customHeight="1" spans="2:57">
      <c r="C2" s="4" t="s">
        <v>203</v>
      </c>
      <c r="D2"/>
      <c r="E2"/>
      <c r="F2"/>
      <c r="G2"/>
      <c r="H2"/>
      <c r="I2"/>
      <c r="J2"/>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48"/>
      <c r="BB2" s="48"/>
      <c r="BC2" s="75"/>
      <c r="BD2" s="75"/>
      <c r="BE2" s="48"/>
    </row>
    <row r="3" ht="30" customHeight="1" spans="2:57">
      <c r="C3" s="27"/>
      <c r="D3" s="27"/>
      <c r="E3" s="27"/>
      <c r="F3" s="48"/>
      <c r="G3" s="75"/>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48"/>
      <c r="BB3" s="48"/>
      <c r="BC3" s="75"/>
      <c r="BD3" s="75"/>
      <c r="BE3" s="48"/>
    </row>
    <row r="4" ht="30" customHeight="1" spans="2:57">
      <c r="C4" s="7" t="s">
        <v>36</v>
      </c>
      <c r="D4" s="7" t="s">
        <v>45</v>
      </c>
      <c r="E4" s="7" t="s">
        <v>95</v>
      </c>
      <c r="F4" s="65" t="s">
        <v>49</v>
      </c>
      <c r="G4" s="76" t="s">
        <v>60</v>
      </c>
      <c r="H4" s="7" t="s">
        <v>57</v>
      </c>
      <c r="I4" s="7" t="s">
        <v>58</v>
      </c>
      <c r="J4" s="7" t="s">
        <v>98</v>
      </c>
      <c r="K4" s="7" t="s">
        <v>204</v>
      </c>
      <c r="L4" s="7" t="s">
        <v>100</v>
      </c>
      <c r="M4" s="7" t="s">
        <v>101</v>
      </c>
      <c r="N4" s="7" t="s">
        <v>102</v>
      </c>
      <c r="O4" s="7" t="s">
        <v>103</v>
      </c>
      <c r="P4" s="7" t="s">
        <v>104</v>
      </c>
      <c r="Q4" s="7" t="s">
        <v>105</v>
      </c>
      <c r="R4" s="7" t="s">
        <v>106</v>
      </c>
      <c r="S4" s="7" t="s">
        <v>107</v>
      </c>
      <c r="T4" s="7" t="s">
        <v>41</v>
      </c>
      <c r="U4" s="7" t="s">
        <v>108</v>
      </c>
      <c r="V4" s="7" t="s">
        <v>109</v>
      </c>
      <c r="W4" s="7" t="s">
        <v>110</v>
      </c>
      <c r="X4" s="7" t="s">
        <v>111</v>
      </c>
      <c r="Y4" s="7" t="s">
        <v>112</v>
      </c>
      <c r="Z4" s="7" t="s">
        <v>113</v>
      </c>
      <c r="AA4" s="7" t="s">
        <v>114</v>
      </c>
      <c r="AB4" s="7" t="s">
        <v>115</v>
      </c>
      <c r="AC4" s="7" t="s">
        <v>116</v>
      </c>
      <c r="AD4" s="7" t="s">
        <v>117</v>
      </c>
      <c r="AE4" s="7" t="s">
        <v>118</v>
      </c>
      <c r="AF4" s="7" t="s">
        <v>119</v>
      </c>
      <c r="AG4" s="7" t="s">
        <v>120</v>
      </c>
      <c r="AH4" s="7" t="s">
        <v>121</v>
      </c>
      <c r="AI4" s="7" t="s">
        <v>122</v>
      </c>
      <c r="AJ4" s="7" t="s">
        <v>123</v>
      </c>
      <c r="AK4" s="7" t="s">
        <v>124</v>
      </c>
      <c r="AL4" s="7" t="s">
        <v>125</v>
      </c>
      <c r="AM4" s="7" t="s">
        <v>126</v>
      </c>
      <c r="AN4" s="7" t="s">
        <v>205</v>
      </c>
      <c r="AO4" s="7" t="s">
        <v>128</v>
      </c>
      <c r="AP4" s="7" t="s">
        <v>206</v>
      </c>
      <c r="AQ4" s="7" t="s">
        <v>121</v>
      </c>
      <c r="AR4" s="7" t="s">
        <v>122</v>
      </c>
      <c r="AS4" s="7" t="s">
        <v>129</v>
      </c>
      <c r="AT4" s="7" t="s">
        <v>130</v>
      </c>
      <c r="AU4" s="7" t="s">
        <v>131</v>
      </c>
      <c r="AV4" s="7" t="s">
        <v>132</v>
      </c>
      <c r="AW4" s="7" t="s">
        <v>133</v>
      </c>
      <c r="AX4" s="7" t="s">
        <v>134</v>
      </c>
      <c r="AY4" s="7" t="s">
        <v>207</v>
      </c>
      <c r="AZ4" s="7" t="s">
        <v>136</v>
      </c>
      <c r="BA4" s="65" t="s">
        <v>208</v>
      </c>
      <c r="BB4" s="65" t="s">
        <v>96</v>
      </c>
      <c r="BC4" s="76" t="s">
        <v>71</v>
      </c>
      <c r="BD4" s="76" t="s">
        <v>137</v>
      </c>
      <c r="BE4" s="65" t="s">
        <v>209</v>
      </c>
    </row>
    <row r="5" customHeight="1" spans="2:57">
      <c r="B5">
        <v>302</v>
      </c>
      <c r="C5" s="1" t="s">
        <v>147</v>
      </c>
      <c r="H5" s="1">
        <v>10000</v>
      </c>
      <c r="I5" s="1">
        <v>2000</v>
      </c>
      <c r="J5" s="1">
        <v>1000</v>
      </c>
      <c r="K5" s="1">
        <v>13000</v>
      </c>
      <c r="N5" s="1">
        <v>0</v>
      </c>
      <c r="O5" s="1">
        <v>0</v>
      </c>
      <c r="P5" s="1">
        <v>0</v>
      </c>
      <c r="Q5" s="1">
        <v>0</v>
      </c>
      <c r="R5" s="1">
        <v>0</v>
      </c>
      <c r="S5" s="1">
        <v>0</v>
      </c>
      <c r="T5" s="1">
        <v>0</v>
      </c>
      <c r="U5" s="1">
        <v>0</v>
      </c>
      <c r="V5" s="1">
        <v>0</v>
      </c>
      <c r="W5" s="1">
        <v>0.2</v>
      </c>
      <c r="Y5" s="1">
        <v>0.02</v>
      </c>
      <c r="AA5" s="1">
        <v>0</v>
      </c>
      <c r="AB5" s="1">
        <v>0</v>
      </c>
      <c r="AC5" s="1">
        <v>0</v>
      </c>
      <c r="AD5" s="1">
        <v>0</v>
      </c>
      <c r="AE5" s="1">
        <v>0</v>
      </c>
      <c r="AF5" s="1">
        <v>0</v>
      </c>
      <c r="AG5" s="1">
        <v>0</v>
      </c>
      <c r="AJ5" s="1">
        <v>0</v>
      </c>
      <c r="AK5" s="1">
        <v>0</v>
      </c>
      <c r="AL5" s="1">
        <v>0</v>
      </c>
      <c r="AM5" s="1">
        <v>0</v>
      </c>
      <c r="AN5" s="1">
        <v>0</v>
      </c>
      <c r="AO5" s="1">
        <v>0</v>
      </c>
      <c r="AP5" s="1">
        <v>0</v>
      </c>
      <c r="AS5" s="1">
        <v>0</v>
      </c>
      <c r="AT5" s="1">
        <v>0</v>
      </c>
      <c r="AU5" s="1">
        <v>0</v>
      </c>
      <c r="AV5" s="1">
        <v>0</v>
      </c>
      <c r="AW5" s="1">
        <v>0</v>
      </c>
      <c r="AX5" s="1">
        <v>0</v>
      </c>
      <c r="AZ5" s="1">
        <v>0</v>
      </c>
      <c r="BC5" s="74">
        <v>0</v>
      </c>
      <c r="BD5" s="74">
        <v>46097</v>
      </c>
      <c r="BE5" s="64" t="s">
        <v>210</v>
      </c>
    </row>
    <row r="14" customHeight="1" spans="2:57">
      <c r="AJ14" s="77"/>
    </row>
  </sheetData>
  <conditionalFormatting sqref="AD5:AD1048576">
    <cfRule type="expression" dxfId="0" priority="28">
      <formula>MOD(ROW(),2)=0</formula>
    </cfRule>
  </conditionalFormatting>
  <conditionalFormatting sqref="AE5:AE1048576">
    <cfRule type="expression" dxfId="0" priority="27">
      <formula>MOD(ROW(),2)=0</formula>
    </cfRule>
  </conditionalFormatting>
  <conditionalFormatting sqref="AF5:AF1048576">
    <cfRule type="expression" dxfId="0" priority="26">
      <formula>MOD(ROW(),2)=0</formula>
    </cfRule>
  </conditionalFormatting>
  <conditionalFormatting sqref="AG5:AG1048576">
    <cfRule type="expression" dxfId="0" priority="25">
      <formula>MOD(ROW(),2)=0</formula>
    </cfRule>
  </conditionalFormatting>
  <conditionalFormatting sqref="AH5:AH1048576">
    <cfRule type="expression" dxfId="0" priority="24">
      <formula>MOD(ROW(),2)=0</formula>
    </cfRule>
  </conditionalFormatting>
  <conditionalFormatting sqref="AI5:AI1048576">
    <cfRule type="expression" dxfId="0" priority="23">
      <formula>MOD(ROW(),2)=0</formula>
    </cfRule>
  </conditionalFormatting>
  <conditionalFormatting sqref="AJ5:AJ1048576">
    <cfRule type="expression" dxfId="0" priority="22">
      <formula>MOD(ROW(),2)=0</formula>
    </cfRule>
  </conditionalFormatting>
  <conditionalFormatting sqref="AK5:AK1048576">
    <cfRule type="expression" dxfId="0" priority="21">
      <formula>MOD(ROW(),2)=0</formula>
    </cfRule>
  </conditionalFormatting>
  <conditionalFormatting sqref="AL5:AL1048576">
    <cfRule type="expression" dxfId="0" priority="20">
      <formula>MOD(ROW(),2)=0</formula>
    </cfRule>
  </conditionalFormatting>
  <conditionalFormatting sqref="AM5:AM1048576">
    <cfRule type="expression" dxfId="0" priority="19">
      <formula>MOD(ROW(),2)=0</formula>
    </cfRule>
  </conditionalFormatting>
  <conditionalFormatting sqref="AN5:AN1048576">
    <cfRule type="expression" dxfId="0" priority="18">
      <formula>MOD(ROW(),2)=0</formula>
    </cfRule>
  </conditionalFormatting>
  <conditionalFormatting sqref="AO5:AO1048576">
    <cfRule type="expression" dxfId="0" priority="17">
      <formula>MOD(ROW(),2)=0</formula>
    </cfRule>
  </conditionalFormatting>
  <conditionalFormatting sqref="AP5:AP1048576">
    <cfRule type="expression" dxfId="0" priority="16">
      <formula>MOD(ROW(),2)=0</formula>
    </cfRule>
  </conditionalFormatting>
  <conditionalFormatting sqref="AQ5:AQ1048576">
    <cfRule type="expression" dxfId="0" priority="15">
      <formula>MOD(ROW(),2)=0</formula>
    </cfRule>
  </conditionalFormatting>
  <conditionalFormatting sqref="AR5:AR1048576">
    <cfRule type="expression" dxfId="0" priority="14">
      <formula>MOD(ROW(),2)=0</formula>
    </cfRule>
  </conditionalFormatting>
  <conditionalFormatting sqref="AS5:AS1048576">
    <cfRule type="expression" dxfId="0" priority="13">
      <formula>MOD(ROW(),2)=0</formula>
    </cfRule>
  </conditionalFormatting>
  <conditionalFormatting sqref="AT5:AT1048576">
    <cfRule type="expression" dxfId="0" priority="12">
      <formula>MOD(ROW(),2)=0</formula>
    </cfRule>
  </conditionalFormatting>
  <conditionalFormatting sqref="AU5:AU1048576">
    <cfRule type="expression" dxfId="0" priority="11">
      <formula>MOD(ROW(),2)=0</formula>
    </cfRule>
  </conditionalFormatting>
  <conditionalFormatting sqref="AV5:AV1048576">
    <cfRule type="expression" dxfId="0" priority="10">
      <formula>MOD(ROW(),2)=0</formula>
    </cfRule>
  </conditionalFormatting>
  <conditionalFormatting sqref="AW5:AW1048576">
    <cfRule type="expression" dxfId="0" priority="9">
      <formula>MOD(ROW(),2)=0</formula>
    </cfRule>
  </conditionalFormatting>
  <conditionalFormatting sqref="AX5:AX1048576">
    <cfRule type="expression" dxfId="0" priority="8">
      <formula>MOD(ROW(),2)=0</formula>
    </cfRule>
  </conditionalFormatting>
  <conditionalFormatting sqref="AY5:AY1048576">
    <cfRule type="expression" dxfId="0" priority="7">
      <formula>MOD(ROW(),2)=0</formula>
    </cfRule>
  </conditionalFormatting>
  <conditionalFormatting sqref="AZ5:AZ1048576">
    <cfRule type="expression" dxfId="0" priority="6">
      <formula>MOD(ROW(),2)=0</formula>
    </cfRule>
  </conditionalFormatting>
  <conditionalFormatting sqref="BA5:BA1048576">
    <cfRule type="expression" dxfId="0" priority="5">
      <formula>MOD(ROW(),2)=0</formula>
    </cfRule>
  </conditionalFormatting>
  <conditionalFormatting sqref="BB5:BB1048576">
    <cfRule type="expression" dxfId="0" priority="4">
      <formula>MOD(ROW(),2)=0</formula>
    </cfRule>
  </conditionalFormatting>
  <conditionalFormatting sqref="BC5:BC1048576">
    <cfRule type="expression" dxfId="0" priority="3">
      <formula>MOD(ROW(),2)=0</formula>
    </cfRule>
  </conditionalFormatting>
  <conditionalFormatting sqref="BD5:BD1048576">
    <cfRule type="expression" dxfId="0" priority="2">
      <formula>MOD(ROW(),2)=0</formula>
    </cfRule>
  </conditionalFormatting>
  <conditionalFormatting sqref="BE5:BE1048576">
    <cfRule type="expression" dxfId="0" priority="1">
      <formula>MOD(ROW(),2)=0</formula>
    </cfRule>
  </conditionalFormatting>
  <conditionalFormatting sqref="C5:AC1048576">
    <cfRule type="expression" dxfId="0" priority="29">
      <formula>MOD(ROW(),2)=0</formula>
    </cfRule>
  </conditionalFormatting>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J5"/>
  <sheetViews>
    <sheetView showGridLines="0" workbookViewId="0">
      <pane ySplit="4" topLeftCell="A5" activePane="bottomLeft" state="frozen"/>
      <selection/>
      <selection pane="bottomLeft" activeCell="F8" sqref="F8"/>
    </sheetView>
  </sheetViews>
  <sheetFormatPr defaultColWidth="9" defaultRowHeight="20" customHeight="1" outlineLevelRow="4"/>
  <cols>
    <col min="1" max="1" width="4.625" customWidth="1"/>
    <col min="2" max="2" width="4.625" hidden="1" customWidth="1"/>
    <col min="3" max="3" width="12.625" style="1" customWidth="1"/>
    <col min="4" max="5" width="12.625" style="63" customWidth="1"/>
    <col min="6" max="7" width="12.625" style="1" customWidth="1"/>
    <col min="8" max="8" width="20" style="1" customWidth="1"/>
    <col min="9" max="10" width="12.625" style="1" customWidth="1"/>
  </cols>
  <sheetData>
    <row r="1" ht="54.75" customHeight="1" spans="2:10">
      <c r="C1" s="27"/>
      <c r="D1" s="28"/>
      <c r="E1" s="28"/>
      <c r="F1" s="27"/>
      <c r="G1" s="27"/>
      <c r="H1" s="27"/>
      <c r="I1" s="27"/>
      <c r="J1" s="27"/>
    </row>
    <row r="2" ht="40" customHeight="1" spans="2:10">
      <c r="C2" s="4" t="s">
        <v>211</v>
      </c>
      <c r="D2" s="28"/>
      <c r="E2" s="28"/>
      <c r="F2" s="27"/>
      <c r="G2" s="27"/>
      <c r="H2" s="27"/>
      <c r="I2" s="27"/>
      <c r="J2" s="27"/>
    </row>
    <row r="3" ht="30" customHeight="1" spans="2:10">
      <c r="C3" s="27"/>
      <c r="D3" s="28"/>
      <c r="E3" s="28"/>
      <c r="F3" s="27"/>
      <c r="G3" s="27"/>
      <c r="H3" s="27"/>
      <c r="I3" s="27"/>
      <c r="J3" s="27"/>
    </row>
    <row r="4" ht="30" customHeight="1" spans="2:10">
      <c r="C4" s="7" t="s">
        <v>36</v>
      </c>
      <c r="D4" s="8" t="s">
        <v>34</v>
      </c>
      <c r="E4" s="8" t="s">
        <v>35</v>
      </c>
      <c r="F4" s="7" t="s">
        <v>212</v>
      </c>
      <c r="G4" s="7" t="s">
        <v>213</v>
      </c>
      <c r="H4" s="7" t="s">
        <v>214</v>
      </c>
      <c r="I4" s="7" t="s">
        <v>215</v>
      </c>
      <c r="J4" s="7" t="s">
        <v>216</v>
      </c>
    </row>
    <row r="5" customHeight="1" spans="2:10">
      <c r="B5">
        <v>917</v>
      </c>
      <c r="C5" s="1" t="s">
        <v>42</v>
      </c>
      <c r="D5" s="63">
        <v>2026</v>
      </c>
      <c r="E5" s="63">
        <v>3</v>
      </c>
      <c r="F5" s="1">
        <v>1</v>
      </c>
      <c r="J5" s="1">
        <v>0</v>
      </c>
    </row>
  </sheetData>
  <conditionalFormatting sqref="C5:J1048576">
    <cfRule type="expression" dxfId="0" priority="16">
      <formula>MOD(ROW(),2)=0</formula>
    </cfRule>
  </conditionalFormatting>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AH7"/>
  <sheetViews>
    <sheetView showGridLines="0" workbookViewId="0">
      <pane ySplit="4" topLeftCell="A5" activePane="bottomLeft" state="frozen"/>
      <selection/>
      <selection pane="bottomLeft" activeCell="G10" sqref="G10"/>
    </sheetView>
  </sheetViews>
  <sheetFormatPr defaultColWidth="9" defaultRowHeight="20" customHeight="1" outlineLevelRow="6"/>
  <cols>
    <col min="1" max="1" width="4.625" style="27" customWidth="1"/>
    <col min="2" max="2" width="4.625" style="27" hidden="1" customWidth="1"/>
    <col min="3" max="7" width="12.625" style="1" customWidth="1"/>
    <col min="8" max="8" width="20" style="1" customWidth="1"/>
    <col min="9" max="17" width="12.625" style="1" customWidth="1"/>
    <col min="18" max="18" width="22.75" style="1" customWidth="1"/>
    <col min="19" max="34" width="12.625" style="1" customWidth="1"/>
    <col min="35" max="16384" width="9" style="27"/>
  </cols>
  <sheetData>
    <row r="1" ht="54.75" customHeight="1" spans="2:34">
      <c r="C1" s="27"/>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row>
    <row r="2" ht="40" customHeight="1" spans="2:34">
      <c r="C2" s="4" t="s">
        <v>217</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row>
    <row r="3" ht="30" customHeight="1" spans="2:34">
      <c r="C3" s="27"/>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row>
    <row r="4" ht="30" customHeight="1" spans="2:34">
      <c r="C4" s="7" t="s">
        <v>110</v>
      </c>
      <c r="D4" s="7" t="s">
        <v>112</v>
      </c>
      <c r="E4" s="7" t="s">
        <v>218</v>
      </c>
      <c r="F4" s="7" t="s">
        <v>219</v>
      </c>
      <c r="G4" s="7" t="s">
        <v>108</v>
      </c>
      <c r="H4" s="7" t="s">
        <v>126</v>
      </c>
      <c r="I4" s="7" t="s">
        <v>116</v>
      </c>
      <c r="J4" s="7" t="s">
        <v>205</v>
      </c>
      <c r="K4" s="7" t="s">
        <v>118</v>
      </c>
      <c r="L4" s="7" t="s">
        <v>128</v>
      </c>
      <c r="M4" s="7" t="s">
        <v>119</v>
      </c>
      <c r="N4" s="7" t="s">
        <v>111</v>
      </c>
      <c r="O4" s="7" t="s">
        <v>220</v>
      </c>
      <c r="P4" s="7" t="s">
        <v>120</v>
      </c>
      <c r="Q4" s="7" t="s">
        <v>121</v>
      </c>
      <c r="R4" s="7" t="s">
        <v>113</v>
      </c>
      <c r="S4" s="7" t="s">
        <v>122</v>
      </c>
      <c r="T4" s="7" t="s">
        <v>124</v>
      </c>
      <c r="U4" s="7" t="s">
        <v>114</v>
      </c>
      <c r="V4" s="7" t="s">
        <v>95</v>
      </c>
      <c r="W4" s="7" t="s">
        <v>98</v>
      </c>
      <c r="X4" s="7" t="s">
        <v>125</v>
      </c>
      <c r="Y4" s="7" t="s">
        <v>115</v>
      </c>
      <c r="Z4" s="7" t="s">
        <v>221</v>
      </c>
      <c r="AA4" s="7" t="s">
        <v>132</v>
      </c>
      <c r="AB4" s="7" t="s">
        <v>100</v>
      </c>
      <c r="AC4" s="7" t="s">
        <v>117</v>
      </c>
      <c r="AD4" s="7" t="s">
        <v>101</v>
      </c>
      <c r="AE4" s="7" t="s">
        <v>207</v>
      </c>
      <c r="AF4" s="7" t="s">
        <v>104</v>
      </c>
      <c r="AG4" s="7" t="s">
        <v>208</v>
      </c>
      <c r="AH4" s="7" t="s">
        <v>107</v>
      </c>
    </row>
    <row r="5" customHeight="1" spans="2:34">
      <c r="B5" s="27">
        <v>372</v>
      </c>
      <c r="C5" s="1">
        <v>1</v>
      </c>
      <c r="D5" s="1">
        <v>1</v>
      </c>
      <c r="E5" s="1" t="s">
        <v>73</v>
      </c>
      <c r="F5" s="1" t="s">
        <v>154</v>
      </c>
      <c r="G5" s="1">
        <v>1</v>
      </c>
      <c r="H5" s="1">
        <v>1</v>
      </c>
      <c r="I5" s="1">
        <v>1</v>
      </c>
      <c r="J5" s="1">
        <v>1</v>
      </c>
    </row>
    <row r="6" customHeight="1" spans="2:34">
      <c r="B6" s="27">
        <v>373</v>
      </c>
      <c r="E6" s="1" t="s">
        <v>222</v>
      </c>
      <c r="F6" s="1" t="s">
        <v>158</v>
      </c>
    </row>
    <row r="7" customHeight="1" spans="2:34">
      <c r="B7" s="27">
        <v>374</v>
      </c>
      <c r="E7" s="1" t="s">
        <v>148</v>
      </c>
      <c r="F7" s="1" t="s">
        <v>158</v>
      </c>
    </row>
  </sheetData>
  <conditionalFormatting sqref="C7:Z7">
    <cfRule type="expression" dxfId="0" priority="9">
      <formula>MOD(ROW(),2)=0</formula>
    </cfRule>
  </conditionalFormatting>
  <conditionalFormatting sqref="AA7">
    <cfRule type="expression" dxfId="0" priority="8">
      <formula>MOD(ROW(),2)=0</formula>
    </cfRule>
  </conditionalFormatting>
  <conditionalFormatting sqref="AB7">
    <cfRule type="expression" dxfId="0" priority="7">
      <formula>MOD(ROW(),2)=0</formula>
    </cfRule>
  </conditionalFormatting>
  <conditionalFormatting sqref="AC7">
    <cfRule type="expression" dxfId="0" priority="6">
      <formula>MOD(ROW(),2)=0</formula>
    </cfRule>
  </conditionalFormatting>
  <conditionalFormatting sqref="AD7">
    <cfRule type="expression" dxfId="0" priority="5">
      <formula>MOD(ROW(),2)=0</formula>
    </cfRule>
  </conditionalFormatting>
  <conditionalFormatting sqref="AE7">
    <cfRule type="expression" dxfId="0" priority="4">
      <formula>MOD(ROW(),2)=0</formula>
    </cfRule>
  </conditionalFormatting>
  <conditionalFormatting sqref="AF7">
    <cfRule type="expression" dxfId="0" priority="3">
      <formula>MOD(ROW(),2)=0</formula>
    </cfRule>
  </conditionalFormatting>
  <conditionalFormatting sqref="AG7">
    <cfRule type="expression" dxfId="0" priority="2">
      <formula>MOD(ROW(),2)=0</formula>
    </cfRule>
  </conditionalFormatting>
  <conditionalFormatting sqref="AH7">
    <cfRule type="expression" dxfId="0" priority="1">
      <formula>MOD(ROW(),2)=0</formula>
    </cfRule>
  </conditionalFormatting>
  <conditionalFormatting sqref="C5:Z6 C8:Z1048576">
    <cfRule type="expression" dxfId="0" priority="19">
      <formula>MOD(ROW(),2)=0</formula>
    </cfRule>
  </conditionalFormatting>
  <conditionalFormatting sqref="AA5:AA6 AA8:AA1048576">
    <cfRule type="expression" dxfId="0" priority="17">
      <formula>MOD(ROW(),2)=0</formula>
    </cfRule>
  </conditionalFormatting>
  <conditionalFormatting sqref="AB5:AB6 AB8:AB1048576">
    <cfRule type="expression" dxfId="0" priority="16">
      <formula>MOD(ROW(),2)=0</formula>
    </cfRule>
  </conditionalFormatting>
  <conditionalFormatting sqref="AC5:AC6 AC8:AC1048576">
    <cfRule type="expression" dxfId="0" priority="15">
      <formula>MOD(ROW(),2)=0</formula>
    </cfRule>
  </conditionalFormatting>
  <conditionalFormatting sqref="AD5:AD6 AD8:AD1048576">
    <cfRule type="expression" dxfId="0" priority="14">
      <formula>MOD(ROW(),2)=0</formula>
    </cfRule>
  </conditionalFormatting>
  <conditionalFormatting sqref="AE5:AE6 AE8:AE1048576">
    <cfRule type="expression" dxfId="0" priority="13">
      <formula>MOD(ROW(),2)=0</formula>
    </cfRule>
  </conditionalFormatting>
  <conditionalFormatting sqref="AF5:AF6 AF8:AF1048576">
    <cfRule type="expression" dxfId="0" priority="12">
      <formula>MOD(ROW(),2)=0</formula>
    </cfRule>
  </conditionalFormatting>
  <conditionalFormatting sqref="AG5:AG6 AG8:AG1048576">
    <cfRule type="expression" dxfId="0" priority="11">
      <formula>MOD(ROW(),2)=0</formula>
    </cfRule>
  </conditionalFormatting>
  <conditionalFormatting sqref="AH5:AH6 AH8:AH1048576">
    <cfRule type="expression" dxfId="0" priority="10">
      <formula>MOD(ROW(),2)=0</formula>
    </cfRule>
  </conditionalFormatting>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
  <sheetViews>
    <sheetView showGridLines="0" workbookViewId="0">
      <pane ySplit="4" topLeftCell="A5" activePane="bottomLeft" state="frozen"/>
      <selection/>
      <selection pane="bottomLeft" activeCell="F10" sqref="F10"/>
    </sheetView>
  </sheetViews>
  <sheetFormatPr defaultColWidth="9" defaultRowHeight="20" customHeight="1" outlineLevelRow="4" outlineLevelCol="7"/>
  <cols>
    <col min="1" max="1" width="4.625" style="27" customWidth="1"/>
    <col min="2" max="2" width="4.625" style="27" hidden="1" customWidth="1"/>
    <col min="3" max="3" width="12.625" style="1" customWidth="1"/>
    <col min="4" max="4" width="12.625" style="74" customWidth="1"/>
    <col min="5" max="5" width="20.25" style="1" customWidth="1"/>
    <col min="6" max="7" width="12.625" style="1" customWidth="1"/>
    <col min="8" max="8" width="19.75" style="1" customWidth="1"/>
    <col min="9" max="16384" width="9" style="27"/>
  </cols>
  <sheetData>
    <row r="1" customFormat="1" ht="54.75" customHeight="1" spans="2:8">
      <c r="C1" s="27"/>
      <c r="D1" s="75"/>
      <c r="E1" s="48"/>
      <c r="F1" s="27"/>
      <c r="G1" s="27"/>
      <c r="H1" s="27"/>
    </row>
    <row r="2" customFormat="1" ht="40" customHeight="1" spans="2:8">
      <c r="C2" s="4" t="s">
        <v>223</v>
      </c>
      <c r="D2" s="75"/>
      <c r="E2" s="48"/>
      <c r="F2" s="27"/>
      <c r="G2" s="27"/>
      <c r="H2" s="27"/>
    </row>
    <row r="3" customFormat="1" ht="30" customHeight="1" spans="2:8">
      <c r="C3" s="27"/>
      <c r="D3" s="75"/>
      <c r="E3" s="48"/>
      <c r="F3" s="27"/>
      <c r="G3" s="27"/>
      <c r="H3" s="27"/>
    </row>
    <row r="4" customFormat="1" ht="30" customHeight="1" spans="2:8">
      <c r="C4" s="7" t="s">
        <v>224</v>
      </c>
      <c r="D4" s="76" t="s">
        <v>225</v>
      </c>
      <c r="E4" s="65" t="s">
        <v>136</v>
      </c>
      <c r="F4" s="7" t="s">
        <v>37</v>
      </c>
      <c r="G4" s="7" t="s">
        <v>226</v>
      </c>
      <c r="H4" s="7" t="s">
        <v>227</v>
      </c>
    </row>
    <row r="5" customHeight="1" spans="2:8">
      <c r="B5" s="27">
        <v>302</v>
      </c>
      <c r="C5" s="1" t="s">
        <v>147</v>
      </c>
      <c r="D5" s="74">
        <v>46097</v>
      </c>
      <c r="E5" s="1">
        <v>0</v>
      </c>
      <c r="F5" s="1">
        <v>0</v>
      </c>
      <c r="G5" s="1">
        <v>0</v>
      </c>
      <c r="H5" s="1">
        <v>0</v>
      </c>
    </row>
  </sheetData>
  <conditionalFormatting sqref="C5:H1048576">
    <cfRule type="expression" dxfId="0" priority="1">
      <formula>MOD(ROW(),2)=0</formula>
    </cfRule>
  </conditionalFormatting>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C1:I20"/>
  <sheetViews>
    <sheetView showGridLines="0" workbookViewId="0">
      <pane ySplit="4" topLeftCell="A5" activePane="bottomLeft" state="frozen"/>
      <selection/>
      <selection pane="bottomLeft" activeCell="D8" sqref="D8"/>
    </sheetView>
  </sheetViews>
  <sheetFormatPr defaultColWidth="9" defaultRowHeight="20" customHeight="1"/>
  <cols>
    <col min="1" max="1" width="4.5" style="27" customWidth="1"/>
    <col min="2" max="2" width="4.625" style="27" hidden="1" customWidth="1"/>
    <col min="3" max="8" width="12.625" style="1" customWidth="1"/>
    <col min="9" max="9" width="12.625" style="74" customWidth="1"/>
    <col min="10" max="16384" width="9" style="27"/>
  </cols>
  <sheetData>
    <row r="1" customFormat="1" ht="54.75" customHeight="1" spans="3:9">
      <c r="C1" s="27"/>
      <c r="D1" s="27"/>
      <c r="E1" s="27"/>
      <c r="F1" s="27"/>
      <c r="G1" s="27"/>
      <c r="H1" s="27"/>
      <c r="I1" s="75"/>
    </row>
    <row r="2" customFormat="1" ht="40" customHeight="1" spans="3:9">
      <c r="C2" s="4" t="s">
        <v>228</v>
      </c>
      <c r="D2" s="27"/>
      <c r="E2" s="27"/>
      <c r="F2" s="27"/>
      <c r="G2" s="27"/>
      <c r="H2" s="27"/>
      <c r="I2" s="75"/>
    </row>
    <row r="3" customFormat="1" ht="30" customHeight="1" spans="3:9">
      <c r="C3" s="27"/>
      <c r="D3" s="27"/>
      <c r="E3" s="27"/>
      <c r="F3" s="27"/>
      <c r="G3" s="27"/>
      <c r="H3" s="27"/>
      <c r="I3" s="75"/>
    </row>
    <row r="4" customFormat="1" ht="30" customHeight="1" spans="3:9">
      <c r="C4" s="7" t="s">
        <v>136</v>
      </c>
      <c r="D4" s="7" t="s">
        <v>226</v>
      </c>
      <c r="E4" s="7" t="s">
        <v>227</v>
      </c>
      <c r="F4" s="7" t="s">
        <v>229</v>
      </c>
      <c r="G4" s="7" t="s">
        <v>37</v>
      </c>
      <c r="H4" s="7" t="s">
        <v>230</v>
      </c>
      <c r="I4" s="76" t="s">
        <v>231</v>
      </c>
    </row>
    <row r="5" s="27" customFormat="1" customHeight="1" spans="3:9">
      <c r="C5" s="1"/>
      <c r="D5" s="1"/>
      <c r="E5" s="1"/>
      <c r="F5" s="1"/>
      <c r="G5" s="1"/>
      <c r="H5" s="1"/>
      <c r="I5" s="74"/>
    </row>
    <row r="20" customHeight="1" spans="5:5">
      <c r="E20" s="77"/>
    </row>
  </sheetData>
  <conditionalFormatting sqref="I8:I10">
    <cfRule type="expression" dxfId="0" priority="1">
      <formula>MOD(ROW(),2)=0</formula>
    </cfRule>
  </conditionalFormatting>
  <conditionalFormatting sqref="C5:H7 C11:H1048576">
    <cfRule type="expression" dxfId="0" priority="4">
      <formula>MOD(ROW(),2)=0</formula>
    </cfRule>
  </conditionalFormatting>
  <conditionalFormatting sqref="I5:I7 I11:I1048576">
    <cfRule type="expression" dxfId="0" priority="3">
      <formula>MOD(ROW(),2)=0</formula>
    </cfRule>
  </conditionalFormatting>
  <conditionalFormatting sqref="C8:H10">
    <cfRule type="expression" dxfId="0" priority="2">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K5"/>
  <sheetViews>
    <sheetView showGridLines="0" workbookViewId="0">
      <pane ySplit="4" topLeftCell="A14" activePane="bottomLeft" state="frozen"/>
      <selection/>
      <selection pane="bottomLeft" activeCell="F17" sqref="F17"/>
    </sheetView>
  </sheetViews>
  <sheetFormatPr defaultColWidth="9" defaultRowHeight="20" customHeight="1" outlineLevelRow="4"/>
  <cols>
    <col min="1" max="1" width="4.625" customWidth="1"/>
    <col min="2" max="2" width="4.625" hidden="1" customWidth="1"/>
    <col min="3" max="3" width="12.625" style="1" customWidth="1"/>
    <col min="4" max="4" width="12.625" style="63" customWidth="1"/>
    <col min="5" max="5" width="22.875" style="64" customWidth="1"/>
    <col min="6" max="6" width="18" style="64" customWidth="1"/>
    <col min="7" max="8" width="12.625" style="1" customWidth="1"/>
    <col min="9" max="9" width="20" style="1" customWidth="1"/>
    <col min="10" max="11" width="12.625" style="1" customWidth="1"/>
  </cols>
  <sheetData>
    <row r="1" ht="54.75" customHeight="1" spans="2:11">
      <c r="C1" s="27"/>
      <c r="D1" s="28"/>
      <c r="E1" s="48"/>
      <c r="F1" s="48"/>
      <c r="G1" s="27"/>
      <c r="H1" s="27"/>
      <c r="I1" s="27"/>
      <c r="J1" s="27"/>
      <c r="K1" s="27"/>
    </row>
    <row r="2" ht="40" customHeight="1" spans="2:11">
      <c r="C2" s="4" t="s">
        <v>232</v>
      </c>
      <c r="D2" s="28"/>
      <c r="E2" s="48"/>
      <c r="F2" s="48"/>
      <c r="G2" s="27"/>
      <c r="H2" s="27"/>
      <c r="I2" s="27"/>
      <c r="J2" s="27"/>
      <c r="K2" s="27"/>
    </row>
    <row r="3" ht="30" customHeight="1" spans="2:11">
      <c r="C3" s="27"/>
      <c r="D3" s="28"/>
      <c r="E3" s="48"/>
      <c r="F3" s="48"/>
      <c r="G3" s="27"/>
      <c r="H3" s="27"/>
      <c r="I3" s="27"/>
      <c r="J3" s="27"/>
      <c r="K3" s="27"/>
    </row>
    <row r="4" ht="30" customHeight="1" spans="2:11">
      <c r="C4" s="7" t="s">
        <v>36</v>
      </c>
      <c r="D4" s="8" t="s">
        <v>233</v>
      </c>
      <c r="E4" s="65" t="s">
        <v>234</v>
      </c>
      <c r="F4" s="65" t="s">
        <v>209</v>
      </c>
      <c r="G4" s="7" t="s">
        <v>235</v>
      </c>
      <c r="H4" s="7" t="s">
        <v>236</v>
      </c>
      <c r="I4" s="7" t="s">
        <v>237</v>
      </c>
      <c r="J4" s="7" t="s">
        <v>238</v>
      </c>
      <c r="K4" s="7" t="s">
        <v>239</v>
      </c>
    </row>
    <row r="5" customHeight="1" spans="2:11">
      <c r="B5">
        <v>302</v>
      </c>
      <c r="C5" s="1" t="s">
        <v>147</v>
      </c>
      <c r="D5" s="63" t="s">
        <v>240</v>
      </c>
      <c r="F5" s="64" t="s">
        <v>210</v>
      </c>
      <c r="G5" s="1">
        <v>0</v>
      </c>
      <c r="H5" s="1">
        <v>0</v>
      </c>
      <c r="I5" s="1">
        <v>0</v>
      </c>
      <c r="J5" s="1">
        <v>0</v>
      </c>
    </row>
  </sheetData>
  <conditionalFormatting sqref="C5:K1048576">
    <cfRule type="expression" dxfId="0" priority="1">
      <formula>MOD(ROW(),2)=0</formula>
    </cfRule>
  </conditionalFormatting>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C1:AW5"/>
  <sheetViews>
    <sheetView showGridLines="0" workbookViewId="0">
      <pane ySplit="4" topLeftCell="A5" activePane="bottomLeft" state="frozen"/>
      <selection/>
      <selection pane="bottomLeft" activeCell="G9" sqref="G9"/>
    </sheetView>
  </sheetViews>
  <sheetFormatPr defaultColWidth="9" defaultRowHeight="20" customHeight="1" outlineLevelRow="4"/>
  <cols>
    <col min="1" max="1" width="4.625" style="27" customWidth="1"/>
    <col min="2" max="2" width="4.625" style="27" hidden="1" customWidth="1"/>
    <col min="3" max="49" width="12.625" style="1" customWidth="1"/>
    <col min="50" max="16384" width="9" style="27"/>
  </cols>
  <sheetData>
    <row r="1" s="27" customFormat="1" ht="54.75" customHeight="1"/>
    <row r="2" s="27" customFormat="1" ht="40" customHeight="1" spans="3:49">
      <c r="C2" s="4" t="s">
        <v>241</v>
      </c>
    </row>
    <row r="3" s="27" customFormat="1" ht="30" customHeight="1"/>
    <row r="4" s="27" customFormat="1" ht="30" customHeight="1" spans="3:49">
      <c r="C4" s="7" t="s">
        <v>45</v>
      </c>
      <c r="D4" s="7" t="s">
        <v>242</v>
      </c>
      <c r="E4" s="7" t="s">
        <v>57</v>
      </c>
      <c r="F4" s="7" t="s">
        <v>58</v>
      </c>
      <c r="G4" s="7" t="s">
        <v>98</v>
      </c>
      <c r="H4" s="7" t="s">
        <v>99</v>
      </c>
      <c r="I4" s="7" t="s">
        <v>100</v>
      </c>
      <c r="J4" s="7" t="s">
        <v>101</v>
      </c>
      <c r="K4" s="7" t="s">
        <v>102</v>
      </c>
      <c r="L4" s="7" t="s">
        <v>103</v>
      </c>
      <c r="M4" s="7" t="s">
        <v>104</v>
      </c>
      <c r="N4" s="7" t="s">
        <v>105</v>
      </c>
      <c r="O4" s="7" t="s">
        <v>106</v>
      </c>
      <c r="P4" s="7" t="s">
        <v>107</v>
      </c>
      <c r="Q4" s="7" t="s">
        <v>41</v>
      </c>
      <c r="R4" s="7" t="s">
        <v>108</v>
      </c>
      <c r="S4" s="7" t="s">
        <v>109</v>
      </c>
      <c r="T4" s="7" t="s">
        <v>110</v>
      </c>
      <c r="U4" s="7" t="s">
        <v>111</v>
      </c>
      <c r="V4" s="7" t="s">
        <v>112</v>
      </c>
      <c r="W4" s="7" t="s">
        <v>113</v>
      </c>
      <c r="X4" s="7" t="s">
        <v>114</v>
      </c>
      <c r="Y4" s="7" t="s">
        <v>115</v>
      </c>
      <c r="Z4" s="7" t="s">
        <v>116</v>
      </c>
      <c r="AA4" s="7" t="s">
        <v>117</v>
      </c>
      <c r="AB4" s="7" t="s">
        <v>118</v>
      </c>
      <c r="AC4" s="7" t="s">
        <v>119</v>
      </c>
      <c r="AD4" s="7" t="s">
        <v>120</v>
      </c>
      <c r="AE4" s="7" t="s">
        <v>121</v>
      </c>
      <c r="AF4" s="7" t="s">
        <v>122</v>
      </c>
      <c r="AG4" s="7" t="s">
        <v>123</v>
      </c>
      <c r="AH4" s="7" t="s">
        <v>124</v>
      </c>
      <c r="AI4" s="7" t="s">
        <v>125</v>
      </c>
      <c r="AJ4" s="7" t="s">
        <v>126</v>
      </c>
      <c r="AK4" s="7" t="s">
        <v>127</v>
      </c>
      <c r="AL4" s="7" t="s">
        <v>128</v>
      </c>
      <c r="AM4" s="7" t="s">
        <v>206</v>
      </c>
      <c r="AN4" s="7" t="s">
        <v>121</v>
      </c>
      <c r="AO4" s="7" t="s">
        <v>122</v>
      </c>
      <c r="AP4" s="7" t="s">
        <v>129</v>
      </c>
      <c r="AQ4" s="7" t="s">
        <v>130</v>
      </c>
      <c r="AR4" s="7" t="s">
        <v>131</v>
      </c>
      <c r="AS4" s="7" t="s">
        <v>132</v>
      </c>
      <c r="AT4" s="7" t="s">
        <v>133</v>
      </c>
      <c r="AU4" s="7" t="s">
        <v>134</v>
      </c>
      <c r="AV4" s="7" t="s">
        <v>135</v>
      </c>
      <c r="AW4" s="7" t="s">
        <v>136</v>
      </c>
    </row>
    <row r="5" customHeight="1" spans="3:49">
      <c r="D5" s="1">
        <v>1</v>
      </c>
      <c r="E5" s="1">
        <v>0</v>
      </c>
      <c r="F5" s="1">
        <v>0</v>
      </c>
      <c r="G5" s="1">
        <v>0</v>
      </c>
      <c r="H5" s="1">
        <v>0</v>
      </c>
      <c r="I5" s="1">
        <v>0</v>
      </c>
      <c r="J5" s="1">
        <v>0</v>
      </c>
      <c r="K5" s="1">
        <v>0</v>
      </c>
      <c r="L5" s="1">
        <v>0</v>
      </c>
      <c r="M5" s="1">
        <v>0</v>
      </c>
      <c r="N5" s="1">
        <v>0</v>
      </c>
      <c r="O5" s="1">
        <v>0</v>
      </c>
      <c r="P5" s="1">
        <v>0</v>
      </c>
      <c r="Q5" s="1">
        <v>0</v>
      </c>
      <c r="R5" s="1">
        <v>0</v>
      </c>
      <c r="S5" s="1">
        <v>0</v>
      </c>
      <c r="T5" s="1">
        <v>0.2</v>
      </c>
      <c r="U5" s="1">
        <v>0</v>
      </c>
      <c r="V5" s="1">
        <v>0.02</v>
      </c>
      <c r="W5" s="1">
        <v>0</v>
      </c>
      <c r="X5" s="1">
        <v>0</v>
      </c>
      <c r="Y5" s="1">
        <v>0</v>
      </c>
      <c r="Z5" s="1">
        <v>0</v>
      </c>
      <c r="AA5" s="1">
        <v>0</v>
      </c>
      <c r="AB5" s="1">
        <v>0</v>
      </c>
      <c r="AC5" s="1">
        <v>0</v>
      </c>
      <c r="AD5" s="1">
        <v>0</v>
      </c>
      <c r="AE5" s="1">
        <v>0</v>
      </c>
      <c r="AF5" s="1">
        <v>0</v>
      </c>
      <c r="AG5" s="1">
        <v>0</v>
      </c>
      <c r="AH5" s="1">
        <v>0</v>
      </c>
      <c r="AI5" s="1">
        <v>0</v>
      </c>
      <c r="AJ5" s="1">
        <v>0</v>
      </c>
      <c r="AK5" s="1">
        <v>0</v>
      </c>
      <c r="AL5" s="1">
        <v>0</v>
      </c>
      <c r="AM5" s="1">
        <v>0</v>
      </c>
      <c r="AN5" s="1">
        <v>0</v>
      </c>
      <c r="AO5" s="1">
        <v>0</v>
      </c>
      <c r="AP5" s="1">
        <v>0</v>
      </c>
      <c r="AQ5" s="1">
        <v>0</v>
      </c>
      <c r="AR5" s="1">
        <v>0</v>
      </c>
      <c r="AS5" s="1">
        <v>0</v>
      </c>
      <c r="AT5" s="1">
        <v>0</v>
      </c>
      <c r="AU5" s="1">
        <v>0</v>
      </c>
      <c r="AV5" s="1">
        <v>0</v>
      </c>
      <c r="AW5" s="1">
        <v>0</v>
      </c>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AC5:AC1048576">
    <cfRule type="expression" dxfId="0" priority="21">
      <formula>MOD(ROW(),2)=0</formula>
    </cfRule>
  </conditionalFormatting>
  <conditionalFormatting sqref="AD5:AD1048576">
    <cfRule type="expression" dxfId="0" priority="20">
      <formula>MOD(ROW(),2)=0</formula>
    </cfRule>
  </conditionalFormatting>
  <conditionalFormatting sqref="AE5:AE1048576">
    <cfRule type="expression" dxfId="0" priority="19">
      <formula>MOD(ROW(),2)=0</formula>
    </cfRule>
  </conditionalFormatting>
  <conditionalFormatting sqref="AF5:AF1048576">
    <cfRule type="expression" dxfId="0" priority="18">
      <formula>MOD(ROW(),2)=0</formula>
    </cfRule>
  </conditionalFormatting>
  <conditionalFormatting sqref="AG5:AG1048576">
    <cfRule type="expression" dxfId="0" priority="17">
      <formula>MOD(ROW(),2)=0</formula>
    </cfRule>
  </conditionalFormatting>
  <conditionalFormatting sqref="AH5:AH1048576">
    <cfRule type="expression" dxfId="0" priority="16">
      <formula>MOD(ROW(),2)=0</formula>
    </cfRule>
  </conditionalFormatting>
  <conditionalFormatting sqref="AI5:AI1048576">
    <cfRule type="expression" dxfId="0" priority="15">
      <formula>MOD(ROW(),2)=0</formula>
    </cfRule>
  </conditionalFormatting>
  <conditionalFormatting sqref="AJ5:AJ1048576">
    <cfRule type="expression" dxfId="0" priority="14">
      <formula>MOD(ROW(),2)=0</formula>
    </cfRule>
  </conditionalFormatting>
  <conditionalFormatting sqref="AK5:AK1048576">
    <cfRule type="expression" dxfId="0" priority="13">
      <formula>MOD(ROW(),2)=0</formula>
    </cfRule>
  </conditionalFormatting>
  <conditionalFormatting sqref="AL5:AL1048576">
    <cfRule type="expression" dxfId="0" priority="12">
      <formula>MOD(ROW(),2)=0</formula>
    </cfRule>
  </conditionalFormatting>
  <conditionalFormatting sqref="AM5:AM1048576">
    <cfRule type="expression" dxfId="0" priority="11">
      <formula>MOD(ROW(),2)=0</formula>
    </cfRule>
  </conditionalFormatting>
  <conditionalFormatting sqref="AN5:AN1048576">
    <cfRule type="expression" dxfId="0" priority="10">
      <formula>MOD(ROW(),2)=0</formula>
    </cfRule>
  </conditionalFormatting>
  <conditionalFormatting sqref="AO5:AO1048576">
    <cfRule type="expression" dxfId="0" priority="9">
      <formula>MOD(ROW(),2)=0</formula>
    </cfRule>
  </conditionalFormatting>
  <conditionalFormatting sqref="AP5:AP1048576">
    <cfRule type="expression" dxfId="0" priority="8">
      <formula>MOD(ROW(),2)=0</formula>
    </cfRule>
  </conditionalFormatting>
  <conditionalFormatting sqref="AQ5:AQ1048576">
    <cfRule type="expression" dxfId="0" priority="7">
      <formula>MOD(ROW(),2)=0</formula>
    </cfRule>
  </conditionalFormatting>
  <conditionalFormatting sqref="AR5:AR1048576">
    <cfRule type="expression" dxfId="0" priority="6">
      <formula>MOD(ROW(),2)=0</formula>
    </cfRule>
  </conditionalFormatting>
  <conditionalFormatting sqref="AS5:AS1048576">
    <cfRule type="expression" dxfId="0" priority="5">
      <formula>MOD(ROW(),2)=0</formula>
    </cfRule>
  </conditionalFormatting>
  <conditionalFormatting sqref="AT5:AT1048576">
    <cfRule type="expression" dxfId="0" priority="4">
      <formula>MOD(ROW(),2)=0</formula>
    </cfRule>
  </conditionalFormatting>
  <conditionalFormatting sqref="AU5:AU1048576">
    <cfRule type="expression" dxfId="0" priority="3">
      <formula>MOD(ROW(),2)=0</formula>
    </cfRule>
  </conditionalFormatting>
  <conditionalFormatting sqref="AV5:AV1048576">
    <cfRule type="expression" dxfId="0" priority="2">
      <formula>MOD(ROW(),2)=0</formula>
    </cfRule>
  </conditionalFormatting>
  <conditionalFormatting sqref="AW5:AW1048576">
    <cfRule type="expression" dxfId="0" priority="1">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C1:M8"/>
  <sheetViews>
    <sheetView showGridLines="0" workbookViewId="0">
      <pane ySplit="4" topLeftCell="A5" activePane="bottomLeft" state="frozen"/>
      <selection/>
      <selection pane="bottomLeft" activeCell="I10" sqref="I10"/>
    </sheetView>
  </sheetViews>
  <sheetFormatPr defaultColWidth="9" defaultRowHeight="20" customHeight="1" outlineLevelRow="7"/>
  <cols>
    <col min="1" max="1" width="4.625" style="27" customWidth="1"/>
    <col min="2" max="2" width="4.625" style="27" hidden="1" customWidth="1"/>
    <col min="3" max="13" width="12.625" style="1" customWidth="1"/>
    <col min="14" max="16384" width="9" style="27"/>
  </cols>
  <sheetData>
    <row r="1" s="27" customFormat="1" ht="54.75" customHeight="1"/>
    <row r="2" s="27" customFormat="1" ht="40" customHeight="1" spans="3:13">
      <c r="C2" s="4" t="s">
        <v>243</v>
      </c>
    </row>
    <row r="3" s="27" customFormat="1" ht="30" customHeight="1"/>
    <row r="4" s="27" customFormat="1" ht="30" customHeight="1" spans="3:13">
      <c r="C4" s="7" t="s">
        <v>45</v>
      </c>
      <c r="D4" s="7" t="s">
        <v>114</v>
      </c>
      <c r="E4" s="7" t="s">
        <v>124</v>
      </c>
      <c r="F4" s="7" t="s">
        <v>138</v>
      </c>
      <c r="G4" s="7" t="s">
        <v>115</v>
      </c>
      <c r="H4" s="7" t="s">
        <v>125</v>
      </c>
      <c r="I4" s="7" t="s">
        <v>139</v>
      </c>
      <c r="J4" s="7" t="s">
        <v>117</v>
      </c>
      <c r="K4" s="7" t="s">
        <v>118</v>
      </c>
      <c r="L4" s="7" t="s">
        <v>140</v>
      </c>
      <c r="M4" s="7" t="s">
        <v>141</v>
      </c>
    </row>
    <row r="5" s="27" customFormat="1" customHeight="1" spans="3:13">
      <c r="C5" s="1"/>
      <c r="D5" s="1">
        <v>0</v>
      </c>
      <c r="E5" s="1">
        <v>0</v>
      </c>
      <c r="F5" s="1">
        <v>0</v>
      </c>
      <c r="G5" s="1">
        <v>0</v>
      </c>
      <c r="H5" s="1">
        <v>0</v>
      </c>
      <c r="I5" s="1">
        <v>0</v>
      </c>
      <c r="J5" s="1">
        <v>0</v>
      </c>
      <c r="K5" s="1">
        <v>0</v>
      </c>
      <c r="L5" s="1">
        <v>0</v>
      </c>
      <c r="M5" s="1">
        <v>0</v>
      </c>
    </row>
    <row r="6" s="27" customFormat="1" customHeight="1" spans="3:13">
      <c r="C6" s="1"/>
      <c r="D6" s="1"/>
      <c r="E6" s="1"/>
      <c r="F6" s="1"/>
      <c r="G6" s="1"/>
      <c r="H6" s="1"/>
      <c r="I6" s="1"/>
      <c r="J6" s="1"/>
      <c r="K6" s="1"/>
      <c r="L6" s="1"/>
      <c r="M6" s="1"/>
    </row>
    <row r="7" s="27" customFormat="1" customHeight="1" spans="3:13">
      <c r="C7" s="1"/>
      <c r="D7" s="1"/>
      <c r="E7" s="1"/>
      <c r="F7" s="1"/>
      <c r="G7" s="1"/>
      <c r="H7" s="1"/>
      <c r="I7" s="1"/>
      <c r="J7" s="1"/>
      <c r="K7" s="1"/>
      <c r="L7" s="1"/>
      <c r="M7" s="1"/>
    </row>
    <row r="8" s="27" customFormat="1" customHeight="1" spans="3:13">
      <c r="C8" s="1"/>
      <c r="D8" s="1"/>
      <c r="E8" s="1"/>
      <c r="F8" s="1"/>
      <c r="G8" s="1"/>
      <c r="H8" s="1"/>
      <c r="I8" s="1"/>
      <c r="J8" s="1"/>
      <c r="K8" s="1"/>
      <c r="L8" s="1"/>
      <c r="M8" s="1"/>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C5:H1048576">
    <cfRule type="expression" dxfId="0" priority="42">
      <formula>MOD(ROW(),2)=0</formula>
    </cfRule>
  </conditionalFormatting>
  <pageMargins left="0.75" right="0.75" top="1" bottom="1" header="0.5" footer="0.5"/>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C1:AB15"/>
  <sheetViews>
    <sheetView showGridLines="0" workbookViewId="0">
      <pane ySplit="4" topLeftCell="A5" activePane="bottomLeft" state="frozen"/>
      <selection/>
      <selection pane="bottomLeft" activeCell="E7" sqref="E6:E7"/>
    </sheetView>
  </sheetViews>
  <sheetFormatPr defaultColWidth="9" defaultRowHeight="20" customHeight="1"/>
  <cols>
    <col min="1" max="1" width="4.625" style="27" customWidth="1"/>
    <col min="2" max="2" width="4.625" style="27" hidden="1" customWidth="1"/>
    <col min="3" max="5" width="12.625" style="1" customWidth="1"/>
    <col min="6" max="6" width="12.625" style="64" customWidth="1"/>
    <col min="7" max="7" width="12.625" style="1" customWidth="1"/>
    <col min="8" max="8" width="12.625" style="64" customWidth="1"/>
    <col min="9" max="12" width="12.625" style="1" customWidth="1"/>
    <col min="13" max="13" width="12.625" style="64" customWidth="1"/>
    <col min="14" max="28" width="12.625" style="1" customWidth="1"/>
    <col min="29" max="16384" width="9" style="27"/>
  </cols>
  <sheetData>
    <row r="1" s="27" customFormat="1" ht="54.75" customHeight="1" spans="3:28">
      <c r="F1" s="48"/>
      <c r="H1" s="48"/>
      <c r="M1" s="48"/>
    </row>
    <row r="2" s="27" customFormat="1" ht="40" customHeight="1" spans="3:28">
      <c r="C2" s="4" t="s">
        <v>244</v>
      </c>
      <c r="F2" s="48"/>
      <c r="H2" s="48"/>
      <c r="M2" s="48"/>
    </row>
    <row r="3" s="27" customFormat="1" ht="30" customHeight="1" spans="3:28">
      <c r="F3" s="48"/>
      <c r="H3" s="48"/>
      <c r="M3" s="48"/>
    </row>
    <row r="4" s="27" customFormat="1" ht="30" customHeight="1" spans="3:28">
      <c r="C4" s="7" t="s">
        <v>36</v>
      </c>
      <c r="D4" s="7" t="s">
        <v>45</v>
      </c>
      <c r="E4" s="7" t="s">
        <v>46</v>
      </c>
      <c r="F4" s="65" t="s">
        <v>49</v>
      </c>
      <c r="G4" s="7" t="s">
        <v>57</v>
      </c>
      <c r="H4" s="65" t="s">
        <v>59</v>
      </c>
      <c r="I4" s="7" t="s">
        <v>60</v>
      </c>
      <c r="J4" s="7" t="s">
        <v>61</v>
      </c>
      <c r="K4" s="7" t="s">
        <v>50</v>
      </c>
      <c r="L4" s="7" t="s">
        <v>51</v>
      </c>
      <c r="M4" s="65" t="s">
        <v>52</v>
      </c>
      <c r="N4" s="7" t="s">
        <v>53</v>
      </c>
      <c r="O4" s="7" t="s">
        <v>54</v>
      </c>
      <c r="P4" s="7" t="s">
        <v>55</v>
      </c>
      <c r="Q4" s="7" t="s">
        <v>56</v>
      </c>
      <c r="R4" s="7" t="s">
        <v>58</v>
      </c>
      <c r="S4" s="7" t="s">
        <v>71</v>
      </c>
      <c r="T4" s="7" t="s">
        <v>62</v>
      </c>
      <c r="U4" s="7" t="s">
        <v>63</v>
      </c>
      <c r="V4" s="7" t="s">
        <v>64</v>
      </c>
      <c r="W4" s="7" t="s">
        <v>65</v>
      </c>
      <c r="X4" s="7" t="s">
        <v>66</v>
      </c>
      <c r="Y4" s="7" t="s">
        <v>67</v>
      </c>
      <c r="Z4" s="7" t="s">
        <v>68</v>
      </c>
      <c r="AA4" s="7" t="s">
        <v>69</v>
      </c>
      <c r="AB4" s="7" t="s">
        <v>70</v>
      </c>
    </row>
    <row r="5" s="27" customFormat="1" customHeight="1" spans="3:28">
      <c r="C5" s="1" t="s">
        <v>72</v>
      </c>
      <c r="D5" s="1" t="s">
        <v>73</v>
      </c>
      <c r="E5" s="1" t="s">
        <v>74</v>
      </c>
      <c r="F5" s="64" t="s">
        <v>77</v>
      </c>
      <c r="G5" s="1">
        <v>9000</v>
      </c>
      <c r="H5" s="64" t="s">
        <v>84</v>
      </c>
      <c r="I5" s="68">
        <v>43922</v>
      </c>
      <c r="J5" s="1">
        <v>3</v>
      </c>
      <c r="K5" s="1" t="s">
        <v>78</v>
      </c>
      <c r="L5" s="1" t="s">
        <v>79</v>
      </c>
      <c r="M5" s="64" t="s">
        <v>80</v>
      </c>
      <c r="N5" s="68" t="s">
        <v>81</v>
      </c>
      <c r="O5" s="68">
        <v>45583</v>
      </c>
      <c r="P5" s="1" t="s">
        <v>82</v>
      </c>
      <c r="Q5" s="1" t="s">
        <v>83</v>
      </c>
      <c r="R5" s="1">
        <v>2000</v>
      </c>
      <c r="S5" s="1" t="s">
        <v>85</v>
      </c>
      <c r="T5" s="1"/>
      <c r="U5" s="1"/>
      <c r="V5" s="1"/>
      <c r="W5" s="1"/>
      <c r="X5" s="1"/>
      <c r="Y5" s="1"/>
      <c r="Z5" s="1"/>
      <c r="AA5" s="1"/>
      <c r="AB5" s="1"/>
    </row>
    <row r="6" s="27" customFormat="1" customHeight="1" spans="3:28">
      <c r="C6" s="1"/>
      <c r="D6" s="1"/>
      <c r="E6" s="1"/>
      <c r="F6" s="64"/>
      <c r="G6" s="1"/>
      <c r="H6" s="64"/>
      <c r="I6" s="68"/>
      <c r="J6" s="1"/>
      <c r="K6" s="1"/>
      <c r="L6" s="1"/>
      <c r="M6" s="64"/>
      <c r="N6" s="68"/>
      <c r="O6" s="68"/>
      <c r="P6" s="1"/>
      <c r="Q6" s="1"/>
      <c r="R6" s="1"/>
      <c r="S6" s="1"/>
      <c r="T6" s="1"/>
      <c r="U6" s="1"/>
      <c r="V6" s="1"/>
      <c r="W6" s="1"/>
      <c r="X6" s="1"/>
      <c r="Y6" s="1"/>
      <c r="Z6" s="1"/>
      <c r="AA6" s="1"/>
      <c r="AB6" s="1"/>
    </row>
    <row r="7" s="27" customFormat="1" customHeight="1" spans="3:28">
      <c r="C7" s="1"/>
      <c r="D7" s="1"/>
      <c r="E7" s="1"/>
      <c r="F7" s="64"/>
      <c r="G7" s="1"/>
      <c r="H7" s="64"/>
      <c r="I7" s="68"/>
      <c r="J7" s="1"/>
      <c r="K7" s="1"/>
      <c r="L7" s="1"/>
      <c r="M7" s="64"/>
      <c r="N7" s="68"/>
      <c r="O7" s="68"/>
      <c r="P7" s="1"/>
      <c r="Q7" s="1"/>
      <c r="R7" s="1"/>
      <c r="S7" s="1"/>
      <c r="T7" s="1"/>
      <c r="U7" s="1"/>
      <c r="V7" s="1"/>
      <c r="W7" s="1"/>
      <c r="X7" s="1"/>
      <c r="Y7" s="1"/>
      <c r="Z7" s="1"/>
      <c r="AA7" s="1"/>
      <c r="AB7" s="1"/>
    </row>
    <row r="8" s="27" customFormat="1" customHeight="1" spans="3:28">
      <c r="C8" s="1"/>
      <c r="D8" s="1"/>
      <c r="E8" s="1"/>
      <c r="F8" s="64"/>
      <c r="G8" s="1"/>
      <c r="H8" s="64"/>
      <c r="I8" s="68"/>
      <c r="J8" s="1"/>
      <c r="K8" s="1"/>
      <c r="L8" s="1"/>
      <c r="M8" s="64"/>
      <c r="N8" s="68"/>
      <c r="O8" s="68"/>
      <c r="P8" s="1"/>
      <c r="Q8" s="1"/>
      <c r="R8" s="1"/>
      <c r="S8" s="68"/>
      <c r="T8" s="1"/>
      <c r="U8" s="1"/>
      <c r="V8" s="1"/>
      <c r="W8" s="1"/>
      <c r="X8" s="1"/>
      <c r="Y8" s="1"/>
      <c r="Z8" s="1"/>
      <c r="AA8" s="1"/>
      <c r="AB8" s="1"/>
    </row>
    <row r="9" customHeight="1" spans="3:28">
      <c r="I9" s="68"/>
      <c r="N9" s="68"/>
      <c r="O9" s="68"/>
      <c r="S9" s="68"/>
    </row>
    <row r="10" customHeight="1" spans="3:28">
      <c r="I10" s="68"/>
      <c r="N10" s="68"/>
      <c r="O10" s="68"/>
      <c r="S10" s="68"/>
    </row>
    <row r="11" customHeight="1" spans="3:28">
      <c r="I11" s="68"/>
      <c r="N11" s="68"/>
      <c r="O11" s="68"/>
      <c r="Y11" s="68"/>
    </row>
    <row r="12" customHeight="1" spans="3:28">
      <c r="I12" s="68"/>
      <c r="N12" s="68"/>
      <c r="O12" s="68"/>
    </row>
    <row r="13" customHeight="1" spans="3:28">
      <c r="I13" s="68"/>
      <c r="N13" s="68"/>
      <c r="O13" s="68"/>
    </row>
    <row r="14" customHeight="1" spans="3:28">
      <c r="I14" s="68"/>
      <c r="N14" s="68"/>
      <c r="O14" s="68"/>
    </row>
    <row r="15" customHeight="1" spans="3:28">
      <c r="I15" s="68"/>
      <c r="O15" s="68"/>
    </row>
  </sheetData>
  <conditionalFormatting sqref="I5:I1048576">
    <cfRule type="expression" dxfId="0" priority="41">
      <formula>MOD(ROW(),2)=0</formula>
    </cfRule>
  </conditionalFormatting>
  <conditionalFormatting sqref="J5:J1048576">
    <cfRule type="expression" dxfId="0" priority="40">
      <formula>MOD(ROW(),2)=0</formula>
    </cfRule>
  </conditionalFormatting>
  <conditionalFormatting sqref="K5:K1048576">
    <cfRule type="expression" dxfId="0" priority="39">
      <formula>MOD(ROW(),2)=0</formula>
    </cfRule>
  </conditionalFormatting>
  <conditionalFormatting sqref="L5:L1048576">
    <cfRule type="expression" dxfId="0" priority="38">
      <formula>MOD(ROW(),2)=0</formula>
    </cfRule>
  </conditionalFormatting>
  <conditionalFormatting sqref="M5:M1048576">
    <cfRule type="expression" dxfId="0" priority="37">
      <formula>MOD(ROW(),2)=0</formula>
    </cfRule>
  </conditionalFormatting>
  <conditionalFormatting sqref="N5:N1048576">
    <cfRule type="expression" dxfId="0" priority="36">
      <formula>MOD(ROW(),2)=0</formula>
    </cfRule>
  </conditionalFormatting>
  <conditionalFormatting sqref="O5:O1048576">
    <cfRule type="expression" dxfId="0" priority="35">
      <formula>MOD(ROW(),2)=0</formula>
    </cfRule>
  </conditionalFormatting>
  <conditionalFormatting sqref="P5:P1048576">
    <cfRule type="expression" dxfId="0" priority="34">
      <formula>MOD(ROW(),2)=0</formula>
    </cfRule>
  </conditionalFormatting>
  <conditionalFormatting sqref="Q5:Q1048576">
    <cfRule type="expression" dxfId="0" priority="33">
      <formula>MOD(ROW(),2)=0</formula>
    </cfRule>
  </conditionalFormatting>
  <conditionalFormatting sqref="R5:R1048576">
    <cfRule type="expression" dxfId="0" priority="32">
      <formula>MOD(ROW(),2)=0</formula>
    </cfRule>
  </conditionalFormatting>
  <conditionalFormatting sqref="S5:S1048576">
    <cfRule type="expression" dxfId="0" priority="31">
      <formula>MOD(ROW(),2)=0</formula>
    </cfRule>
  </conditionalFormatting>
  <conditionalFormatting sqref="T5:T1048576">
    <cfRule type="expression" dxfId="0" priority="30">
      <formula>MOD(ROW(),2)=0</formula>
    </cfRule>
  </conditionalFormatting>
  <conditionalFormatting sqref="U5:U1048576">
    <cfRule type="expression" dxfId="0" priority="29">
      <formula>MOD(ROW(),2)=0</formula>
    </cfRule>
  </conditionalFormatting>
  <conditionalFormatting sqref="V5:V1048576">
    <cfRule type="expression" dxfId="0" priority="28">
      <formula>MOD(ROW(),2)=0</formula>
    </cfRule>
  </conditionalFormatting>
  <conditionalFormatting sqref="W5:W1048576">
    <cfRule type="expression" dxfId="0" priority="27">
      <formula>MOD(ROW(),2)=0</formula>
    </cfRule>
  </conditionalFormatting>
  <conditionalFormatting sqref="X5:X1048576">
    <cfRule type="expression" dxfId="0" priority="26">
      <formula>MOD(ROW(),2)=0</formula>
    </cfRule>
  </conditionalFormatting>
  <conditionalFormatting sqref="Y5:Y1048576">
    <cfRule type="expression" dxfId="0" priority="25">
      <formula>MOD(ROW(),2)=0</formula>
    </cfRule>
  </conditionalFormatting>
  <conditionalFormatting sqref="Z5:Z1048576">
    <cfRule type="expression" dxfId="0" priority="24">
      <formula>MOD(ROW(),2)=0</formula>
    </cfRule>
  </conditionalFormatting>
  <conditionalFormatting sqref="AA5:AA1048576">
    <cfRule type="expression" dxfId="0" priority="23">
      <formula>MOD(ROW(),2)=0</formula>
    </cfRule>
  </conditionalFormatting>
  <conditionalFormatting sqref="AB5:AB1048576">
    <cfRule type="expression" dxfId="0" priority="22">
      <formula>MOD(ROW(),2)=0</formula>
    </cfRule>
  </conditionalFormatting>
  <conditionalFormatting sqref="C5:H1048576">
    <cfRule type="expression" dxfId="0" priority="42">
      <formula>MOD(ROW(),2)=0</formula>
    </cfRule>
  </conditionalFormatting>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C1:F14"/>
  <sheetViews>
    <sheetView showGridLines="0" workbookViewId="0">
      <pane ySplit="4" topLeftCell="A5" activePane="bottomLeft" state="frozen"/>
      <selection/>
      <selection pane="bottomLeft" activeCell="E9" sqref="E9"/>
    </sheetView>
  </sheetViews>
  <sheetFormatPr defaultColWidth="9" defaultRowHeight="20" customHeight="1" outlineLevelCol="5"/>
  <cols>
    <col min="1" max="1" width="4.625" style="27" customWidth="1"/>
    <col min="2" max="2" width="4.625" style="27" hidden="1" customWidth="1"/>
    <col min="3" max="5" width="12.625" style="1" customWidth="1"/>
    <col min="6" max="6" width="15.25" style="1" customWidth="1"/>
    <col min="7" max="16384" width="9" style="27"/>
  </cols>
  <sheetData>
    <row r="1" s="27" customFormat="1" ht="54.75" customHeight="1" spans="3:6">
      <c r="F1" s="48"/>
    </row>
    <row r="2" s="27" customFormat="1" ht="40" customHeight="1" spans="3:6">
      <c r="C2" s="4" t="s">
        <v>245</v>
      </c>
      <c r="F2" s="48"/>
    </row>
    <row r="3" s="27" customFormat="1" ht="30" customHeight="1" spans="3:6">
      <c r="F3" s="48"/>
    </row>
    <row r="4" s="27" customFormat="1" ht="30" customHeight="1" spans="3:6">
      <c r="C4" s="7" t="s">
        <v>132</v>
      </c>
      <c r="D4" s="7" t="s">
        <v>246</v>
      </c>
      <c r="E4" s="7" t="s">
        <v>247</v>
      </c>
      <c r="F4" s="65" t="s">
        <v>190</v>
      </c>
    </row>
    <row r="5" s="27" customFormat="1" customHeight="1" spans="3:6">
      <c r="C5" s="1">
        <v>0</v>
      </c>
      <c r="D5" s="1">
        <v>0</v>
      </c>
      <c r="E5" s="1">
        <v>1</v>
      </c>
      <c r="F5" s="1">
        <v>0</v>
      </c>
    </row>
    <row r="6" s="27" customFormat="1" customHeight="1" spans="3:6">
      <c r="C6" s="1" t="s">
        <v>248</v>
      </c>
      <c r="D6" s="1">
        <f>SUM(D5:D5)</f>
        <v>0</v>
      </c>
      <c r="E6" s="1">
        <f>SUM(E5:E5)</f>
        <v>1</v>
      </c>
      <c r="F6" s="1">
        <f>SUM(F5:F5)</f>
        <v>0</v>
      </c>
    </row>
    <row r="7" s="27" customFormat="1" customHeight="1" spans="3:6">
      <c r="C7" s="1"/>
      <c r="D7" s="1"/>
      <c r="E7" s="1"/>
      <c r="F7" s="1"/>
    </row>
    <row r="8" s="27" customFormat="1" customHeight="1" spans="3:6">
      <c r="C8" s="1"/>
      <c r="D8" s="1"/>
      <c r="E8" s="1"/>
      <c r="F8" s="1"/>
    </row>
    <row r="9" s="27" customFormat="1" customHeight="1" spans="3:6">
      <c r="C9" s="1"/>
      <c r="D9" s="1"/>
      <c r="E9" s="1"/>
      <c r="F9" s="1"/>
    </row>
    <row r="10" s="27" customFormat="1" customHeight="1" spans="3:6">
      <c r="C10" s="1"/>
      <c r="D10" s="1"/>
      <c r="E10" s="1"/>
      <c r="F10" s="1"/>
    </row>
    <row r="11" s="27" customFormat="1" customHeight="1" spans="3:6">
      <c r="C11" s="1"/>
      <c r="D11" s="1"/>
      <c r="E11" s="1"/>
      <c r="F11" s="1"/>
    </row>
    <row r="12" s="27" customFormat="1" customHeight="1" spans="3:6">
      <c r="C12" s="1"/>
      <c r="D12" s="1"/>
      <c r="E12" s="1"/>
      <c r="F12" s="1"/>
    </row>
    <row r="13" s="27" customFormat="1" customHeight="1" spans="3:6">
      <c r="C13" s="1"/>
      <c r="D13" s="1"/>
      <c r="E13" s="1"/>
      <c r="F13" s="1"/>
    </row>
    <row r="14" s="27" customFormat="1" customHeight="1" spans="3:6">
      <c r="C14" s="1"/>
      <c r="D14" s="1"/>
      <c r="E14" s="1"/>
      <c r="F14" s="1"/>
    </row>
  </sheetData>
  <conditionalFormatting sqref="C5:F1048576">
    <cfRule type="expression" dxfId="0" priority="21">
      <formula>MOD(ROW(),2)=0</formula>
    </cfRule>
  </conditionalFormatting>
  <pageMargins left="0.75" right="0.75" top="1" bottom="1" header="0.5" footer="0.5"/>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C1:BA5"/>
  <sheetViews>
    <sheetView showGridLines="0" workbookViewId="0">
      <pane ySplit="4" topLeftCell="A5" activePane="bottomLeft" state="frozen"/>
      <selection/>
      <selection pane="bottomLeft" activeCell="F8" sqref="F8"/>
    </sheetView>
  </sheetViews>
  <sheetFormatPr defaultColWidth="9" defaultRowHeight="20" customHeight="1" outlineLevelRow="4"/>
  <cols>
    <col min="1" max="1" width="4.625" style="27" customWidth="1"/>
    <col min="2" max="2" width="4.625" style="27" hidden="1" customWidth="1"/>
    <col min="3" max="5" width="12.625" style="1" customWidth="1"/>
    <col min="6" max="6" width="23.375" style="64" customWidth="1"/>
    <col min="7" max="7" width="15.25" style="74" customWidth="1"/>
    <col min="8" max="53" width="15.25" style="1" customWidth="1"/>
    <col min="54" max="16384" width="9" style="27"/>
  </cols>
  <sheetData>
    <row r="1" ht="54.75" customHeight="1" spans="3:53">
      <c r="C1" s="48"/>
      <c r="D1" s="48"/>
      <c r="E1" s="48"/>
      <c r="F1" s="48"/>
      <c r="G1" s="75"/>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row>
    <row r="2" ht="40" customHeight="1" spans="3:53">
      <c r="C2" s="4" t="s">
        <v>249</v>
      </c>
      <c r="D2" s="48"/>
      <c r="E2" s="48"/>
      <c r="F2" s="48"/>
      <c r="G2" s="75"/>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row>
    <row r="3" ht="30" customHeight="1" spans="3:53">
      <c r="C3" s="48"/>
      <c r="D3" s="48"/>
      <c r="E3" s="48"/>
      <c r="F3" s="48"/>
      <c r="G3" s="75"/>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row>
    <row r="4" ht="30" customHeight="1" spans="3:53">
      <c r="C4" s="7" t="s">
        <v>36</v>
      </c>
      <c r="D4" s="7" t="s">
        <v>45</v>
      </c>
      <c r="E4" s="7" t="s">
        <v>95</v>
      </c>
      <c r="F4" s="65" t="s">
        <v>49</v>
      </c>
      <c r="G4" s="76" t="s">
        <v>60</v>
      </c>
      <c r="H4" s="7" t="s">
        <v>57</v>
      </c>
      <c r="I4" s="7" t="s">
        <v>58</v>
      </c>
      <c r="J4" s="7" t="s">
        <v>98</v>
      </c>
      <c r="K4" s="7" t="s">
        <v>250</v>
      </c>
      <c r="L4" s="7" t="s">
        <v>100</v>
      </c>
      <c r="M4" s="7" t="s">
        <v>101</v>
      </c>
      <c r="N4" s="7" t="s">
        <v>102</v>
      </c>
      <c r="O4" s="7" t="s">
        <v>103</v>
      </c>
      <c r="P4" s="7" t="s">
        <v>104</v>
      </c>
      <c r="Q4" s="7" t="s">
        <v>105</v>
      </c>
      <c r="R4" s="7" t="s">
        <v>106</v>
      </c>
      <c r="S4" s="7" t="s">
        <v>107</v>
      </c>
      <c r="T4" s="7" t="s">
        <v>41</v>
      </c>
      <c r="U4" s="7" t="s">
        <v>108</v>
      </c>
      <c r="V4" s="7" t="s">
        <v>109</v>
      </c>
      <c r="W4" s="7" t="s">
        <v>110</v>
      </c>
      <c r="X4" s="7" t="s">
        <v>111</v>
      </c>
      <c r="Y4" s="7" t="s">
        <v>112</v>
      </c>
      <c r="Z4" s="7" t="s">
        <v>113</v>
      </c>
      <c r="AA4" s="7" t="s">
        <v>114</v>
      </c>
      <c r="AB4" s="7" t="s">
        <v>115</v>
      </c>
      <c r="AC4" s="7" t="s">
        <v>116</v>
      </c>
      <c r="AD4" s="7" t="s">
        <v>117</v>
      </c>
      <c r="AE4" s="7" t="s">
        <v>118</v>
      </c>
      <c r="AF4" s="7" t="s">
        <v>119</v>
      </c>
      <c r="AG4" s="7" t="s">
        <v>120</v>
      </c>
      <c r="AH4" s="7" t="s">
        <v>121</v>
      </c>
      <c r="AI4" s="7" t="s">
        <v>122</v>
      </c>
      <c r="AJ4" s="7" t="s">
        <v>123</v>
      </c>
      <c r="AK4" s="7" t="s">
        <v>124</v>
      </c>
      <c r="AL4" s="7" t="s">
        <v>125</v>
      </c>
      <c r="AM4" s="7" t="s">
        <v>126</v>
      </c>
      <c r="AN4" s="7" t="s">
        <v>205</v>
      </c>
      <c r="AO4" s="7" t="s">
        <v>128</v>
      </c>
      <c r="AP4" s="7" t="s">
        <v>206</v>
      </c>
      <c r="AQ4" s="7" t="s">
        <v>121</v>
      </c>
      <c r="AR4" s="7" t="s">
        <v>122</v>
      </c>
      <c r="AS4" s="7" t="s">
        <v>129</v>
      </c>
      <c r="AT4" s="7" t="s">
        <v>130</v>
      </c>
      <c r="AU4" s="7" t="s">
        <v>131</v>
      </c>
      <c r="AV4" s="7" t="s">
        <v>132</v>
      </c>
      <c r="AW4" s="7" t="s">
        <v>133</v>
      </c>
      <c r="AX4" s="7" t="s">
        <v>134</v>
      </c>
      <c r="AY4" s="7" t="s">
        <v>207</v>
      </c>
      <c r="AZ4" s="7" t="s">
        <v>136</v>
      </c>
      <c r="BA4" s="7" t="s">
        <v>208</v>
      </c>
    </row>
    <row r="5" customHeight="1" spans="3:53">
      <c r="C5" s="1" t="s">
        <v>147</v>
      </c>
      <c r="H5" s="1">
        <v>0</v>
      </c>
      <c r="I5" s="1">
        <v>0</v>
      </c>
      <c r="J5" s="1">
        <v>0</v>
      </c>
      <c r="K5" s="1">
        <v>0</v>
      </c>
      <c r="N5" s="1">
        <v>0</v>
      </c>
      <c r="O5" s="1">
        <v>0</v>
      </c>
      <c r="P5" s="1">
        <v>0</v>
      </c>
      <c r="Q5" s="1">
        <v>0</v>
      </c>
      <c r="R5" s="1">
        <v>0</v>
      </c>
      <c r="S5" s="1">
        <v>0</v>
      </c>
      <c r="T5" s="1">
        <v>0</v>
      </c>
      <c r="U5" s="1">
        <v>0</v>
      </c>
      <c r="V5" s="1">
        <v>0</v>
      </c>
      <c r="W5" s="1">
        <v>0.2</v>
      </c>
      <c r="Y5" s="1">
        <v>0.02</v>
      </c>
      <c r="AA5" s="1">
        <v>0</v>
      </c>
      <c r="AB5" s="1">
        <v>0</v>
      </c>
      <c r="AC5" s="1">
        <v>0</v>
      </c>
      <c r="AD5" s="1">
        <v>0</v>
      </c>
      <c r="AE5" s="1">
        <v>0</v>
      </c>
      <c r="AF5" s="1">
        <v>0</v>
      </c>
      <c r="AG5" s="1">
        <v>0</v>
      </c>
      <c r="AJ5" s="1">
        <v>0</v>
      </c>
      <c r="AK5" s="1">
        <v>0</v>
      </c>
      <c r="AL5" s="1">
        <v>0</v>
      </c>
      <c r="AM5" s="1">
        <v>0</v>
      </c>
      <c r="AN5" s="1">
        <v>0</v>
      </c>
      <c r="AO5" s="1">
        <v>0</v>
      </c>
      <c r="AP5" s="1">
        <v>0</v>
      </c>
      <c r="AS5" s="1">
        <v>0</v>
      </c>
      <c r="AT5" s="1">
        <v>0</v>
      </c>
      <c r="AU5" s="1">
        <v>0</v>
      </c>
      <c r="AV5" s="1">
        <v>0</v>
      </c>
      <c r="AW5" s="1">
        <v>0</v>
      </c>
      <c r="AX5" s="1">
        <v>0</v>
      </c>
      <c r="AZ5" s="1">
        <v>0</v>
      </c>
    </row>
  </sheetData>
  <conditionalFormatting sqref="G5:G1048576">
    <cfRule type="expression" dxfId="0" priority="47">
      <formula>MOD(ROW(),2)=0</formula>
    </cfRule>
  </conditionalFormatting>
  <conditionalFormatting sqref="H5:H1048576">
    <cfRule type="expression" dxfId="0" priority="46">
      <formula>MOD(ROW(),2)=0</formula>
    </cfRule>
  </conditionalFormatting>
  <conditionalFormatting sqref="I5:I1048576">
    <cfRule type="expression" dxfId="0" priority="45">
      <formula>MOD(ROW(),2)=0</formula>
    </cfRule>
  </conditionalFormatting>
  <conditionalFormatting sqref="J5:J1048576">
    <cfRule type="expression" dxfId="0" priority="44">
      <formula>MOD(ROW(),2)=0</formula>
    </cfRule>
  </conditionalFormatting>
  <conditionalFormatting sqref="K5:K1048576">
    <cfRule type="expression" dxfId="0" priority="43">
      <formula>MOD(ROW(),2)=0</formula>
    </cfRule>
  </conditionalFormatting>
  <conditionalFormatting sqref="L5:L1048576">
    <cfRule type="expression" dxfId="0" priority="42">
      <formula>MOD(ROW(),2)=0</formula>
    </cfRule>
  </conditionalFormatting>
  <conditionalFormatting sqref="M5:M1048576">
    <cfRule type="expression" dxfId="0" priority="41">
      <formula>MOD(ROW(),2)=0</formula>
    </cfRule>
  </conditionalFormatting>
  <conditionalFormatting sqref="N5:N1048576">
    <cfRule type="expression" dxfId="0" priority="40">
      <formula>MOD(ROW(),2)=0</formula>
    </cfRule>
  </conditionalFormatting>
  <conditionalFormatting sqref="O5:O1048576">
    <cfRule type="expression" dxfId="0" priority="39">
      <formula>MOD(ROW(),2)=0</formula>
    </cfRule>
  </conditionalFormatting>
  <conditionalFormatting sqref="P5:P1048576">
    <cfRule type="expression" dxfId="0" priority="38">
      <formula>MOD(ROW(),2)=0</formula>
    </cfRule>
  </conditionalFormatting>
  <conditionalFormatting sqref="Q5:Q1048576">
    <cfRule type="expression" dxfId="0" priority="37">
      <formula>MOD(ROW(),2)=0</formula>
    </cfRule>
  </conditionalFormatting>
  <conditionalFormatting sqref="R5:R1048576">
    <cfRule type="expression" dxfId="0" priority="36">
      <formula>MOD(ROW(),2)=0</formula>
    </cfRule>
  </conditionalFormatting>
  <conditionalFormatting sqref="S5:S1048576">
    <cfRule type="expression" dxfId="0" priority="35">
      <formula>MOD(ROW(),2)=0</formula>
    </cfRule>
  </conditionalFormatting>
  <conditionalFormatting sqref="T5:T1048576">
    <cfRule type="expression" dxfId="0" priority="34">
      <formula>MOD(ROW(),2)=0</formula>
    </cfRule>
  </conditionalFormatting>
  <conditionalFormatting sqref="U5:U1048576">
    <cfRule type="expression" dxfId="0" priority="33">
      <formula>MOD(ROW(),2)=0</formula>
    </cfRule>
  </conditionalFormatting>
  <conditionalFormatting sqref="V5:V1048576">
    <cfRule type="expression" dxfId="0" priority="32">
      <formula>MOD(ROW(),2)=0</formula>
    </cfRule>
  </conditionalFormatting>
  <conditionalFormatting sqref="W5:W1048576">
    <cfRule type="expression" dxfId="0" priority="31">
      <formula>MOD(ROW(),2)=0</formula>
    </cfRule>
  </conditionalFormatting>
  <conditionalFormatting sqref="X5:X1048576">
    <cfRule type="expression" dxfId="0" priority="30">
      <formula>MOD(ROW(),2)=0</formula>
    </cfRule>
  </conditionalFormatting>
  <conditionalFormatting sqref="Y5:Y1048576">
    <cfRule type="expression" dxfId="0" priority="29">
      <formula>MOD(ROW(),2)=0</formula>
    </cfRule>
  </conditionalFormatting>
  <conditionalFormatting sqref="Z5:Z1048576">
    <cfRule type="expression" dxfId="0" priority="28">
      <formula>MOD(ROW(),2)=0</formula>
    </cfRule>
  </conditionalFormatting>
  <conditionalFormatting sqref="AA5:AA1048576">
    <cfRule type="expression" dxfId="0" priority="27">
      <formula>MOD(ROW(),2)=0</formula>
    </cfRule>
  </conditionalFormatting>
  <conditionalFormatting sqref="AB5:AB1048576">
    <cfRule type="expression" dxfId="0" priority="26">
      <formula>MOD(ROW(),2)=0</formula>
    </cfRule>
  </conditionalFormatting>
  <conditionalFormatting sqref="AC5:AC1048576">
    <cfRule type="expression" dxfId="0" priority="25">
      <formula>MOD(ROW(),2)=0</formula>
    </cfRule>
  </conditionalFormatting>
  <conditionalFormatting sqref="AD5:AD1048576">
    <cfRule type="expression" dxfId="0" priority="24">
      <formula>MOD(ROW(),2)=0</formula>
    </cfRule>
  </conditionalFormatting>
  <conditionalFormatting sqref="AE5:AE1048576">
    <cfRule type="expression" dxfId="0" priority="23">
      <formula>MOD(ROW(),2)=0</formula>
    </cfRule>
  </conditionalFormatting>
  <conditionalFormatting sqref="AF5:AF1048576">
    <cfRule type="expression" dxfId="0" priority="22">
      <formula>MOD(ROW(),2)=0</formula>
    </cfRule>
  </conditionalFormatting>
  <conditionalFormatting sqref="AG5:AG1048576">
    <cfRule type="expression" dxfId="0" priority="21">
      <formula>MOD(ROW(),2)=0</formula>
    </cfRule>
  </conditionalFormatting>
  <conditionalFormatting sqref="AH5:AH1048576">
    <cfRule type="expression" dxfId="0" priority="20">
      <formula>MOD(ROW(),2)=0</formula>
    </cfRule>
  </conditionalFormatting>
  <conditionalFormatting sqref="AI5:AI1048576">
    <cfRule type="expression" dxfId="0" priority="19">
      <formula>MOD(ROW(),2)=0</formula>
    </cfRule>
  </conditionalFormatting>
  <conditionalFormatting sqref="AJ5:AJ1048576">
    <cfRule type="expression" dxfId="0" priority="18">
      <formula>MOD(ROW(),2)=0</formula>
    </cfRule>
  </conditionalFormatting>
  <conditionalFormatting sqref="AK5:AK1048576">
    <cfRule type="expression" dxfId="0" priority="17">
      <formula>MOD(ROW(),2)=0</formula>
    </cfRule>
  </conditionalFormatting>
  <conditionalFormatting sqref="AL5:AL1048576">
    <cfRule type="expression" dxfId="0" priority="16">
      <formula>MOD(ROW(),2)=0</formula>
    </cfRule>
  </conditionalFormatting>
  <conditionalFormatting sqref="AM5:AM1048576">
    <cfRule type="expression" dxfId="0" priority="15">
      <formula>MOD(ROW(),2)=0</formula>
    </cfRule>
  </conditionalFormatting>
  <conditionalFormatting sqref="AN5:AN1048576">
    <cfRule type="expression" dxfId="0" priority="14">
      <formula>MOD(ROW(),2)=0</formula>
    </cfRule>
  </conditionalFormatting>
  <conditionalFormatting sqref="AO5:AO1048576">
    <cfRule type="expression" dxfId="0" priority="13">
      <formula>MOD(ROW(),2)=0</formula>
    </cfRule>
  </conditionalFormatting>
  <conditionalFormatting sqref="AP5:AP1048576">
    <cfRule type="expression" dxfId="0" priority="12">
      <formula>MOD(ROW(),2)=0</formula>
    </cfRule>
  </conditionalFormatting>
  <conditionalFormatting sqref="AQ5:AQ1048576">
    <cfRule type="expression" dxfId="0" priority="11">
      <formula>MOD(ROW(),2)=0</formula>
    </cfRule>
  </conditionalFormatting>
  <conditionalFormatting sqref="AR5:AR1048576">
    <cfRule type="expression" dxfId="0" priority="10">
      <formula>MOD(ROW(),2)=0</formula>
    </cfRule>
  </conditionalFormatting>
  <conditionalFormatting sqref="AS5:AS1048576">
    <cfRule type="expression" dxfId="0" priority="9">
      <formula>MOD(ROW(),2)=0</formula>
    </cfRule>
  </conditionalFormatting>
  <conditionalFormatting sqref="AT5:AT1048576">
    <cfRule type="expression" dxfId="0" priority="8">
      <formula>MOD(ROW(),2)=0</formula>
    </cfRule>
  </conditionalFormatting>
  <conditionalFormatting sqref="AU5:AU1048576">
    <cfRule type="expression" dxfId="0" priority="7">
      <formula>MOD(ROW(),2)=0</formula>
    </cfRule>
  </conditionalFormatting>
  <conditionalFormatting sqref="AV5:AV1048576">
    <cfRule type="expression" dxfId="0" priority="6">
      <formula>MOD(ROW(),2)=0</formula>
    </cfRule>
  </conditionalFormatting>
  <conditionalFormatting sqref="AW5:AW1048576">
    <cfRule type="expression" dxfId="0" priority="5">
      <formula>MOD(ROW(),2)=0</formula>
    </cfRule>
  </conditionalFormatting>
  <conditionalFormatting sqref="AX5:AX1048576">
    <cfRule type="expression" dxfId="0" priority="4">
      <formula>MOD(ROW(),2)=0</formula>
    </cfRule>
  </conditionalFormatting>
  <conditionalFormatting sqref="AY5:AY1048576">
    <cfRule type="expression" dxfId="0" priority="3">
      <formula>MOD(ROW(),2)=0</formula>
    </cfRule>
  </conditionalFormatting>
  <conditionalFormatting sqref="AZ5:AZ1048576">
    <cfRule type="expression" dxfId="0" priority="2">
      <formula>MOD(ROW(),2)=0</formula>
    </cfRule>
  </conditionalFormatting>
  <conditionalFormatting sqref="BA5:BA1048576">
    <cfRule type="expression" dxfId="0" priority="1">
      <formula>MOD(ROW(),2)=0</formula>
    </cfRule>
  </conditionalFormatting>
  <conditionalFormatting sqref="C5:F1048576">
    <cfRule type="expression" dxfId="0" priority="48">
      <formula>MOD(ROW(),2)=0</formula>
    </cfRule>
  </conditionalFormatting>
  <pageMargins left="0.75" right="0.75" top="1" bottom="1" header="0.5" footer="0.5"/>
  <pageSetup paperSize="9" orientation="landscape"/>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B1:L17"/>
  <sheetViews>
    <sheetView showGridLines="0" workbookViewId="0">
      <pane ySplit="4" topLeftCell="A5" activePane="bottomLeft" state="frozen"/>
      <selection/>
      <selection pane="bottomLeft" activeCell="H11" sqref="H11"/>
    </sheetView>
  </sheetViews>
  <sheetFormatPr defaultColWidth="9" defaultRowHeight="20" customHeight="1"/>
  <cols>
    <col min="1" max="1" width="4.625" customWidth="1"/>
    <col min="2" max="2" width="12.5" hidden="1" customWidth="1"/>
    <col min="3" max="9" width="12.625" customWidth="1"/>
    <col min="11" max="12" width="11.5" hidden="1" customWidth="1"/>
  </cols>
  <sheetData>
    <row r="1" ht="54.75" customHeight="1" spans="2:12">
      <c r="B1" s="69">
        <v>12</v>
      </c>
      <c r="C1" s="70">
        <v>1</v>
      </c>
      <c r="D1" s="27">
        <f>WEEKDAY(C1)</f>
        <v>1</v>
      </c>
      <c r="E1" s="69"/>
    </row>
    <row r="2" ht="40" customHeight="1" spans="2:12">
      <c r="C2" s="4" t="s">
        <v>251</v>
      </c>
    </row>
    <row r="3" ht="30" customHeight="1"/>
    <row r="4" ht="30" customHeight="1" spans="2:12">
      <c r="C4" s="49" t="s">
        <v>252</v>
      </c>
      <c r="D4" s="49" t="s">
        <v>253</v>
      </c>
      <c r="E4" s="49" t="s">
        <v>254</v>
      </c>
      <c r="F4" s="58" t="s">
        <v>255</v>
      </c>
      <c r="G4" s="71" t="s">
        <v>256</v>
      </c>
      <c r="H4" s="49" t="s">
        <v>257</v>
      </c>
      <c r="I4" s="49" t="s">
        <v>258</v>
      </c>
    </row>
    <row r="5" customHeight="1" spans="2:12">
      <c r="C5" s="1">
        <v>1</v>
      </c>
      <c r="D5" s="1">
        <v>2</v>
      </c>
      <c r="E5" s="1">
        <v>3</v>
      </c>
      <c r="F5" s="1">
        <v>4</v>
      </c>
      <c r="G5" s="1">
        <v>5</v>
      </c>
      <c r="H5" s="1">
        <v>6</v>
      </c>
      <c r="I5" s="1">
        <v>7</v>
      </c>
      <c r="K5" s="72" t="s">
        <v>170</v>
      </c>
      <c r="L5" s="72">
        <v>36915</v>
      </c>
    </row>
    <row r="6" customHeight="1" spans="2:12">
      <c r="C6" s="1"/>
      <c r="D6" s="1"/>
      <c r="E6" s="68" t="s">
        <v>166</v>
      </c>
      <c r="F6" s="1"/>
      <c r="G6" s="1"/>
      <c r="H6" s="1"/>
      <c r="I6" s="1"/>
      <c r="K6" s="72" t="s">
        <v>166</v>
      </c>
      <c r="L6" s="72">
        <v>36894</v>
      </c>
    </row>
    <row r="7" customHeight="1" spans="2:12">
      <c r="C7" s="1">
        <v>8</v>
      </c>
      <c r="D7" s="1">
        <v>9</v>
      </c>
      <c r="E7" s="1">
        <v>10</v>
      </c>
      <c r="F7" s="1">
        <v>11</v>
      </c>
      <c r="G7" s="1">
        <v>12</v>
      </c>
      <c r="H7" s="1">
        <v>13</v>
      </c>
      <c r="I7" s="1">
        <v>14</v>
      </c>
      <c r="K7" t="s">
        <v>72</v>
      </c>
      <c r="L7" s="72"/>
    </row>
    <row r="8" customHeight="1" spans="2:12">
      <c r="C8" s="1"/>
      <c r="D8" s="1"/>
      <c r="E8" s="1"/>
      <c r="F8" s="1"/>
      <c r="G8" s="1"/>
      <c r="H8" s="1"/>
      <c r="I8" s="1"/>
    </row>
    <row r="9" customHeight="1" spans="2:12">
      <c r="C9" s="1">
        <v>15</v>
      </c>
      <c r="D9" s="1">
        <v>16</v>
      </c>
      <c r="E9" s="1">
        <v>17</v>
      </c>
      <c r="F9" s="1">
        <v>18</v>
      </c>
      <c r="G9" s="1">
        <v>19</v>
      </c>
      <c r="H9" s="1">
        <v>20</v>
      </c>
      <c r="I9" s="1">
        <v>21</v>
      </c>
    </row>
    <row r="10" customHeight="1" spans="2:12">
      <c r="C10" s="1"/>
      <c r="D10" s="1"/>
      <c r="E10" s="1"/>
      <c r="F10" s="1"/>
      <c r="G10" s="1"/>
      <c r="H10" s="1"/>
      <c r="I10" s="1"/>
    </row>
    <row r="11" customHeight="1" spans="2:12">
      <c r="C11" s="1">
        <v>22</v>
      </c>
      <c r="D11" s="1">
        <v>23</v>
      </c>
      <c r="E11" s="1">
        <v>24</v>
      </c>
      <c r="F11" s="1">
        <v>25</v>
      </c>
      <c r="G11" s="1">
        <v>26</v>
      </c>
      <c r="H11" s="1">
        <v>27</v>
      </c>
      <c r="I11" s="1">
        <v>28</v>
      </c>
    </row>
    <row r="12" customHeight="1" spans="2:12">
      <c r="C12" s="1"/>
      <c r="D12" s="1"/>
      <c r="E12" s="1" t="s">
        <v>170</v>
      </c>
      <c r="F12" s="1"/>
      <c r="G12" s="1"/>
      <c r="H12" s="1"/>
      <c r="I12" s="1"/>
    </row>
    <row r="13" customHeight="1" spans="2:12">
      <c r="C13" s="1">
        <v>29</v>
      </c>
      <c r="D13" s="1">
        <v>30</v>
      </c>
      <c r="E13" s="1">
        <v>31</v>
      </c>
      <c r="F13" s="1"/>
      <c r="G13" s="1"/>
      <c r="H13" s="1"/>
      <c r="I13" s="1"/>
    </row>
    <row r="14" customHeight="1" spans="2:12">
      <c r="C14" s="1"/>
      <c r="D14" s="1"/>
      <c r="E14" s="1"/>
      <c r="F14" s="1"/>
      <c r="G14" s="1"/>
      <c r="H14" s="1"/>
      <c r="I14" s="1"/>
    </row>
    <row r="15" customHeight="1" spans="2:12">
      <c r="C15" s="1"/>
      <c r="D15" s="1"/>
      <c r="E15" s="1"/>
      <c r="F15" s="64"/>
      <c r="G15" s="1"/>
      <c r="H15" s="1"/>
      <c r="I15" s="64"/>
    </row>
    <row r="16" customHeight="1" spans="2:12">
      <c r="C16" s="1"/>
      <c r="D16" s="1"/>
      <c r="E16" s="1"/>
      <c r="F16" s="64"/>
      <c r="G16" s="1"/>
      <c r="H16" s="1"/>
      <c r="I16" s="64"/>
    </row>
    <row r="17" customHeight="1" spans="3:9">
      <c r="C17" s="73"/>
      <c r="D17" s="73"/>
      <c r="E17" s="27"/>
      <c r="F17" s="27"/>
      <c r="G17" s="27"/>
      <c r="H17" s="27"/>
      <c r="I17" s="27"/>
    </row>
  </sheetData>
  <conditionalFormatting sqref="G5:G6">
    <cfRule type="expression" dxfId="0" priority="7">
      <formula>MOD(ROW(),2)=0</formula>
    </cfRule>
  </conditionalFormatting>
  <conditionalFormatting sqref="G7:G14">
    <cfRule type="expression" dxfId="0" priority="9">
      <formula>MOD(ROW(),2)=0</formula>
    </cfRule>
  </conditionalFormatting>
  <conditionalFormatting sqref="H5:H6">
    <cfRule type="expression" dxfId="0" priority="4">
      <formula>MOD(ROW(),2)=0</formula>
    </cfRule>
  </conditionalFormatting>
  <conditionalFormatting sqref="H7:H14">
    <cfRule type="expression" dxfId="0" priority="6">
      <formula>MOD(ROW(),2)=0</formula>
    </cfRule>
  </conditionalFormatting>
  <conditionalFormatting sqref="I5:I6">
    <cfRule type="expression" dxfId="0" priority="3">
      <formula>MOD(ROW(),2)=0</formula>
    </cfRule>
  </conditionalFormatting>
  <conditionalFormatting sqref="I7:I14">
    <cfRule type="expression" dxfId="0" priority="5">
      <formula>MOD(ROW(),2)=0</formula>
    </cfRule>
  </conditionalFormatting>
  <conditionalFormatting sqref="C5:F6">
    <cfRule type="expression" dxfId="0" priority="8">
      <formula>MOD(ROW(),2)=0</formula>
    </cfRule>
  </conditionalFormatting>
  <conditionalFormatting sqref="C7:F14">
    <cfRule type="expression" dxfId="0" priority="10">
      <formula>MOD(ROW(),2)=0</formula>
    </cfRule>
  </conditionalFormatting>
  <conditionalFormatting sqref="C15:F16">
    <cfRule type="expression" dxfId="0" priority="2">
      <formula>MOD(ROW(),2)=0</formula>
    </cfRule>
  </conditionalFormatting>
  <conditionalFormatting sqref="G15:I16">
    <cfRule type="expression" dxfId="0" priority="1">
      <formula>MOD(ROW(),2)=0</formula>
    </cfRule>
  </conditionalFormatting>
  <pageMargins left="0.75" right="0.75" top="1" bottom="1" header="0.5" footer="0.5"/>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C1:K11"/>
  <sheetViews>
    <sheetView showGridLines="0" workbookViewId="0">
      <pane ySplit="4" topLeftCell="A5" activePane="bottomLeft" state="frozen"/>
      <selection/>
      <selection pane="bottomLeft" activeCell="J10" sqref="J10"/>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3" customWidth="1"/>
    <col min="6" max="6" width="22.875" style="64" customWidth="1"/>
    <col min="7" max="7" width="18" style="1" customWidth="1"/>
    <col min="8" max="9" width="12.625" style="1" customWidth="1"/>
    <col min="10" max="10" width="20" style="1" customWidth="1"/>
    <col min="11" max="11" width="11.625" style="2" customWidth="1"/>
  </cols>
  <sheetData>
    <row r="1" ht="54.75" customHeight="1" spans="3:11">
      <c r="D1" s="27"/>
      <c r="E1" s="28"/>
      <c r="F1" s="48"/>
      <c r="G1" s="48"/>
      <c r="H1" s="27"/>
      <c r="I1" s="27"/>
      <c r="J1" s="27"/>
    </row>
    <row r="2" ht="40" customHeight="1" spans="3:11">
      <c r="D2" s="4" t="s">
        <v>259</v>
      </c>
      <c r="E2" s="28"/>
      <c r="F2" s="48"/>
      <c r="G2" s="48"/>
      <c r="H2" s="27"/>
      <c r="I2" s="27"/>
      <c r="J2" s="27"/>
    </row>
    <row r="3" ht="30" customHeight="1" spans="3:11">
      <c r="D3" s="27"/>
      <c r="E3" s="28"/>
      <c r="F3" s="48"/>
      <c r="G3" s="48"/>
      <c r="H3" s="27"/>
      <c r="I3" s="27"/>
      <c r="J3" s="27"/>
    </row>
    <row r="4" ht="30" customHeight="1" spans="3:11">
      <c r="D4" s="7" t="s">
        <v>36</v>
      </c>
      <c r="E4" s="8" t="s">
        <v>53</v>
      </c>
      <c r="F4" s="65" t="s">
        <v>260</v>
      </c>
      <c r="G4" s="65" t="s">
        <v>261</v>
      </c>
      <c r="H4" s="7" t="s">
        <v>262</v>
      </c>
      <c r="I4" s="7" t="s">
        <v>263</v>
      </c>
      <c r="J4" s="7" t="s">
        <v>70</v>
      </c>
      <c r="K4" s="7" t="s">
        <v>264</v>
      </c>
    </row>
    <row r="5" customHeight="1" spans="3:11">
      <c r="C5" s="66"/>
      <c r="G5" s="64"/>
    </row>
    <row r="6" customHeight="1" spans="3:11">
      <c r="C6" s="67"/>
      <c r="G6" s="64"/>
    </row>
    <row r="7" customHeight="1" spans="3:11">
      <c r="C7" s="67"/>
      <c r="G7" s="64"/>
    </row>
    <row r="8" customHeight="1" spans="3:11">
      <c r="C8" s="66"/>
      <c r="G8" s="64"/>
    </row>
    <row r="9" customHeight="1" spans="3:11">
      <c r="C9" s="67"/>
      <c r="G9" s="64"/>
    </row>
    <row r="10" customHeight="1" spans="3:11">
      <c r="G10" s="64"/>
    </row>
    <row r="11" customHeight="1" spans="3:11">
      <c r="G11" s="68"/>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数据暂存!$ES$1:$ES$2</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C1:K10"/>
  <sheetViews>
    <sheetView showGridLines="0" workbookViewId="0">
      <pane ySplit="4" topLeftCell="A5" activePane="bottomLeft" state="frozen"/>
      <selection/>
      <selection pane="bottomLeft" activeCell="F9" sqref="F9"/>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3" customWidth="1"/>
    <col min="6" max="6" width="22.875" style="64" customWidth="1"/>
    <col min="7" max="7" width="18" style="1" customWidth="1"/>
    <col min="8" max="9" width="12.625" style="1" customWidth="1"/>
    <col min="10" max="10" width="20" style="1" customWidth="1"/>
    <col min="11" max="11" width="11.625" style="2" customWidth="1"/>
  </cols>
  <sheetData>
    <row r="1" ht="54.75" customHeight="1" spans="3:11">
      <c r="D1" s="27"/>
      <c r="E1" s="28"/>
      <c r="F1" s="48"/>
      <c r="G1" s="48"/>
      <c r="H1" s="27"/>
      <c r="I1" s="27"/>
      <c r="J1" s="27"/>
    </row>
    <row r="2" ht="40" customHeight="1" spans="3:11">
      <c r="D2" s="4" t="s">
        <v>265</v>
      </c>
      <c r="E2" s="28"/>
      <c r="F2" s="48"/>
      <c r="G2" s="48"/>
      <c r="H2" s="27"/>
      <c r="I2" s="27"/>
      <c r="J2" s="27"/>
    </row>
    <row r="3" ht="30" customHeight="1" spans="3:11">
      <c r="D3" s="27"/>
      <c r="E3" s="28"/>
      <c r="F3" s="48"/>
      <c r="G3" s="48"/>
      <c r="H3" s="27"/>
      <c r="I3" s="27"/>
      <c r="J3" s="27"/>
    </row>
    <row r="4" ht="30" customHeight="1" spans="3:11">
      <c r="D4" s="7" t="s">
        <v>36</v>
      </c>
      <c r="E4" s="8" t="s">
        <v>53</v>
      </c>
      <c r="F4" s="65" t="s">
        <v>260</v>
      </c>
      <c r="G4" s="65" t="s">
        <v>261</v>
      </c>
      <c r="H4" s="7" t="s">
        <v>262</v>
      </c>
      <c r="I4" s="7" t="s">
        <v>263</v>
      </c>
      <c r="J4" s="7" t="s">
        <v>70</v>
      </c>
      <c r="K4" s="7" t="s">
        <v>264</v>
      </c>
    </row>
    <row r="5" customHeight="1" spans="3:11">
      <c r="C5" s="66"/>
      <c r="G5" s="64"/>
    </row>
    <row r="6" customHeight="1" spans="3:11">
      <c r="C6" s="67"/>
      <c r="G6" s="64"/>
    </row>
    <row r="7" customHeight="1" spans="3:11">
      <c r="C7" s="67"/>
      <c r="G7" s="64"/>
    </row>
    <row r="8" customHeight="1" spans="3:11">
      <c r="C8" s="66"/>
      <c r="G8" s="64"/>
    </row>
    <row r="9" customHeight="1" spans="3:11">
      <c r="C9" s="67"/>
      <c r="G9" s="64"/>
    </row>
    <row r="10" customHeight="1" spans="3:11">
      <c r="G10" s="64"/>
    </row>
  </sheetData>
  <conditionalFormatting sqref="D5:K1048576">
    <cfRule type="expression" dxfId="0" priority="1">
      <formula>MOD(ROW(),2)=0</formula>
    </cfRule>
  </conditionalFormatting>
  <dataValidations count="1">
    <dataValidation type="list" allowBlank="1" showInputMessage="1" showErrorMessage="1" sqref="I5:I1048576">
      <formula1>数据暂存!$ES$1:$ES$3</formula1>
    </dataValidation>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C1:K11"/>
  <sheetViews>
    <sheetView showGridLines="0" workbookViewId="0">
      <pane ySplit="4" topLeftCell="A5" activePane="bottomLeft" state="frozen"/>
      <selection/>
      <selection pane="bottomLeft" activeCell="I11" sqref="I11"/>
    </sheetView>
  </sheetViews>
  <sheetFormatPr defaultColWidth="9" defaultRowHeight="20" customHeight="1"/>
  <cols>
    <col min="1" max="1" width="4.625" customWidth="1"/>
    <col min="2" max="2" width="4.625" hidden="1" customWidth="1"/>
    <col min="3" max="3" width="9.125" hidden="1" customWidth="1"/>
    <col min="4" max="4" width="12.625" style="1" customWidth="1"/>
    <col min="5" max="5" width="12.625" style="63" customWidth="1"/>
    <col min="6" max="6" width="22.875" style="64" customWidth="1"/>
    <col min="7" max="7" width="18" style="1" customWidth="1"/>
    <col min="8" max="8" width="12.625" style="1" customWidth="1"/>
    <col min="9" max="9" width="21.125" style="1" customWidth="1"/>
    <col min="10" max="10" width="20" style="1" customWidth="1"/>
    <col min="11" max="11" width="11.625" style="2" customWidth="1"/>
  </cols>
  <sheetData>
    <row r="1" ht="54.75" customHeight="1" spans="3:11">
      <c r="D1" s="27"/>
      <c r="E1" s="28"/>
      <c r="F1" s="48"/>
      <c r="G1" s="48"/>
      <c r="H1" s="27"/>
      <c r="I1" s="27"/>
      <c r="J1" s="27"/>
    </row>
    <row r="2" ht="40" customHeight="1" spans="3:11">
      <c r="D2" s="4" t="s">
        <v>266</v>
      </c>
      <c r="E2" s="28"/>
      <c r="F2" s="48"/>
      <c r="G2" s="48"/>
      <c r="H2" s="27"/>
      <c r="I2" s="27"/>
      <c r="J2" s="27"/>
    </row>
    <row r="3" ht="30" customHeight="1" spans="3:11">
      <c r="D3" s="27"/>
      <c r="E3" s="28"/>
      <c r="F3" s="48"/>
      <c r="G3" s="48"/>
      <c r="H3" s="27"/>
      <c r="I3" s="27"/>
      <c r="J3" s="27"/>
    </row>
    <row r="4" ht="30" customHeight="1" spans="3:11">
      <c r="D4" s="7" t="s">
        <v>36</v>
      </c>
      <c r="E4" s="8" t="s">
        <v>53</v>
      </c>
      <c r="F4" s="65" t="s">
        <v>260</v>
      </c>
      <c r="G4" s="65" t="s">
        <v>261</v>
      </c>
      <c r="H4" s="7" t="s">
        <v>262</v>
      </c>
      <c r="I4" s="7" t="s">
        <v>267</v>
      </c>
      <c r="J4" s="7" t="s">
        <v>70</v>
      </c>
      <c r="K4" s="7" t="s">
        <v>264</v>
      </c>
    </row>
    <row r="5" customHeight="1" spans="3:11">
      <c r="C5" s="66"/>
      <c r="G5" s="64"/>
    </row>
    <row r="6" customHeight="1" spans="3:11">
      <c r="C6" s="67"/>
      <c r="G6" s="64"/>
    </row>
    <row r="7" customHeight="1" spans="3:11">
      <c r="C7" s="67"/>
      <c r="G7" s="64"/>
    </row>
    <row r="8" customHeight="1" spans="3:11">
      <c r="C8" s="66"/>
      <c r="G8" s="64"/>
    </row>
    <row r="9" customHeight="1" spans="3:11">
      <c r="C9" s="67"/>
      <c r="G9" s="64"/>
    </row>
    <row r="10" customHeight="1" spans="3:11">
      <c r="G10" s="64"/>
    </row>
    <row r="11" customHeight="1" spans="3:11">
      <c r="G11" s="68"/>
    </row>
  </sheetData>
  <conditionalFormatting sqref="D5:K1048576">
    <cfRule type="expression" dxfId="0" priority="1">
      <formula>MOD(ROW(),2)=0</formula>
    </cfRule>
  </conditionalFormatting>
  <dataValidations count="1">
    <dataValidation allowBlank="1" showInputMessage="1" showErrorMessage="1" sqref="I5:I1048576"/>
  </dataValidations>
  <hyperlinks>
    <hyperlink ref="C7" r:id="rId2" tooltip="http://yhocn.cn:9088/renshi/jianliwenjian/ceshi7.jpg,http://yhocn.cn:9088/renshi/jianliwenjian/ceshi8.jpg"/>
    <hyperlink ref="C6" r:id="rId3" tooltip="http://yhocn.cn:9088/renshi/jianliwenjian/ceshi9.jpg,http://yhocn.cn:9088/renshi/jianliwenjian/ceshi10.jpg"/>
    <hyperlink ref="C5" r:id="rId4"/>
    <hyperlink ref="C8" r:id="rId5" tooltip="http://yhocn.cn:9088/renshi/jianliwenjian/ceshi4.jpg"/>
    <hyperlink ref="C9" r:id="rId6" tooltip="http://yhocn.cn:9088/renshi/jianliwenjian/%E6%B5%8B%E8%AF%951.jpg,http://yhocn.cn:9088/人事/简历管理/测试4.jpg"/>
  </hyperlinks>
  <pageMargins left="0.75" right="0.75" top="1" bottom="1" header="0.5" footer="0.5"/>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B1:I15"/>
  <sheetViews>
    <sheetView showGridLines="0" workbookViewId="0">
      <pane ySplit="4" topLeftCell="A5" activePane="bottomLeft" state="frozen"/>
      <selection/>
      <selection pane="bottomLeft" activeCell="B8" sqref="B8:C11"/>
    </sheetView>
  </sheetViews>
  <sheetFormatPr defaultColWidth="9" defaultRowHeight="20" customHeight="1"/>
  <cols>
    <col min="1" max="1" width="4.625" customWidth="1"/>
    <col min="2" max="3" width="30.75" style="46" customWidth="1"/>
    <col min="5" max="5" width="12.25" style="34" customWidth="1"/>
    <col min="6" max="9" width="12.25" style="53" customWidth="1"/>
  </cols>
  <sheetData>
    <row r="1" ht="54.75" customHeight="1" spans="2:9">
      <c r="B1" s="27"/>
      <c r="C1" s="28"/>
      <c r="E1"/>
      <c r="F1"/>
      <c r="G1"/>
      <c r="H1"/>
      <c r="I1"/>
    </row>
    <row r="2" ht="40" customHeight="1" spans="2:9">
      <c r="B2" s="4" t="s">
        <v>268</v>
      </c>
      <c r="C2" s="28"/>
      <c r="E2"/>
      <c r="F2"/>
      <c r="G2"/>
      <c r="H2"/>
      <c r="I2"/>
    </row>
    <row r="3" ht="30" customHeight="1" spans="2:9">
      <c r="B3" s="27"/>
      <c r="C3" s="28"/>
      <c r="E3" s="15" t="s">
        <v>269</v>
      </c>
      <c r="F3" s="16"/>
      <c r="G3" s="16"/>
      <c r="H3" s="16"/>
      <c r="I3" s="16"/>
    </row>
    <row r="4" ht="30" customHeight="1" spans="2:9">
      <c r="B4" s="30" t="s">
        <v>270</v>
      </c>
      <c r="C4" s="31"/>
      <c r="E4" s="52" t="s">
        <v>271</v>
      </c>
      <c r="F4" s="52" t="s">
        <v>36</v>
      </c>
      <c r="G4" s="52" t="s">
        <v>45</v>
      </c>
      <c r="H4" s="52" t="s">
        <v>272</v>
      </c>
      <c r="I4" s="52" t="s">
        <v>273</v>
      </c>
    </row>
    <row r="5" ht="18" customHeight="1" spans="2:9">
      <c r="B5" s="21" t="s">
        <v>45</v>
      </c>
      <c r="C5" s="53" t="s">
        <v>73</v>
      </c>
    </row>
    <row r="6" ht="18" customHeight="1" spans="2:9">
      <c r="B6" s="21" t="s">
        <v>36</v>
      </c>
      <c r="C6" s="53" t="s">
        <v>42</v>
      </c>
    </row>
    <row r="7" ht="18" customHeight="1" spans="2:9">
      <c r="B7" s="33" t="s">
        <v>274</v>
      </c>
      <c r="C7" s="37"/>
    </row>
    <row r="8" ht="18" customHeight="1" spans="2:9">
      <c r="B8" s="38">
        <v>12</v>
      </c>
      <c r="C8" s="38"/>
    </row>
    <row r="9" ht="18" customHeight="1" spans="2:9">
      <c r="B9" s="38"/>
      <c r="C9" s="38"/>
    </row>
    <row r="10" ht="18" customHeight="1" spans="2:9">
      <c r="B10" s="38"/>
      <c r="C10" s="38"/>
    </row>
    <row r="11" ht="18" customHeight="1" spans="2:9">
      <c r="B11" s="38"/>
      <c r="C11" s="38"/>
    </row>
    <row r="12" ht="18" customHeight="1"/>
    <row r="13" ht="18" customHeight="1"/>
    <row r="14" ht="18" customHeight="1"/>
    <row r="15" ht="18" customHeight="1"/>
  </sheetData>
  <mergeCells count="4">
    <mergeCell ref="E3:I3"/>
    <mergeCell ref="B4:C4"/>
    <mergeCell ref="B7:C7"/>
    <mergeCell ref="B8:C11"/>
  </mergeCells>
  <dataValidations count="1">
    <dataValidation type="list" allowBlank="1" showInputMessage="1" showErrorMessage="1" sqref="C5">
      <formula1>配置表!$E$5:$E$10</formula1>
    </dataValidation>
  </dataValidations>
  <pageMargins left="0.75" right="0.75" top="1" bottom="1" header="0.5" footer="0.5"/>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B1:H10"/>
  <sheetViews>
    <sheetView showGridLines="0" workbookViewId="0">
      <pane ySplit="4" topLeftCell="A5" activePane="bottomLeft" state="frozen"/>
      <selection/>
      <selection pane="bottomLeft" activeCell="E9" sqref="E9"/>
    </sheetView>
  </sheetViews>
  <sheetFormatPr defaultColWidth="9" defaultRowHeight="20" customHeight="1" outlineLevelCol="7"/>
  <cols>
    <col min="1" max="1" width="4.625" customWidth="1"/>
    <col min="2" max="2" width="4.625" hidden="1" customWidth="1"/>
    <col min="3" max="3" width="12.625" style="1" customWidth="1"/>
    <col min="4" max="4" width="12.625" style="63" customWidth="1"/>
    <col min="5" max="5" width="22.875" style="64" customWidth="1"/>
    <col min="6" max="6" width="22" style="1" customWidth="1"/>
    <col min="7" max="7" width="12.625" style="1" customWidth="1"/>
    <col min="8" max="8" width="20.625" style="1" customWidth="1"/>
  </cols>
  <sheetData>
    <row r="1" ht="54.75" customHeight="1" spans="2:8">
      <c r="C1" s="27"/>
      <c r="D1" s="28"/>
      <c r="E1" s="48"/>
      <c r="F1" s="48"/>
      <c r="G1" s="27"/>
      <c r="H1" s="27"/>
    </row>
    <row r="2" ht="40" customHeight="1" spans="2:8">
      <c r="C2" s="4" t="s">
        <v>275</v>
      </c>
      <c r="D2" s="28"/>
      <c r="E2" s="48"/>
      <c r="F2" s="48"/>
      <c r="G2" s="27"/>
      <c r="H2" s="27"/>
    </row>
    <row r="3" ht="30" customHeight="1" spans="2:8">
      <c r="C3" s="27"/>
      <c r="D3" s="28"/>
      <c r="E3" s="48"/>
      <c r="F3" s="48"/>
      <c r="G3" s="27"/>
      <c r="H3" s="27"/>
    </row>
    <row r="4" ht="30" customHeight="1" spans="2:8">
      <c r="C4" s="7" t="s">
        <v>45</v>
      </c>
      <c r="D4" s="8" t="s">
        <v>36</v>
      </c>
      <c r="E4" s="65" t="s">
        <v>231</v>
      </c>
      <c r="F4" s="65" t="s">
        <v>276</v>
      </c>
      <c r="G4" s="7" t="s">
        <v>277</v>
      </c>
      <c r="H4" s="7" t="s">
        <v>273</v>
      </c>
    </row>
    <row r="5" customHeight="1" spans="2:8">
      <c r="B5">
        <v>51</v>
      </c>
      <c r="C5" s="1" t="s">
        <v>148</v>
      </c>
      <c r="D5" s="63" t="s">
        <v>278</v>
      </c>
      <c r="E5" s="64" t="s">
        <v>279</v>
      </c>
      <c r="F5" s="64" t="s">
        <v>280</v>
      </c>
    </row>
    <row r="6" customHeight="1" spans="2:8">
      <c r="F6" s="64"/>
    </row>
    <row r="7" customHeight="1" spans="2:8">
      <c r="F7" s="64"/>
    </row>
    <row r="8" customHeight="1" spans="2:8">
      <c r="F8" s="64"/>
    </row>
    <row r="9" customHeight="1" spans="2:8">
      <c r="F9" s="64"/>
    </row>
    <row r="10" customHeight="1" spans="2:8">
      <c r="F10" s="64"/>
    </row>
  </sheetData>
  <conditionalFormatting sqref="C5:H1048576">
    <cfRule type="expression" dxfId="0" priority="1">
      <formula>MOD(ROW(),2)=0</formula>
    </cfRule>
  </conditionalFormatting>
  <dataValidations count="2">
    <dataValidation type="list" allowBlank="1" showInputMessage="1" showErrorMessage="1" sqref="G5:G1048576">
      <formula1>数据暂存!$ET$1:$ET$3</formula1>
    </dataValidation>
    <dataValidation allowBlank="1" showInputMessage="1" showErrorMessage="1" sqref="H5:H1048576"/>
  </dataValidations>
  <pageMargins left="0.75" right="0.75" top="1" bottom="1" header="0.5" footer="0.5"/>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B1:J10"/>
  <sheetViews>
    <sheetView showGridLines="0" workbookViewId="0">
      <pane ySplit="4" topLeftCell="A5" activePane="bottomLeft" state="frozen"/>
      <selection/>
      <selection pane="bottomLeft" activeCell="G9" sqref="G9"/>
    </sheetView>
  </sheetViews>
  <sheetFormatPr defaultColWidth="9" defaultRowHeight="20" customHeight="1"/>
  <cols>
    <col min="1" max="1" width="4.625" customWidth="1"/>
    <col min="2" max="2" width="4.625" hidden="1" customWidth="1"/>
    <col min="3" max="3" width="12.625" style="1" customWidth="1"/>
    <col min="4" max="4" width="12.625" style="63" customWidth="1"/>
    <col min="5" max="5" width="22.875" style="64" customWidth="1"/>
    <col min="6" max="7" width="22" style="64" customWidth="1"/>
    <col min="8" max="8" width="22" style="1" customWidth="1"/>
    <col min="9" max="9" width="12.625" style="1" customWidth="1"/>
    <col min="10" max="10" width="20.625" style="1" customWidth="1"/>
  </cols>
  <sheetData>
    <row r="1" ht="54.75" customHeight="1" spans="2:10">
      <c r="C1" s="27"/>
      <c r="D1" s="28"/>
      <c r="E1" s="48"/>
      <c r="F1" s="48"/>
      <c r="G1" s="48"/>
      <c r="H1" s="48"/>
      <c r="I1" s="27"/>
      <c r="J1" s="27"/>
    </row>
    <row r="2" ht="40" customHeight="1" spans="2:10">
      <c r="C2" s="4" t="s">
        <v>281</v>
      </c>
      <c r="D2" s="28"/>
      <c r="E2" s="48"/>
      <c r="F2" s="48"/>
      <c r="G2" s="48"/>
      <c r="H2" s="48"/>
      <c r="I2" s="27"/>
      <c r="J2" s="27"/>
    </row>
    <row r="3" ht="30" customHeight="1" spans="2:10">
      <c r="C3" s="27"/>
      <c r="D3" s="28"/>
      <c r="E3" s="48"/>
      <c r="F3" s="48"/>
      <c r="G3" s="48"/>
      <c r="H3" s="48"/>
      <c r="I3" s="27"/>
      <c r="J3" s="27"/>
    </row>
    <row r="4" ht="30" customHeight="1" spans="2:10">
      <c r="C4" s="7" t="s">
        <v>45</v>
      </c>
      <c r="D4" s="8" t="s">
        <v>36</v>
      </c>
      <c r="E4" s="65" t="s">
        <v>271</v>
      </c>
      <c r="F4" s="65" t="s">
        <v>282</v>
      </c>
      <c r="G4" s="65" t="s">
        <v>283</v>
      </c>
      <c r="H4" s="65" t="s">
        <v>276</v>
      </c>
      <c r="I4" s="7" t="s">
        <v>277</v>
      </c>
      <c r="J4" s="7" t="s">
        <v>273</v>
      </c>
    </row>
    <row r="5" customHeight="1" spans="2:10">
      <c r="B5">
        <v>46</v>
      </c>
      <c r="C5" s="1" t="s">
        <v>73</v>
      </c>
      <c r="D5" s="63" t="s">
        <v>42</v>
      </c>
      <c r="E5" s="64" t="s">
        <v>284</v>
      </c>
      <c r="F5" s="64" t="s">
        <v>285</v>
      </c>
      <c r="G5" s="64" t="s">
        <v>279</v>
      </c>
      <c r="H5" s="64" t="s">
        <v>286</v>
      </c>
      <c r="I5" s="1" t="s">
        <v>143</v>
      </c>
    </row>
    <row r="6" customHeight="1" spans="2:10">
      <c r="H6" s="64"/>
    </row>
    <row r="7" customHeight="1" spans="2:10">
      <c r="H7" s="64"/>
    </row>
    <row r="8" customHeight="1" spans="2:10">
      <c r="H8" s="64"/>
    </row>
    <row r="9" customHeight="1" spans="2:10">
      <c r="H9" s="64"/>
    </row>
    <row r="10" customHeight="1" spans="2:10">
      <c r="H10" s="64"/>
    </row>
  </sheetData>
  <conditionalFormatting sqref="C5:J1048576">
    <cfRule type="expression" dxfId="0" priority="1">
      <formula>MOD(ROW(),2)=0</formula>
    </cfRule>
  </conditionalFormatting>
  <dataValidations count="2">
    <dataValidation type="list" allowBlank="1" showInputMessage="1" showErrorMessage="1" sqref="I5:I1048576">
      <formula1>数据暂存!$ET$1:$ET$3</formula1>
    </dataValidation>
    <dataValidation allowBlank="1" showInputMessage="1" showErrorMessage="1" sqref="J5:J1048576"/>
  </dataValidations>
  <pageMargins left="0.75" right="0.75" top="1" bottom="1" header="0.5" footer="0.5"/>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AH6"/>
  <sheetViews>
    <sheetView showGridLines="0" workbookViewId="0">
      <pane ySplit="4" topLeftCell="A5" activePane="bottomLeft" state="frozen"/>
      <selection/>
      <selection pane="bottomLeft" activeCell="E8" sqref="E8"/>
    </sheetView>
  </sheetViews>
  <sheetFormatPr defaultColWidth="9" defaultRowHeight="20" customHeight="1" outlineLevelRow="5"/>
  <cols>
    <col min="1" max="1" width="4.625" style="46" customWidth="1"/>
    <col min="2" max="2" width="4.625" style="54" hidden="1" customWidth="1"/>
    <col min="3" max="3" width="12.625" style="47" customWidth="1"/>
    <col min="4" max="4" width="12.625" style="55" customWidth="1"/>
    <col min="5" max="5" width="22.875" style="56" customWidth="1"/>
    <col min="6" max="7" width="22" style="56" customWidth="1"/>
    <col min="8" max="8" width="22" style="47" customWidth="1"/>
    <col min="9" max="9" width="12.625" style="47" customWidth="1"/>
    <col min="10" max="10" width="20.625" style="47" customWidth="1"/>
    <col min="11" max="34" width="9" style="53"/>
    <col min="35" max="16384" width="9" style="57"/>
  </cols>
  <sheetData>
    <row r="1" customFormat="1" ht="54.75" customHeight="1" spans="1:34">
      <c r="A1" s="46"/>
      <c r="C1" s="27"/>
      <c r="D1" s="28"/>
      <c r="E1" s="48"/>
      <c r="F1" s="48"/>
      <c r="G1" s="48"/>
      <c r="H1" s="48"/>
      <c r="I1" s="27"/>
      <c r="J1" s="27"/>
    </row>
    <row r="2" customFormat="1" ht="40" customHeight="1" spans="1:34">
      <c r="A2" s="46"/>
      <c r="C2" s="4" t="s">
        <v>287</v>
      </c>
      <c r="D2" s="28"/>
      <c r="E2" s="48"/>
      <c r="F2" s="48"/>
      <c r="G2" s="48"/>
      <c r="H2" s="48"/>
      <c r="I2" s="27"/>
      <c r="J2" s="27"/>
    </row>
    <row r="3" customFormat="1" ht="30" customHeight="1" spans="1:34">
      <c r="A3" s="46"/>
      <c r="C3" s="27"/>
      <c r="D3" s="28"/>
      <c r="E3" s="48"/>
      <c r="F3" s="48"/>
      <c r="G3" s="48"/>
      <c r="H3" s="48"/>
      <c r="I3" s="27"/>
      <c r="J3" s="27"/>
    </row>
    <row r="4" customFormat="1" ht="30" customHeight="1" spans="1:34">
      <c r="A4" s="46"/>
      <c r="B4" s="27">
        <v>37</v>
      </c>
      <c r="C4" s="49" t="s">
        <v>36</v>
      </c>
      <c r="D4" s="49" t="s">
        <v>221</v>
      </c>
      <c r="E4" s="49" t="s">
        <v>288</v>
      </c>
      <c r="F4" s="49" t="s">
        <v>289</v>
      </c>
      <c r="G4" s="49"/>
      <c r="H4" s="49"/>
      <c r="I4" s="49"/>
      <c r="J4" s="49"/>
      <c r="K4" s="49"/>
      <c r="L4" s="49"/>
      <c r="M4" s="49"/>
      <c r="N4" s="58"/>
      <c r="O4" s="58"/>
      <c r="P4" s="58"/>
      <c r="Q4" s="49"/>
      <c r="R4" s="49"/>
      <c r="S4" s="49"/>
      <c r="T4" s="59"/>
      <c r="U4" s="58"/>
      <c r="V4" s="58"/>
      <c r="W4" s="58"/>
      <c r="X4" s="58"/>
      <c r="Y4" s="49"/>
      <c r="Z4" s="49"/>
      <c r="AA4" s="49"/>
      <c r="AB4" s="59"/>
      <c r="AC4" s="58"/>
      <c r="AD4" s="58"/>
      <c r="AE4" s="58"/>
      <c r="AF4" s="58"/>
      <c r="AG4" s="49"/>
      <c r="AH4" s="49"/>
    </row>
    <row r="5" customHeight="1" spans="1:34">
      <c r="B5" s="60">
        <v>38</v>
      </c>
      <c r="C5" s="47" t="s">
        <v>290</v>
      </c>
      <c r="D5" s="47">
        <v>1500</v>
      </c>
      <c r="E5" s="47">
        <v>1000</v>
      </c>
      <c r="F5" s="61">
        <v>500</v>
      </c>
      <c r="G5" s="61"/>
      <c r="K5" s="62"/>
      <c r="L5" s="62"/>
      <c r="M5" s="62"/>
    </row>
    <row r="6" customHeight="1" spans="1:34">
      <c r="B6" s="54">
        <v>39</v>
      </c>
      <c r="C6" s="47" t="s">
        <v>291</v>
      </c>
      <c r="D6" s="55">
        <v>3700</v>
      </c>
      <c r="E6" s="56" t="s">
        <v>292</v>
      </c>
      <c r="F6" s="56" t="s">
        <v>293</v>
      </c>
    </row>
  </sheetData>
  <pageMargins left="0.75" right="0.75" top="1" bottom="1" header="0.5" footer="0.5"/>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C20"/>
  <sheetViews>
    <sheetView showGridLines="0" zoomScale="85" zoomScaleNormal="85" workbookViewId="0">
      <pane ySplit="4" topLeftCell="A5" activePane="bottomLeft" state="frozen"/>
      <selection/>
      <selection pane="bottomLeft" activeCell="C5" sqref="C5"/>
    </sheetView>
  </sheetViews>
  <sheetFormatPr defaultColWidth="9" defaultRowHeight="20" customHeight="1" outlineLevelCol="2"/>
  <cols>
    <col min="1" max="1" width="4.625" style="46" customWidth="1"/>
    <col min="2" max="3" width="12.625" customWidth="1"/>
    <col min="4" max="16384" width="9" style="46"/>
  </cols>
  <sheetData>
    <row r="1" customFormat="1" ht="54.75" customHeight="1" spans="1:3">
      <c r="A1" s="46"/>
      <c r="B1" s="27"/>
      <c r="C1" s="28"/>
    </row>
    <row r="2" customFormat="1" ht="40" customHeight="1" spans="1:3">
      <c r="A2" s="46"/>
      <c r="B2" s="4" t="s">
        <v>294</v>
      </c>
      <c r="C2" s="28"/>
    </row>
    <row r="3" customFormat="1" ht="30" customHeight="1" spans="1:3">
      <c r="A3" s="46"/>
      <c r="B3" s="27"/>
      <c r="C3" s="28"/>
    </row>
    <row r="4" customFormat="1" ht="30" customHeight="1" spans="1:3">
      <c r="A4" s="46"/>
      <c r="B4" s="52" t="s">
        <v>295</v>
      </c>
      <c r="C4" s="52" t="s">
        <v>296</v>
      </c>
    </row>
    <row r="5" customHeight="1" spans="1:3">
      <c r="B5" s="53" t="s">
        <v>36</v>
      </c>
      <c r="C5" s="53" t="s">
        <v>221</v>
      </c>
    </row>
    <row r="8" customHeight="1" spans="1:3">
      <c r="B8" s="5" t="s">
        <v>290</v>
      </c>
      <c r="C8" s="5">
        <v>1500</v>
      </c>
    </row>
    <row r="9" customHeight="1" spans="1:3">
      <c r="B9" s="5" t="s">
        <v>291</v>
      </c>
      <c r="C9" s="5">
        <v>3700</v>
      </c>
    </row>
    <row r="10" customHeight="1" spans="1:3">
      <c r="B10" s="5"/>
      <c r="C10" s="5"/>
    </row>
    <row r="11" customHeight="1" spans="1:3">
      <c r="B11" s="5"/>
      <c r="C11" s="5"/>
    </row>
    <row r="12" customHeight="1" spans="1:3">
      <c r="B12" s="5"/>
      <c r="C12" s="5"/>
    </row>
    <row r="13" customHeight="1" spans="1:3">
      <c r="B13" s="5"/>
      <c r="C13" s="5"/>
    </row>
    <row r="14" customHeight="1" spans="1:3">
      <c r="B14" s="5"/>
      <c r="C14" s="5"/>
    </row>
    <row r="15" customHeight="1" spans="1:3">
      <c r="B15" s="5"/>
      <c r="C15" s="5"/>
    </row>
    <row r="16" customHeight="1" spans="1:3">
      <c r="B16" s="6"/>
      <c r="C16" s="6"/>
    </row>
    <row r="17" customHeight="1" spans="2:3">
      <c r="B17" s="6"/>
      <c r="C17" s="6"/>
    </row>
    <row r="18" customHeight="1" spans="2:3">
      <c r="B18" s="6"/>
      <c r="C18" s="6"/>
    </row>
    <row r="19" customHeight="1" spans="2:3">
      <c r="B19" s="6"/>
      <c r="C19" s="6"/>
    </row>
    <row r="20" customHeight="1" spans="2:3">
      <c r="B20" s="6"/>
      <c r="C20" s="6"/>
    </row>
  </sheetData>
  <dataValidations count="1">
    <dataValidation type="list" allowBlank="1" showInputMessage="1" showErrorMessage="1" sqref="B5:C5">
      <formula1>动态工资明细!$C$4:$XFD$4</formula1>
    </dataValidation>
  </dataValidations>
  <pageMargins left="0.75" right="0.75" top="1" bottom="1" header="0.5" footer="0.5"/>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D11"/>
  <sheetViews>
    <sheetView showGridLines="0" workbookViewId="0">
      <pane ySplit="4" topLeftCell="A5" activePane="bottomLeft" state="frozen"/>
      <selection/>
      <selection pane="bottomLeft" activeCell="G9" sqref="G9"/>
    </sheetView>
  </sheetViews>
  <sheetFormatPr defaultColWidth="9" defaultRowHeight="20" customHeight="1" outlineLevelCol="3"/>
  <cols>
    <col min="1" max="1" width="4.625" style="46" customWidth="1"/>
    <col min="2" max="2" width="4.625" style="46" hidden="1" customWidth="1"/>
    <col min="3" max="3" width="12.625" style="47" customWidth="1"/>
    <col min="4" max="4" width="22.875" style="47" customWidth="1"/>
    <col min="5" max="16384" width="9" style="46"/>
  </cols>
  <sheetData>
    <row r="1" customFormat="1" ht="54.75" customHeight="1" spans="1:4">
      <c r="A1" s="46"/>
      <c r="C1" s="28"/>
      <c r="D1" s="48"/>
    </row>
    <row r="2" customFormat="1" ht="40" customHeight="1" spans="1:4">
      <c r="A2" s="46"/>
      <c r="C2" s="4" t="s">
        <v>297</v>
      </c>
      <c r="D2" s="48"/>
    </row>
    <row r="3" customFormat="1" ht="30" customHeight="1" spans="1:4">
      <c r="A3" s="46"/>
      <c r="C3" s="28"/>
      <c r="D3" s="48"/>
    </row>
    <row r="4" customFormat="1" ht="30" customHeight="1" spans="1:4">
      <c r="A4" s="46"/>
      <c r="B4" s="27"/>
      <c r="C4" s="49" t="s">
        <v>295</v>
      </c>
      <c r="D4" s="49" t="s">
        <v>298</v>
      </c>
    </row>
    <row r="5" customHeight="1" spans="1:4">
      <c r="B5" s="50">
        <v>38</v>
      </c>
      <c r="C5" s="47" t="s">
        <v>221</v>
      </c>
      <c r="D5" s="47" t="s">
        <v>299</v>
      </c>
    </row>
    <row r="6" customHeight="1" spans="1:4">
      <c r="B6" s="50"/>
    </row>
    <row r="7" customHeight="1" spans="1:4">
      <c r="B7" s="50"/>
      <c r="D7" s="51"/>
    </row>
    <row r="8" customHeight="1" spans="1:4">
      <c r="B8" s="50"/>
    </row>
    <row r="9" customHeight="1" spans="1:4">
      <c r="B9" s="50"/>
    </row>
    <row r="10" customHeight="1" spans="1:4">
      <c r="B10" s="50"/>
    </row>
    <row r="11" customHeight="1" spans="1:4">
      <c r="B11" s="50"/>
    </row>
  </sheetData>
  <pageMargins left="0.75" right="0.75" top="1" bottom="1" header="0.5" footer="0.5"/>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B1:L21"/>
  <sheetViews>
    <sheetView showGridLines="0" workbookViewId="0">
      <pane ySplit="4" topLeftCell="A5" activePane="bottomLeft" state="frozen"/>
      <selection/>
      <selection pane="bottomLeft" activeCell="E8" sqref="E8:F11"/>
    </sheetView>
  </sheetViews>
  <sheetFormatPr defaultColWidth="9" defaultRowHeight="20" customHeight="1"/>
  <cols>
    <col min="1" max="1" width="4.625" customWidth="1"/>
    <col min="2" max="3" width="21.375" customWidth="1"/>
    <col min="5" max="6" width="17.875" customWidth="1"/>
    <col min="7" max="7" width="12.75" customWidth="1"/>
    <col min="8" max="8" width="20.625" style="25" customWidth="1"/>
    <col min="9" max="12" width="12.75" style="13" customWidth="1"/>
  </cols>
  <sheetData>
    <row r="1" ht="54.75" customHeight="1" spans="2:12">
      <c r="B1" s="27"/>
      <c r="C1" s="28"/>
      <c r="H1"/>
      <c r="I1"/>
      <c r="J1"/>
      <c r="K1"/>
      <c r="L1"/>
    </row>
    <row r="2" ht="40" customHeight="1" spans="2:12">
      <c r="B2" s="4" t="s">
        <v>300</v>
      </c>
      <c r="C2" s="28"/>
      <c r="H2"/>
      <c r="I2"/>
      <c r="J2"/>
      <c r="K2"/>
      <c r="L2"/>
    </row>
    <row r="3" ht="30" customHeight="1" spans="2:12">
      <c r="B3" s="27"/>
      <c r="C3" s="28"/>
      <c r="E3" s="29"/>
      <c r="F3" s="29"/>
      <c r="G3" s="29"/>
      <c r="H3" s="15" t="s">
        <v>269</v>
      </c>
      <c r="I3" s="16"/>
      <c r="J3" s="16"/>
      <c r="K3" s="16"/>
      <c r="L3" s="16"/>
    </row>
    <row r="4" ht="30" customHeight="1" spans="2:12">
      <c r="B4" s="30" t="s">
        <v>301</v>
      </c>
      <c r="C4" s="31"/>
      <c r="E4" s="30" t="s">
        <v>270</v>
      </c>
      <c r="F4" s="31"/>
      <c r="G4" s="29"/>
      <c r="H4" s="17" t="s">
        <v>271</v>
      </c>
      <c r="I4" s="17" t="s">
        <v>36</v>
      </c>
      <c r="J4" s="17" t="s">
        <v>45</v>
      </c>
      <c r="K4" s="17" t="s">
        <v>272</v>
      </c>
      <c r="L4" s="17" t="s">
        <v>273</v>
      </c>
    </row>
    <row r="5" customHeight="1" spans="2:12">
      <c r="B5" s="32" t="s">
        <v>45</v>
      </c>
      <c r="C5" s="13" t="s">
        <v>186</v>
      </c>
      <c r="E5" s="33" t="s">
        <v>302</v>
      </c>
      <c r="F5" s="34" t="s">
        <v>303</v>
      </c>
      <c r="H5" s="25" t="s">
        <v>304</v>
      </c>
      <c r="I5" s="13" t="s">
        <v>305</v>
      </c>
      <c r="J5" s="13" t="s">
        <v>186</v>
      </c>
      <c r="K5" s="13" t="s">
        <v>143</v>
      </c>
    </row>
    <row r="6" customHeight="1" spans="2:12">
      <c r="B6" s="32" t="s">
        <v>36</v>
      </c>
      <c r="C6" s="13" t="s">
        <v>305</v>
      </c>
      <c r="E6" s="21" t="s">
        <v>306</v>
      </c>
      <c r="F6" s="35" t="s">
        <v>304</v>
      </c>
    </row>
    <row r="7" customHeight="1" spans="2:12">
      <c r="B7" s="36" t="s">
        <v>307</v>
      </c>
      <c r="C7" s="36"/>
      <c r="E7" s="33" t="s">
        <v>274</v>
      </c>
      <c r="F7" s="37"/>
    </row>
    <row r="8" customHeight="1" spans="2:12">
      <c r="B8" s="36"/>
      <c r="C8" s="36"/>
      <c r="E8" s="38">
        <v>12</v>
      </c>
      <c r="F8" s="38"/>
    </row>
    <row r="9" customHeight="1" spans="2:12">
      <c r="B9" s="39" t="s">
        <v>308</v>
      </c>
      <c r="C9" s="40" t="s">
        <v>309</v>
      </c>
      <c r="E9" s="38"/>
      <c r="F9" s="38"/>
    </row>
    <row r="10" customHeight="1" spans="2:12">
      <c r="B10" s="41"/>
      <c r="C10" s="42"/>
      <c r="E10" s="38"/>
      <c r="F10" s="38"/>
    </row>
    <row r="11" customHeight="1" spans="2:12">
      <c r="B11" s="43" t="s">
        <v>310</v>
      </c>
      <c r="C11" s="44"/>
      <c r="E11" s="38"/>
      <c r="F11" s="38"/>
    </row>
    <row r="12" customHeight="1" spans="2:12">
      <c r="B12" s="44"/>
      <c r="C12" s="44"/>
    </row>
    <row r="20" customHeight="1" spans="2:3">
      <c r="B20" s="45">
        <v>0.375</v>
      </c>
      <c r="C20" s="45">
        <v>0.75</v>
      </c>
    </row>
    <row r="21" customHeight="1" spans="2:3">
      <c r="B21" s="45">
        <v>0.5</v>
      </c>
      <c r="C21" s="45">
        <v>0.541666666666667</v>
      </c>
    </row>
  </sheetData>
  <mergeCells count="9">
    <mergeCell ref="H3:L3"/>
    <mergeCell ref="B4:C4"/>
    <mergeCell ref="E4:F4"/>
    <mergeCell ref="E7:F7"/>
    <mergeCell ref="B9:B10"/>
    <mergeCell ref="C9:C10"/>
    <mergeCell ref="B7:C8"/>
    <mergeCell ref="B11:C12"/>
    <mergeCell ref="E8:F11"/>
  </mergeCells>
  <dataValidations count="1">
    <dataValidation type="list" allowBlank="1" showInputMessage="1" showErrorMessage="1" sqref="C5">
      <formula1>配置表!$E$5:$E$1048576</formula1>
    </dataValidation>
  </dataValidations>
  <pageMargins left="0.75" right="0.75" top="1" bottom="1" header="0.5" footer="0.5"/>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B1:K12"/>
  <sheetViews>
    <sheetView showGridLines="0" workbookViewId="0">
      <pane ySplit="4" topLeftCell="A5" activePane="bottomLeft" state="frozen"/>
      <selection/>
      <selection pane="bottomLeft" activeCell="G8" sqref="G8"/>
    </sheetView>
  </sheetViews>
  <sheetFormatPr defaultColWidth="9" defaultRowHeight="20" customHeight="1"/>
  <cols>
    <col min="1" max="1" width="4.625" customWidth="1"/>
    <col min="2" max="2" width="8.5" style="11" hidden="1" customWidth="1"/>
    <col min="3" max="3" width="20.625" style="12" customWidth="1"/>
    <col min="4" max="6" width="12.75" style="12" customWidth="1"/>
    <col min="7" max="8" width="12.75" style="13" customWidth="1"/>
    <col min="10" max="11" width="17.125" customWidth="1"/>
  </cols>
  <sheetData>
    <row r="1" ht="54.75" customHeight="1" spans="2:11">
      <c r="B1"/>
      <c r="C1"/>
      <c r="D1"/>
      <c r="E1"/>
      <c r="F1"/>
      <c r="G1"/>
      <c r="H1"/>
    </row>
    <row r="2" ht="40" customHeight="1" spans="2:11">
      <c r="B2" t="s">
        <v>311</v>
      </c>
      <c r="C2"/>
      <c r="D2"/>
      <c r="E2"/>
      <c r="F2"/>
      <c r="G2"/>
      <c r="H2"/>
    </row>
    <row r="3" ht="30" customHeight="1" spans="2:11">
      <c r="B3" s="14"/>
      <c r="C3" s="15" t="s">
        <v>312</v>
      </c>
      <c r="D3" s="16"/>
      <c r="E3" s="16"/>
      <c r="F3" s="16"/>
      <c r="G3" s="16"/>
      <c r="H3" s="16"/>
    </row>
    <row r="4" ht="30" customHeight="1" spans="2:11">
      <c r="B4" s="14"/>
      <c r="C4" s="17" t="s">
        <v>313</v>
      </c>
      <c r="D4" s="17" t="s">
        <v>314</v>
      </c>
      <c r="E4" s="17" t="s">
        <v>315</v>
      </c>
      <c r="F4" s="17" t="s">
        <v>316</v>
      </c>
      <c r="G4" s="17" t="s">
        <v>317</v>
      </c>
      <c r="H4" s="17" t="s">
        <v>45</v>
      </c>
      <c r="J4" s="18" t="s">
        <v>318</v>
      </c>
      <c r="K4" s="19"/>
    </row>
    <row r="5" customHeight="1" spans="2:11">
      <c r="B5" s="20">
        <v>45</v>
      </c>
      <c r="C5" s="12">
        <v>0.333333333333333</v>
      </c>
      <c r="D5" s="12">
        <v>0.708333333333333</v>
      </c>
      <c r="E5" s="12">
        <v>0.5</v>
      </c>
      <c r="F5" s="12">
        <v>0.541666666666667</v>
      </c>
      <c r="G5" s="13" t="s">
        <v>319</v>
      </c>
      <c r="H5" s="13" t="s">
        <v>73</v>
      </c>
      <c r="J5" s="21" t="s">
        <v>45</v>
      </c>
      <c r="K5" s="22" t="s">
        <v>186</v>
      </c>
    </row>
    <row r="6" customHeight="1" spans="2:11">
      <c r="G6" s="23"/>
      <c r="J6" s="21" t="s">
        <v>320</v>
      </c>
      <c r="K6" s="24" t="s">
        <v>321</v>
      </c>
    </row>
    <row r="7" customHeight="1" spans="2:11">
      <c r="J7" s="21" t="s">
        <v>322</v>
      </c>
      <c r="K7" s="24" t="s">
        <v>323</v>
      </c>
    </row>
    <row r="8" customHeight="1" spans="2:11">
      <c r="G8" s="23"/>
      <c r="J8" s="21" t="s">
        <v>313</v>
      </c>
      <c r="K8" s="25" t="s">
        <v>324</v>
      </c>
    </row>
    <row r="9" customHeight="1" spans="2:11">
      <c r="J9" s="21" t="s">
        <v>314</v>
      </c>
      <c r="K9" s="26">
        <v>0.75</v>
      </c>
    </row>
    <row r="10" customHeight="1" spans="2:11">
      <c r="J10" s="21" t="s">
        <v>315</v>
      </c>
      <c r="K10" s="26">
        <v>0.5</v>
      </c>
    </row>
    <row r="11" customHeight="1" spans="2:11">
      <c r="J11" s="21" t="s">
        <v>316</v>
      </c>
      <c r="K11" s="26">
        <v>0.541666666666667</v>
      </c>
    </row>
    <row r="12" customHeight="1" spans="2:11">
      <c r="J12" s="21" t="s">
        <v>325</v>
      </c>
      <c r="K12" s="22"/>
    </row>
  </sheetData>
  <mergeCells count="2">
    <mergeCell ref="C3:H3"/>
    <mergeCell ref="J4:K4"/>
  </mergeCells>
  <dataValidations count="2">
    <dataValidation type="list" allowBlank="1" showInputMessage="1" showErrorMessage="1" sqref="K5 H5:H1048576">
      <formula1>配置表!$E$5:$E$1048576</formula1>
    </dataValidation>
    <dataValidation type="list" allowBlank="1" showInputMessage="1" showErrorMessage="1" sqref="K12">
      <formula1>数据暂存!$EU$1:$EU$3</formula1>
    </dataValidation>
  </dataValidations>
  <pageMargins left="0.75" right="0.75" top="1" bottom="1" header="0.5" footer="0.5"/>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B1:D7"/>
  <sheetViews>
    <sheetView showGridLines="0" workbookViewId="0">
      <pane ySplit="4" topLeftCell="A5" activePane="bottomLeft" state="frozen"/>
      <selection/>
      <selection pane="bottomLeft" activeCell="E12" sqref="E12"/>
    </sheetView>
  </sheetViews>
  <sheetFormatPr defaultColWidth="9" defaultRowHeight="20" customHeight="1" outlineLevelRow="6" outlineLevelCol="3"/>
  <cols>
    <col min="1" max="1" width="4.625" customWidth="1"/>
    <col min="2" max="2" width="88.625" style="1" customWidth="1"/>
    <col min="3" max="3" width="12" style="2" customWidth="1"/>
  </cols>
  <sheetData>
    <row r="1" ht="54.75" customHeight="1" spans="2:4">
      <c r="B1" s="3"/>
    </row>
    <row r="2" ht="40" customHeight="1" spans="2:4">
      <c r="B2" s="4" t="s">
        <v>326</v>
      </c>
      <c r="C2" s="5">
        <v>49</v>
      </c>
      <c r="D2" s="6" t="s">
        <v>194</v>
      </c>
    </row>
    <row r="3" ht="30" customHeight="1" spans="2:4">
      <c r="B3" s="3"/>
    </row>
    <row r="4" ht="30" customHeight="1" spans="2:4">
      <c r="B4" s="7" t="s">
        <v>327</v>
      </c>
      <c r="C4" s="8" t="s">
        <v>328</v>
      </c>
    </row>
    <row r="5" customHeight="1" spans="2:4">
      <c r="B5" s="9" t="s">
        <v>329</v>
      </c>
      <c r="C5" s="2" t="s">
        <v>330</v>
      </c>
    </row>
    <row r="6" customHeight="1" spans="2:4">
      <c r="B6" s="10"/>
    </row>
    <row r="7" customHeight="1" spans="2:4">
      <c r="B7" s="10"/>
    </row>
  </sheetData>
  <conditionalFormatting sqref="B5:C1048576">
    <cfRule type="expression" dxfId="0" priority="1">
      <formula>MOD(ROW(),2)=0</formula>
    </cfRule>
  </conditionalFormatting>
  <pageMargins left="0.75" right="0.75" top="1" bottom="1" header="0.5" footer="0.5"/>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7" master="" otherUserPermission="visible"/>
  <rangeList sheetStid="4" master="" otherUserPermission="visible"/>
  <rangeList sheetStid="5" master="" otherUserPermission="visible"/>
  <rangeList sheetStid="10" master="" otherUserPermission="visible"/>
  <rangeList sheetStid="8" master="" otherUserPermission="visible"/>
  <rangeList sheetStid="6" master="" otherUserPermission="visible"/>
  <rangeList sheetStid="11" master="" otherUserPermission="visible"/>
  <rangeList sheetStid="12" master="" otherUserPermission="visible"/>
  <rangeList sheetStid="9" master="" otherUserPermission="visible"/>
  <rangeList sheetStid="13" master="" otherUserPermission="visible"/>
  <rangeList sheetStid="14" master="" otherUserPermission="visible"/>
  <rangeList sheetStid="15" master="" otherUserPermission="visible"/>
  <rangeList sheetStid="16" master="" otherUserPermission="visible"/>
  <rangeList sheetStid="17" master="" otherUserPermission="visible"/>
  <rangeList sheetStid="18" master="" otherUserPermission="visible"/>
  <rangeList sheetStid="19" master="" otherUserPermission="visible"/>
  <rangeList sheetStid="22" master="" otherUserPermission="visible"/>
  <rangeList sheetStid="23" master="" otherUserPermission="visible"/>
  <rangeList sheetStid="25" master="" otherUserPermission="visible"/>
  <rangeList sheetStid="24" master="" otherUserPermission="visible"/>
  <rangeList sheetStid="26" master="" otherUserPermission="visible"/>
  <rangeList sheetStid="29" master="" otherUserPermission="visible"/>
  <rangeList sheetStid="31" master="" otherUserPermission="visible"/>
  <rangeList sheetStid="30" master="" otherUserPermission="visible"/>
  <rangeList sheetStid="27" master="" otherUserPermission="visible"/>
  <rangeList sheetStid="28" master="" otherUserPermission="visible"/>
  <rangeList sheetStid="21"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30</vt:i4>
      </vt:variant>
    </vt:vector>
  </HeadingPairs>
  <TitlesOfParts>
    <vt:vector size="30" baseType="lpstr">
      <vt:lpstr>首页</vt:lpstr>
      <vt:lpstr>说明书</vt:lpstr>
      <vt:lpstr>Sheet3</vt:lpstr>
      <vt:lpstr>考勤</vt:lpstr>
      <vt:lpstr>人员信息管理</vt:lpstr>
      <vt:lpstr>数据暂存</vt:lpstr>
      <vt:lpstr>工资明细</vt:lpstr>
      <vt:lpstr>考勤记录</vt:lpstr>
      <vt:lpstr>配置表</vt:lpstr>
      <vt:lpstr>报盘</vt:lpstr>
      <vt:lpstr>审批记录</vt:lpstr>
      <vt:lpstr>报税</vt:lpstr>
      <vt:lpstr>部门汇总</vt:lpstr>
      <vt:lpstr>社保</vt:lpstr>
      <vt:lpstr>员工档案</vt:lpstr>
      <vt:lpstr>个人所得税</vt:lpstr>
      <vt:lpstr>工资条</vt:lpstr>
      <vt:lpstr>生日提醒</vt:lpstr>
      <vt:lpstr>简历管理</vt:lpstr>
      <vt:lpstr>简历审批</vt:lpstr>
      <vt:lpstr>面试管理</vt:lpstr>
      <vt:lpstr>离职申请</vt:lpstr>
      <vt:lpstr>离职审批</vt:lpstr>
      <vt:lpstr>请假审批</vt:lpstr>
      <vt:lpstr>动态工资明细</vt:lpstr>
      <vt:lpstr>统计图</vt:lpstr>
      <vt:lpstr>动态公式</vt:lpstr>
      <vt:lpstr>签到</vt:lpstr>
      <vt:lpstr>工作时间配置</vt:lpstr>
      <vt:lpstr>文件详情</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2026-03-18T03:09:52Z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2052-12.1.0.25225</vt:lpwstr>
  </property>
  <property fmtid="{D5CDD505-2E9C-101B-9397-08002B2CF9AE}" pid="3" name="ICV">
    <vt:lpwstr>D586D31C2308468FA5F8BA2204D0454C</vt:lpwstr>
  </property>
  <property fmtid="{D5CDD505-2E9C-101B-9397-08002B2CF9AE}" pid="4" name="commondata">
    <vt:lpwstr>eyJoZGlkIjoiMTU1YjNjYWNhMmUzYzJkNmRkNGFmNGY3MTU2ZTE1ZDcifQ==</vt:lpwstr>
  </property>
  <property fmtid="{D5CDD505-2E9C-101B-9397-08002B2CF9AE}" pid="5" name="CalculationRule">
    <vt:i4>0</vt:i4>
  </property>
</Properties>
</file>