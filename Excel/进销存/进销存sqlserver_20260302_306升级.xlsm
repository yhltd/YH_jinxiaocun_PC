
<file path=[Content_Types].xml><?xml version="1.0" encoding="utf-8"?>
<Types xmlns="http://schemas.openxmlformats.org/package/2006/content-types">
  <Default Extension="xml" ContentType="application/xml"/>
  <Default Extension="vml" ContentType="application/vnd.openxmlformats-officedocument.vmlDrawing"/>
  <Default Extension="wmf" ContentType="image/x-wmf"/>
  <Default Extension="png" ContentType="image/png"/>
  <Default Extension="rels" ContentType="application/vnd.openxmlformats-package.relationships+xml"/>
  <Override PartName="/customXml/itemProps1.xml" ContentType="application/vnd.openxmlformats-officedocument.customXmlProperties+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activeX/activeX1.bin" ContentType="application/vnd.ms-office.activeX"/>
  <Override PartName="/xl/activeX/activeX1.xml" ContentType="application/vnd.ms-office.activeX+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olors1.xml" ContentType="application/vnd.ms-office.chartcolorstyle+xml"/>
  <Override PartName="/xl/charts/colors2.xml" ContentType="application/vnd.ms-office.chartcolorstyle+xml"/>
  <Override PartName="/xl/charts/colors3.xml" ContentType="application/vnd.ms-office.chartcolorstyle+xml"/>
  <Override PartName="/xl/charts/colors4.xml" ContentType="application/vnd.ms-office.chartcolorstyle+xml"/>
  <Override PartName="/xl/charts/colors5.xml" ContentType="application/vnd.ms-office.chartcolorstyle+xml"/>
  <Override PartName="/xl/charts/colors6.xml" ContentType="application/vnd.ms-office.chartcolorstyle+xml"/>
  <Override PartName="/xl/charts/style1.xml" ContentType="application/vnd.ms-office.chartstyle+xml"/>
  <Override PartName="/xl/charts/style2.xml" ContentType="application/vnd.ms-office.chartstyle+xml"/>
  <Override PartName="/xl/charts/style3.xml" ContentType="application/vnd.ms-office.chartstyle+xml"/>
  <Override PartName="/xl/charts/style4.xml" ContentType="application/vnd.ms-office.chartstyle+xml"/>
  <Override PartName="/xl/charts/style5.xml" ContentType="application/vnd.ms-office.chartstyle+xml"/>
  <Override PartName="/xl/charts/style6.xml" ContentType="application/vnd.ms-office.chartstyle+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drawings/drawing1.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xml" ContentType="application/vnd.openxmlformats-officedocument.drawing+xml"/>
  <Override PartName="/xl/drawings/drawing30.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externalLinks/externalLink1.xml" ContentType="application/vnd.openxmlformats-officedocument.spreadsheetml.externalLink+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dbsheet="http://web.wps.cn/et/2021/dbsheet">
  <fileVersion appName="xl" lastEdited="3" lowestEdited="5" rupBuild="9302"/>
  <workbookPr codeName="ThisWorkbook"/>
  <bookViews>
    <workbookView windowWidth="19635" windowHeight="7245" tabRatio="882"/>
  </bookViews>
  <sheets>
    <sheet name="首页" sheetId="1" r:id="rId1"/>
    <sheet name="说明书" sheetId="2" r:id="rId2"/>
    <sheet name="加密" sheetId="3" state="veryHidden" r:id="rId3"/>
    <sheet name="入库" sheetId="4" state="veryHidden" r:id="rId4"/>
    <sheet name="入库单" sheetId="16" state="veryHidden" r:id="rId5"/>
    <sheet name="出库" sheetId="14" state="veryHidden" r:id="rId6"/>
    <sheet name="出库单" sheetId="17" state="veryHidden" r:id="rId7"/>
    <sheet name="库存调拨" sheetId="19" state="veryHidden" r:id="rId8"/>
    <sheet name="库存盘点" sheetId="20" state="veryHidden" r:id="rId9"/>
    <sheet name="销售退货" sheetId="22" state="veryHidden" r:id="rId10"/>
    <sheet name="采购退货" sheetId="23" state="veryHidden" r:id="rId11"/>
    <sheet name="采购单" sheetId="25" state="veryHidden" r:id="rId12"/>
    <sheet name="采购未入库明细" sheetId="26" state="veryHidden" r:id="rId13"/>
    <sheet name="单据" sheetId="24" state="veryHidden" r:id="rId14"/>
    <sheet name="期初数" sheetId="5" state="veryHidden" r:id="rId15"/>
    <sheet name="期末数" sheetId="27" state="veryHidden" r:id="rId16"/>
    <sheet name="销售退货统计" sheetId="29" state="veryHidden" r:id="rId17"/>
    <sheet name="采购退货统计" sheetId="30" state="veryHidden" r:id="rId18"/>
    <sheet name="进出明细统计" sheetId="31" state="veryHidden" r:id="rId19"/>
    <sheet name="库存积压统计" sheetId="28" state="veryHidden" r:id="rId20"/>
    <sheet name="明细" sheetId="6" state="veryHidden" r:id="rId21"/>
    <sheet name="进销存" sheetId="7" state="veryHidden" r:id="rId22"/>
    <sheet name="客户|供应商查询" sheetId="8" state="veryHidden" r:id="rId23"/>
    <sheet name="商品进出查询" sheetId="15" state="veryHidden" r:id="rId24"/>
    <sheet name="基础资料" sheetId="9" state="veryHidden" r:id="rId25"/>
    <sheet name="客户资料" sheetId="10" state="veryHidden" r:id="rId26"/>
    <sheet name="供应商资料" sheetId="11" state="veryHidden" r:id="rId27"/>
    <sheet name="仓库资料" sheetId="21" state="veryHidden" r:id="rId28"/>
    <sheet name="笔记" sheetId="12" state="veryHidden" r:id="rId29"/>
    <sheet name="用户管理" sheetId="13" state="veryHidden" r:id="rId30"/>
    <sheet name="二维码打印" sheetId="18" state="veryHidden" r:id="rId31"/>
  </sheets>
  <externalReferences>
    <externalReference r:id="rId33"/>
  </externalReferences>
  <definedNames>
    <definedName name="_xlnm._FilterDatabase" localSheetId="12" hidden="1">采购未入库明细!$D$4:$K$188</definedName>
    <definedName name="_xlnm._FilterDatabase" localSheetId="20" hidden="1">明细!$D$4:$K$70</definedName>
    <definedName name="_xlnm.Print_Area" localSheetId="6">出库单!$C$4:$H$19</definedName>
    <definedName name="_xlnm.Print_Area" localSheetId="4">入库单!$C$4:$H$19</definedName>
    <definedName name="_xlnm.Print_Area" localSheetId="13">单据!$C$4:$H$20</definedName>
    <definedName name="_xlnm.Print_Area" localSheetId="30">二维码打印!$D$3</definedName>
    <definedName name="_xlnm.Print_Area" localSheetId="22">'客户|供应商查询'!$D$4:$I$9</definedName>
    <definedName name="_xlnm.Print_Area" localSheetId="23">商品进出查询!$D$4:$J$6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authors>
    <author>Administrator</author>
  </authors>
  <commentList>
    <comment ref="F4" authorId="0">
      <text>
        <r>
          <rPr>
            <sz val="9"/>
            <rFont val="宋体"/>
            <charset val="134"/>
          </rPr>
          <t>双击红角标位置查看信息</t>
        </r>
      </text>
    </comment>
  </commentList>
</comments>
</file>

<file path=xl/comments2.xml><?xml version="1.0" encoding="utf-8"?>
<comments xmlns="http://schemas.openxmlformats.org/spreadsheetml/2006/main">
  <authors>
    <author>Administrator</author>
  </authors>
  <commentList>
    <comment ref="F4" authorId="0">
      <text>
        <r>
          <rPr>
            <sz val="9"/>
            <rFont val="宋体"/>
            <charset val="134"/>
          </rPr>
          <t xml:space="preserve">双击红角标位置查看信息
</t>
        </r>
      </text>
    </comment>
  </commentList>
</comments>
</file>

<file path=xl/comments3.xml><?xml version="1.0" encoding="utf-8"?>
<comments xmlns="http://schemas.openxmlformats.org/spreadsheetml/2006/main">
  <authors>
    <author>Administrator</author>
  </authors>
  <commentList>
    <comment ref="B4" authorId="0">
      <text>
        <r>
          <rPr>
            <sz val="9"/>
            <rFont val="宋体"/>
            <charset val="134"/>
          </rPr>
          <t>双击此列勾选信息用于生成二维码</t>
        </r>
      </text>
    </comment>
    <comment ref="L4" authorId="0">
      <text>
        <r>
          <rPr>
            <sz val="12"/>
            <rFont val="宋体"/>
            <charset val="134"/>
          </rPr>
          <t>双击此列可弹出日期时间选择窗口快速录入</t>
        </r>
      </text>
    </comment>
  </commentList>
</comments>
</file>

<file path=xl/comments4.xml><?xml version="1.0" encoding="utf-8"?>
<comments xmlns="http://schemas.openxmlformats.org/spreadsheetml/2006/main">
  <authors>
    <author>Administrator</author>
  </authors>
  <commentList>
    <comment ref="B4" authorId="0">
      <text>
        <r>
          <rPr>
            <sz val="9"/>
            <rFont val="宋体"/>
            <charset val="134"/>
          </rPr>
          <t>双击此列勾选信息用于生成二维码</t>
        </r>
      </text>
    </comment>
    <comment ref="L4" authorId="0">
      <text>
        <r>
          <rPr>
            <sz val="12"/>
            <rFont val="宋体"/>
            <charset val="134"/>
          </rPr>
          <t>双击此列可弹出日期时间选择窗口快速录入</t>
        </r>
      </text>
    </comment>
  </commentList>
</comments>
</file>

<file path=xl/comments5.xml><?xml version="1.0" encoding="utf-8"?>
<comments xmlns="http://schemas.openxmlformats.org/spreadsheetml/2006/main">
  <authors>
    <author>Administrator</author>
  </authors>
  <commentList>
    <comment ref="G4" authorId="0">
      <text>
        <r>
          <rPr>
            <sz val="9"/>
            <rFont val="宋体"/>
            <charset val="134"/>
          </rPr>
          <t xml:space="preserve">双击红角标位置查看信息
</t>
        </r>
      </text>
    </comment>
    <comment ref="P4" authorId="0">
      <text>
        <r>
          <rPr>
            <sz val="12"/>
            <rFont val="宋体"/>
            <charset val="134"/>
          </rPr>
          <t>结存数量小于此列数值时标红提醒</t>
        </r>
      </text>
    </comment>
  </commentList>
</comments>
</file>

<file path=xl/comments6.xml><?xml version="1.0" encoding="utf-8"?>
<comments xmlns="http://schemas.openxmlformats.org/spreadsheetml/2006/main">
  <authors>
    <author>Administrator</author>
  </authors>
  <commentList>
    <comment ref="B4" authorId="0">
      <text>
        <r>
          <rPr>
            <sz val="9"/>
            <rFont val="宋体"/>
            <charset val="134"/>
          </rPr>
          <t>双击此列勾选信息用于生成二维码</t>
        </r>
      </text>
    </comment>
  </commentList>
</comments>
</file>

<file path=xl/sharedStrings.xml><?xml version="1.0" encoding="utf-8"?>
<sst xmlns="http://schemas.openxmlformats.org/spreadsheetml/2006/main" count="482" uniqueCount="121">
  <si>
    <r>
      <rPr>
        <b/>
        <sz val="24"/>
        <color theme="4" tint="0.79970702230903"/>
        <rFont val="微软雅黑"/>
        <charset val="134"/>
      </rPr>
      <t>使用说明书</t>
    </r>
    <r>
      <rPr>
        <b/>
        <sz val="20"/>
        <color theme="4" tint="0.79970702230903"/>
        <rFont val="微软雅黑"/>
        <charset val="134"/>
      </rPr>
      <t xml:space="preserve">
</t>
    </r>
    <r>
      <rPr>
        <b/>
        <sz val="10"/>
        <color theme="4" tint="0.79970702230903"/>
        <rFont val="微软雅黑"/>
        <charset val="134"/>
      </rPr>
      <t>operating instruction</t>
    </r>
  </si>
  <si>
    <t>出入库</t>
  </si>
  <si>
    <t>当前页:</t>
  </si>
  <si>
    <t>1.</t>
  </si>
  <si>
    <t>点击刷新按钮可以获取到基础资料里面的信息，选择商品代码列下拉框中的商品代码会自动带出其他信息</t>
  </si>
  <si>
    <t>2.</t>
  </si>
  <si>
    <t>在表格中填好数量和单价后，点击入库、出库按钮添加单号和供应商(客户)后点击确定可以进行出库，保存到明细表</t>
  </si>
  <si>
    <t>点击刷新按钮可以看到之前保存过的所有期初数据</t>
  </si>
  <si>
    <t>在表格中直接修改或添加一行数据后点击保存按钮可以保存到云端数据库中</t>
  </si>
  <si>
    <t>3.</t>
  </si>
  <si>
    <t>选中想要删除的行后点击删除按钮可以进行批量删除</t>
  </si>
  <si>
    <t>明细表中保存着所有的出入库数据，点击刷新后可以看到所有数据</t>
  </si>
  <si>
    <t>点击查询按钮可以根据时间范围进行查询</t>
  </si>
  <si>
    <t>进销存页面可以看到所有的出入库、期初以及库存信息</t>
  </si>
  <si>
    <t>点击刷新按钮可以看到全部数据</t>
  </si>
  <si>
    <t>进出查询页面点击商品查询按钮或客户查询按钮可以根据客户或商品进行查询</t>
  </si>
  <si>
    <t>基础资料、客户资料和供应商资料为配置表，和前面表一样具有增删改查功能，数据保存后可以在前面表中</t>
  </si>
  <si>
    <t>下拉选择或将数据带出来</t>
  </si>
  <si>
    <t>整理表为独立的一个表，可以在表上进行增删改查操作，跟其他表无关联</t>
  </si>
  <si>
    <t>用户管理表可添加账号信息，点击新增按钮可以弹出录入窗体，输入信息后点击保存</t>
  </si>
  <si>
    <t>双击用户管理后面的列可以进行修改和删除操作</t>
  </si>
  <si>
    <t>4.</t>
  </si>
  <si>
    <t>上方的文本框是根据用户名查询，可模糊查询</t>
  </si>
  <si>
    <t>北京登宏科技有限公司</t>
  </si>
  <si>
    <t>选中此处扫描商品二维码</t>
  </si>
  <si>
    <t>序号</t>
  </si>
  <si>
    <t>商品名称</t>
  </si>
  <si>
    <t>商品代码</t>
  </si>
  <si>
    <t>商品类别</t>
  </si>
  <si>
    <t>商品单位</t>
  </si>
  <si>
    <t>数量</t>
  </si>
  <si>
    <t>金额</t>
  </si>
  <si>
    <t>库存数量</t>
  </si>
  <si>
    <t>入库单</t>
  </si>
  <si>
    <t>订单号：</t>
  </si>
  <si>
    <t>DD20231006001</t>
  </si>
  <si>
    <t>供应商：</t>
  </si>
  <si>
    <t>张三</t>
  </si>
  <si>
    <t>入库时间：</t>
  </si>
  <si>
    <t>单价</t>
  </si>
  <si>
    <t>笔记本</t>
  </si>
  <si>
    <t>CS001</t>
  </si>
  <si>
    <t>办公</t>
  </si>
  <si>
    <t>中性笔</t>
  </si>
  <si>
    <t>CS002</t>
  </si>
  <si>
    <t>合计金额(大写):</t>
  </si>
  <si>
    <t>合计金额(小写):</t>
  </si>
  <si>
    <t>选中此处扫描订单二维码</t>
  </si>
  <si>
    <t>出库单</t>
  </si>
  <si>
    <t>客户：</t>
  </si>
  <si>
    <t>大众</t>
  </si>
  <si>
    <t>出库时间：</t>
  </si>
  <si>
    <t>A仓库</t>
  </si>
  <si>
    <t>本</t>
  </si>
  <si>
    <t>支</t>
  </si>
  <si>
    <t>墨汁</t>
  </si>
  <si>
    <t>CS003</t>
  </si>
  <si>
    <t>耗材</t>
  </si>
  <si>
    <t>吨</t>
  </si>
  <si>
    <t>水杯</t>
  </si>
  <si>
    <t>元</t>
  </si>
  <si>
    <t>实际数量</t>
  </si>
  <si>
    <t>双击
勾选</t>
  </si>
  <si>
    <t>id</t>
  </si>
  <si>
    <t>订单号</t>
  </si>
  <si>
    <t>价格</t>
  </si>
  <si>
    <t>类型</t>
  </si>
  <si>
    <t>时间</t>
  </si>
  <si>
    <t>公司名</t>
  </si>
  <si>
    <t>进货方</t>
  </si>
  <si>
    <t>采购</t>
  </si>
  <si>
    <t>李四</t>
  </si>
  <si>
    <t>采购退货</t>
  </si>
  <si>
    <t>订单号:</t>
  </si>
  <si>
    <t>入库时间:</t>
  </si>
  <si>
    <t>供应商:</t>
  </si>
  <si>
    <t>仓库:</t>
  </si>
  <si>
    <t>C仓库</t>
  </si>
  <si>
    <t>合计金额：340</t>
  </si>
  <si>
    <t>商品售价</t>
  </si>
  <si>
    <t>商品数量</t>
  </si>
  <si>
    <t>开始合计金额：859</t>
  </si>
  <si>
    <t>结束合计金额：857</t>
  </si>
  <si>
    <t>期初数量</t>
  </si>
  <si>
    <t>期初金额</t>
  </si>
  <si>
    <t>期末数量</t>
  </si>
  <si>
    <t>期末金额</t>
  </si>
  <si>
    <t>总退货数量</t>
  </si>
  <si>
    <t>总退货金额</t>
  </si>
  <si>
    <t>平均退货数量</t>
  </si>
  <si>
    <t>涉及商品数</t>
  </si>
  <si>
    <t>类别</t>
  </si>
  <si>
    <t>名称</t>
  </si>
  <si>
    <t>售价</t>
  </si>
  <si>
    <t>仓库</t>
  </si>
  <si>
    <t>库存金额</t>
  </si>
  <si>
    <t>明细类型</t>
  </si>
  <si>
    <t>收/进货方</t>
  </si>
  <si>
    <t>期初</t>
  </si>
  <si>
    <t>入库</t>
  </si>
  <si>
    <t>出库</t>
  </si>
  <si>
    <t>结存</t>
  </si>
  <si>
    <t>边缘存量</t>
  </si>
  <si>
    <t>客户名称</t>
  </si>
  <si>
    <t>入库/出库数量</t>
  </si>
  <si>
    <t>入库/出库金额</t>
  </si>
  <si>
    <t>商品图片</t>
  </si>
  <si>
    <t>供应名称</t>
  </si>
  <si>
    <t>客户</t>
  </si>
  <si>
    <t>联系地址</t>
  </si>
  <si>
    <t>联系方式</t>
  </si>
  <si>
    <t>供应商</t>
  </si>
  <si>
    <t>备注</t>
  </si>
  <si>
    <t>用户名</t>
  </si>
  <si>
    <t>密码</t>
  </si>
  <si>
    <t>公司</t>
  </si>
  <si>
    <t>权限</t>
  </si>
  <si>
    <t>账号状态</t>
  </si>
  <si>
    <t>双击修改</t>
  </si>
  <si>
    <t>双击删除</t>
  </si>
  <si>
    <t xml:space="preserve"> 订单号：1
 时间：2026/2/28 18:47:14</t>
  </si>
</sst>
</file>

<file path=xl/styles.xml><?xml version="1.0" encoding="utf-8"?>
<styleSheet xmlns="http://schemas.openxmlformats.org/spreadsheetml/2006/main" xmlns:mc="http://schemas.openxmlformats.org/markup-compatibility/2006" xmlns:xr9="http://schemas.microsoft.com/office/spreadsheetml/2016/revision9" mc:Ignorable="xr9">
  <numFmts count="9">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yyyy/m/d;@"/>
    <numFmt numFmtId="177" formatCode="yyyy/m/d\ hh:mm:ss"/>
    <numFmt numFmtId="178" formatCode="0.00_);[Red]\(0.00\)"/>
    <numFmt numFmtId="179" formatCode="[DBNum2][$RMB]General;[Red][DBNum2][$RMB]General"/>
    <numFmt numFmtId="180" formatCode="00"/>
  </numFmts>
  <fonts count="54">
    <font>
      <sz val="12"/>
      <name val="宋体"/>
      <charset val="134"/>
    </font>
    <font>
      <sz val="12"/>
      <name val="等线"/>
      <charset val="134"/>
    </font>
    <font>
      <sz val="10"/>
      <name val="等线"/>
      <charset val="134"/>
    </font>
    <font>
      <b/>
      <sz val="14"/>
      <color theme="0"/>
      <name val="等线"/>
      <charset val="134"/>
    </font>
    <font>
      <sz val="12"/>
      <color theme="1" tint="0.349986266670736"/>
      <name val="等线"/>
      <charset val="134"/>
    </font>
    <font>
      <b/>
      <sz val="14"/>
      <name val="等线"/>
      <charset val="134"/>
    </font>
    <font>
      <sz val="14"/>
      <name val="微软雅黑"/>
      <charset val="134"/>
    </font>
    <font>
      <b/>
      <sz val="12"/>
      <name val="等线"/>
      <charset val="134"/>
    </font>
    <font>
      <b/>
      <sz val="14"/>
      <color theme="0"/>
      <name val="微软雅黑"/>
      <charset val="134"/>
    </font>
    <font>
      <b/>
      <sz val="12"/>
      <name val="微软雅黑"/>
      <charset val="134"/>
    </font>
    <font>
      <sz val="12"/>
      <color theme="4" tint="0.6"/>
      <name val="等线"/>
      <charset val="134"/>
    </font>
    <font>
      <sz val="20"/>
      <name val="微软雅黑"/>
      <charset val="134"/>
    </font>
    <font>
      <sz val="16"/>
      <name val="微软雅黑"/>
      <charset val="134"/>
    </font>
    <font>
      <sz val="11"/>
      <name val="等线"/>
      <charset val="134"/>
    </font>
    <font>
      <b/>
      <sz val="10"/>
      <name val="等线"/>
      <charset val="134"/>
    </font>
    <font>
      <b/>
      <sz val="16"/>
      <name val="等线"/>
      <charset val="134"/>
    </font>
    <font>
      <sz val="12"/>
      <color theme="0"/>
      <name val="微软雅黑"/>
      <charset val="134"/>
    </font>
    <font>
      <sz val="11"/>
      <color theme="1"/>
      <name val="宋体"/>
      <charset val="134"/>
      <scheme val="minor"/>
    </font>
    <font>
      <sz val="11"/>
      <color theme="1" tint="0.349986266670736"/>
      <name val="微软雅黑"/>
      <charset val="134"/>
    </font>
    <font>
      <b/>
      <i/>
      <sz val="14"/>
      <color theme="4"/>
      <name val="微软雅黑"/>
      <charset val="134"/>
    </font>
    <font>
      <sz val="12"/>
      <color theme="1" tint="0.349986266670736"/>
      <name val="微软雅黑"/>
      <charset val="134"/>
    </font>
    <font>
      <sz val="10"/>
      <name val="微软雅黑"/>
      <charset val="134"/>
    </font>
    <font>
      <b/>
      <i/>
      <sz val="12"/>
      <color theme="4"/>
      <name val="微软雅黑"/>
      <charset val="134"/>
    </font>
    <font>
      <b/>
      <i/>
      <sz val="11"/>
      <color theme="4"/>
      <name val="微软雅黑"/>
      <charset val="134"/>
    </font>
    <font>
      <b/>
      <sz val="24"/>
      <color theme="4" tint="0.79970702230903"/>
      <name val="微软雅黑"/>
      <charset val="134"/>
    </font>
    <font>
      <b/>
      <sz val="20"/>
      <color theme="4" tint="0.79970702230903"/>
      <name val="微软雅黑"/>
      <charset val="134"/>
    </font>
    <font>
      <b/>
      <i/>
      <sz val="48"/>
      <color theme="8" tint="0.599993896298105"/>
      <name val="微软雅黑"/>
      <charset val="134"/>
    </font>
    <font>
      <b/>
      <sz val="24"/>
      <color theme="0"/>
      <name val="微软雅黑"/>
      <charset val="134"/>
    </font>
    <font>
      <b/>
      <sz val="12"/>
      <color theme="0"/>
      <name val="微软雅黑"/>
      <charset val="134"/>
    </font>
    <font>
      <sz val="12"/>
      <name val="微软雅黑"/>
      <charset val="134"/>
    </font>
    <font>
      <b/>
      <sz val="20"/>
      <name val="微软雅黑"/>
      <charset val="134"/>
    </font>
    <font>
      <b/>
      <sz val="22"/>
      <name val="微软雅黑"/>
      <charset val="134"/>
    </font>
    <font>
      <u/>
      <sz val="11"/>
      <color rgb="FF0000FF"/>
      <name val="宋体"/>
      <charset val="0"/>
      <scheme val="minor"/>
    </font>
    <font>
      <u/>
      <sz val="11"/>
      <color rgb="FF800080"/>
      <name val="宋体"/>
      <charset val="0"/>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b/>
      <sz val="11"/>
      <color theme="3"/>
      <name val="宋体"/>
      <charset val="134"/>
      <scheme val="minor"/>
    </font>
    <font>
      <sz val="11"/>
      <color rgb="FF3F3F76"/>
      <name val="宋体"/>
      <charset val="0"/>
      <scheme val="minor"/>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0006"/>
      <name val="宋体"/>
      <charset val="0"/>
      <scheme val="minor"/>
    </font>
    <font>
      <sz val="11"/>
      <color rgb="FF9C6500"/>
      <name val="宋体"/>
      <charset val="0"/>
      <scheme val="minor"/>
    </font>
    <font>
      <sz val="11"/>
      <color theme="0"/>
      <name val="宋体"/>
      <charset val="0"/>
      <scheme val="minor"/>
    </font>
    <font>
      <sz val="11"/>
      <color theme="1"/>
      <name val="宋体"/>
      <charset val="0"/>
      <scheme val="minor"/>
    </font>
    <font>
      <b/>
      <sz val="10"/>
      <color theme="4" tint="0.79970702230903"/>
      <name val="微软雅黑"/>
      <charset val="134"/>
    </font>
    <font>
      <sz val="9"/>
      <name val="宋体"/>
      <charset val="134"/>
    </font>
    <font>
      <sz val="12"/>
      <name val="宋体"/>
      <charset val="134"/>
    </font>
  </fonts>
  <fills count="44">
    <fill>
      <patternFill patternType="none"/>
    </fill>
    <fill>
      <patternFill patternType="gray125"/>
    </fill>
    <fill>
      <patternFill patternType="solid">
        <fgColor theme="1" tint="0.349986266670736"/>
        <bgColor indexed="64"/>
      </patternFill>
    </fill>
    <fill>
      <patternFill patternType="solid">
        <fgColor theme="4" tint="0.599993896298105"/>
        <bgColor indexed="64"/>
      </patternFill>
    </fill>
    <fill>
      <patternFill patternType="solid">
        <fgColor theme="0" tint="-0.149876400036622"/>
        <bgColor indexed="64"/>
      </patternFill>
    </fill>
    <fill>
      <patternFill patternType="solid">
        <fgColor theme="0" tint="-0.149937437055574"/>
        <bgColor indexed="64"/>
      </patternFill>
    </fill>
    <fill>
      <patternFill patternType="solid">
        <fgColor theme="0"/>
        <bgColor indexed="64"/>
      </patternFill>
    </fill>
    <fill>
      <patternFill patternType="solid">
        <fgColor theme="4" tint="0.6"/>
        <bgColor indexed="64"/>
      </patternFill>
    </fill>
    <fill>
      <patternFill patternType="solid">
        <fgColor theme="0" tint="-0.15"/>
        <bgColor indexed="64"/>
      </patternFill>
    </fill>
    <fill>
      <patternFill patternType="solid">
        <fgColor theme="5" tint="0.4"/>
        <bgColor indexed="64"/>
      </patternFill>
    </fill>
    <fill>
      <gradientFill degree="90">
        <stop position="0">
          <color theme="1" tint="0.499984740745262"/>
        </stop>
        <stop position="1">
          <color theme="1" tint="0.349986266670736"/>
        </stop>
      </gradientFill>
    </fill>
    <fill>
      <patternFill patternType="solid">
        <fgColor theme="8" tint="-0.249977111117893"/>
        <bgColor indexed="64"/>
      </patternFill>
    </fill>
    <fill>
      <patternFill patternType="solid">
        <fgColor theme="4" tint="-0.249977111117893"/>
        <bgColor indexed="64"/>
      </patternFill>
    </fill>
    <fill>
      <gradientFill degree="270">
        <stop position="0">
          <color theme="0"/>
        </stop>
        <stop position="1">
          <color theme="1" tint="0.349986266670736"/>
        </stop>
      </gradient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19">
    <border>
      <left/>
      <right/>
      <top/>
      <bottom/>
      <diagonal/>
    </border>
    <border>
      <left style="thin">
        <color theme="0" tint="-0.349986266670736"/>
      </left>
      <right style="thin">
        <color theme="0" tint="-0.349986266670736"/>
      </right>
      <top style="thin">
        <color theme="0" tint="-0.349986266670736"/>
      </top>
      <bottom style="thin">
        <color theme="0" tint="-0.349986266670736"/>
      </bottom>
      <diagonal/>
    </border>
    <border>
      <left style="thin">
        <color theme="0"/>
      </left>
      <right/>
      <top style="thin">
        <color theme="0"/>
      </top>
      <bottom style="thin">
        <color theme="0"/>
      </bottom>
      <diagonal/>
    </border>
    <border>
      <left style="thin">
        <color theme="0" tint="-0.349986266670736"/>
      </left>
      <right/>
      <top style="thin">
        <color theme="0" tint="-0.349986266670736"/>
      </top>
      <bottom style="thin">
        <color theme="0" tint="-0.349986266670736"/>
      </bottom>
      <diagonal/>
    </border>
    <border>
      <left/>
      <right style="thin">
        <color theme="0" tint="-0.349986266670736"/>
      </right>
      <top style="thin">
        <color theme="0" tint="-0.349986266670736"/>
      </top>
      <bottom style="thin">
        <color theme="0" tint="-0.349986266670736"/>
      </bottom>
      <diagonal/>
    </border>
    <border>
      <left style="thin">
        <color theme="0" tint="-0.349986266670736"/>
      </left>
      <right style="thin">
        <color theme="0" tint="-0.349986266670736"/>
      </right>
      <top style="thin">
        <color theme="0" tint="-0.349986266670736"/>
      </top>
      <bottom/>
      <diagonal/>
    </border>
    <border>
      <left style="thin">
        <color theme="0" tint="-0.349986266670736"/>
      </left>
      <right style="thin">
        <color theme="0" tint="-0.349986266670736"/>
      </right>
      <top/>
      <bottom style="thin">
        <color theme="0" tint="-0.349986266670736"/>
      </bottom>
      <diagonal/>
    </border>
    <border>
      <left style="thin">
        <color theme="0" tint="-0.349986266670736"/>
      </left>
      <right style="thin">
        <color theme="0" tint="-0.349986266670736"/>
      </right>
      <top/>
      <bottom/>
      <diagonal/>
    </border>
    <border>
      <left/>
      <right/>
      <top/>
      <bottom style="thin">
        <color theme="0" tint="-0.349986266670736"/>
      </bottom>
      <diagonal/>
    </border>
    <border>
      <left style="thin">
        <color theme="2" tint="-0.25"/>
      </left>
      <right style="thin">
        <color theme="2" tint="-0.25"/>
      </right>
      <top style="thin">
        <color theme="2" tint="-0.25"/>
      </top>
      <bottom style="thin">
        <color theme="2" tint="-0.25"/>
      </bottom>
      <diagonal/>
    </border>
    <border>
      <left style="thin">
        <color theme="0" tint="-0.35"/>
      </left>
      <right style="thin">
        <color theme="0" tint="-0.35"/>
      </right>
      <top style="thin">
        <color theme="0" tint="-0.35"/>
      </top>
      <bottom style="thin">
        <color theme="0" tint="-0.35"/>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alignment vertical="center"/>
    </xf>
    <xf numFmtId="43" fontId="17" fillId="0" borderId="0" applyFont="0" applyFill="0" applyBorder="0" applyAlignment="0" applyProtection="0">
      <alignment vertical="center"/>
    </xf>
    <xf numFmtId="44" fontId="17" fillId="0" borderId="0" applyFont="0" applyFill="0" applyBorder="0" applyAlignment="0" applyProtection="0">
      <alignment vertical="center"/>
    </xf>
    <xf numFmtId="9" fontId="17" fillId="0" borderId="0" applyFont="0" applyFill="0" applyBorder="0" applyAlignment="0" applyProtection="0">
      <alignment vertical="center"/>
    </xf>
    <xf numFmtId="41" fontId="17" fillId="0" borderId="0" applyFont="0" applyFill="0" applyBorder="0" applyAlignment="0" applyProtection="0">
      <alignment vertical="center"/>
    </xf>
    <xf numFmtId="42" fontId="17" fillId="0" borderId="0" applyFont="0" applyFill="0" applyBorder="0" applyAlignment="0" applyProtection="0">
      <alignment vertical="center"/>
    </xf>
    <xf numFmtId="0" fontId="32" fillId="0" borderId="0" applyNumberFormat="0" applyFill="0" applyBorder="0" applyAlignment="0" applyProtection="0">
      <alignment vertical="center"/>
    </xf>
    <xf numFmtId="0" fontId="33" fillId="0" borderId="0" applyNumberFormat="0" applyFill="0" applyBorder="0" applyAlignment="0" applyProtection="0">
      <alignment vertical="center"/>
    </xf>
    <xf numFmtId="0" fontId="17" fillId="14" borderId="11" applyNumberFormat="0" applyFont="0" applyAlignment="0" applyProtection="0">
      <alignment vertical="center"/>
    </xf>
    <xf numFmtId="0" fontId="34"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6" fillId="0" borderId="0" applyNumberFormat="0" applyFill="0" applyBorder="0" applyAlignment="0" applyProtection="0">
      <alignment vertical="center"/>
    </xf>
    <xf numFmtId="0" fontId="37" fillId="0" borderId="12" applyNumberFormat="0" applyFill="0" applyAlignment="0" applyProtection="0">
      <alignment vertical="center"/>
    </xf>
    <xf numFmtId="0" fontId="38" fillId="0" borderId="12" applyNumberFormat="0" applyFill="0" applyAlignment="0" applyProtection="0">
      <alignment vertical="center"/>
    </xf>
    <xf numFmtId="0" fontId="39" fillId="0" borderId="13" applyNumberFormat="0" applyFill="0" applyAlignment="0" applyProtection="0">
      <alignment vertical="center"/>
    </xf>
    <xf numFmtId="0" fontId="39" fillId="0" borderId="0" applyNumberFormat="0" applyFill="0" applyBorder="0" applyAlignment="0" applyProtection="0">
      <alignment vertical="center"/>
    </xf>
    <xf numFmtId="0" fontId="40" fillId="15" borderId="14" applyNumberFormat="0" applyAlignment="0" applyProtection="0">
      <alignment vertical="center"/>
    </xf>
    <xf numFmtId="0" fontId="41" fillId="16" borderId="15" applyNumberFormat="0" applyAlignment="0" applyProtection="0">
      <alignment vertical="center"/>
    </xf>
    <xf numFmtId="0" fontId="42" fillId="16" borderId="14" applyNumberFormat="0" applyAlignment="0" applyProtection="0">
      <alignment vertical="center"/>
    </xf>
    <xf numFmtId="0" fontId="43" fillId="17" borderId="16" applyNumberFormat="0" applyAlignment="0" applyProtection="0">
      <alignment vertical="center"/>
    </xf>
    <xf numFmtId="0" fontId="44" fillId="0" borderId="17" applyNumberFormat="0" applyFill="0" applyAlignment="0" applyProtection="0">
      <alignment vertical="center"/>
    </xf>
    <xf numFmtId="0" fontId="45" fillId="0" borderId="18" applyNumberFormat="0" applyFill="0" applyAlignment="0" applyProtection="0">
      <alignment vertical="center"/>
    </xf>
    <xf numFmtId="0" fontId="46" fillId="18" borderId="0" applyNumberFormat="0" applyBorder="0" applyAlignment="0" applyProtection="0">
      <alignment vertical="center"/>
    </xf>
    <xf numFmtId="0" fontId="47" fillId="19" borderId="0" applyNumberFormat="0" applyBorder="0" applyAlignment="0" applyProtection="0">
      <alignment vertical="center"/>
    </xf>
    <xf numFmtId="0" fontId="48" fillId="20" borderId="0" applyNumberFormat="0" applyBorder="0" applyAlignment="0" applyProtection="0">
      <alignment vertical="center"/>
    </xf>
    <xf numFmtId="0" fontId="49" fillId="21" borderId="0" applyNumberFormat="0" applyBorder="0" applyAlignment="0" applyProtection="0">
      <alignment vertical="center"/>
    </xf>
    <xf numFmtId="0" fontId="50" fillId="22" borderId="0" applyNumberFormat="0" applyBorder="0" applyAlignment="0" applyProtection="0">
      <alignment vertical="center"/>
    </xf>
    <xf numFmtId="0" fontId="50" fillId="3" borderId="0" applyNumberFormat="0" applyBorder="0" applyAlignment="0" applyProtection="0">
      <alignment vertical="center"/>
    </xf>
    <xf numFmtId="0" fontId="49" fillId="23" borderId="0" applyNumberFormat="0" applyBorder="0" applyAlignment="0" applyProtection="0">
      <alignment vertical="center"/>
    </xf>
    <xf numFmtId="0" fontId="49" fillId="24" borderId="0" applyNumberFormat="0" applyBorder="0" applyAlignment="0" applyProtection="0">
      <alignment vertical="center"/>
    </xf>
    <xf numFmtId="0" fontId="50" fillId="25" borderId="0" applyNumberFormat="0" applyBorder="0" applyAlignment="0" applyProtection="0">
      <alignment vertical="center"/>
    </xf>
    <xf numFmtId="0" fontId="50" fillId="26" borderId="0" applyNumberFormat="0" applyBorder="0" applyAlignment="0" applyProtection="0">
      <alignment vertical="center"/>
    </xf>
    <xf numFmtId="0" fontId="49" fillId="27" borderId="0" applyNumberFormat="0" applyBorder="0" applyAlignment="0" applyProtection="0">
      <alignment vertical="center"/>
    </xf>
    <xf numFmtId="0" fontId="49" fillId="28" borderId="0" applyNumberFormat="0" applyBorder="0" applyAlignment="0" applyProtection="0">
      <alignment vertical="center"/>
    </xf>
    <xf numFmtId="0" fontId="50" fillId="29" borderId="0" applyNumberFormat="0" applyBorder="0" applyAlignment="0" applyProtection="0">
      <alignment vertical="center"/>
    </xf>
    <xf numFmtId="0" fontId="50" fillId="30" borderId="0" applyNumberFormat="0" applyBorder="0" applyAlignment="0" applyProtection="0">
      <alignment vertical="center"/>
    </xf>
    <xf numFmtId="0" fontId="49" fillId="31" borderId="0" applyNumberFormat="0" applyBorder="0" applyAlignment="0" applyProtection="0">
      <alignment vertical="center"/>
    </xf>
    <xf numFmtId="0" fontId="49" fillId="32" borderId="0" applyNumberFormat="0" applyBorder="0" applyAlignment="0" applyProtection="0">
      <alignment vertical="center"/>
    </xf>
    <xf numFmtId="0" fontId="50" fillId="33" borderId="0" applyNumberFormat="0" applyBorder="0" applyAlignment="0" applyProtection="0">
      <alignment vertical="center"/>
    </xf>
    <xf numFmtId="0" fontId="50" fillId="34" borderId="0" applyNumberFormat="0" applyBorder="0" applyAlignment="0" applyProtection="0">
      <alignment vertical="center"/>
    </xf>
    <xf numFmtId="0" fontId="49" fillId="35" borderId="0" applyNumberFormat="0" applyBorder="0" applyAlignment="0" applyProtection="0">
      <alignment vertical="center"/>
    </xf>
    <xf numFmtId="0" fontId="49" fillId="36" borderId="0" applyNumberFormat="0" applyBorder="0" applyAlignment="0" applyProtection="0">
      <alignment vertical="center"/>
    </xf>
    <xf numFmtId="0" fontId="50" fillId="37" borderId="0" applyNumberFormat="0" applyBorder="0" applyAlignment="0" applyProtection="0">
      <alignment vertical="center"/>
    </xf>
    <xf numFmtId="0" fontId="50" fillId="38" borderId="0" applyNumberFormat="0" applyBorder="0" applyAlignment="0" applyProtection="0">
      <alignment vertical="center"/>
    </xf>
    <xf numFmtId="0" fontId="49" fillId="39" borderId="0" applyNumberFormat="0" applyBorder="0" applyAlignment="0" applyProtection="0">
      <alignment vertical="center"/>
    </xf>
    <xf numFmtId="0" fontId="49" fillId="40" borderId="0" applyNumberFormat="0" applyBorder="0" applyAlignment="0" applyProtection="0">
      <alignment vertical="center"/>
    </xf>
    <xf numFmtId="0" fontId="50" fillId="41" borderId="0" applyNumberFormat="0" applyBorder="0" applyAlignment="0" applyProtection="0">
      <alignment vertical="center"/>
    </xf>
    <xf numFmtId="0" fontId="50" fillId="42" borderId="0" applyNumberFormat="0" applyBorder="0" applyAlignment="0" applyProtection="0">
      <alignment vertical="center"/>
    </xf>
    <xf numFmtId="0" fontId="49" fillId="43" borderId="0" applyNumberFormat="0" applyBorder="0" applyAlignment="0" applyProtection="0">
      <alignment vertical="center"/>
    </xf>
  </cellStyleXfs>
  <cellXfs count="102">
    <xf numFmtId="0" fontId="0" fillId="0" borderId="0" xfId="0">
      <alignment vertical="center"/>
    </xf>
    <xf numFmtId="0" fontId="1" fillId="2" borderId="0" xfId="0" applyFont="1" applyFill="1" applyAlignment="1">
      <alignment horizontal="center" vertical="center"/>
    </xf>
    <xf numFmtId="0" fontId="1" fillId="3" borderId="0" xfId="0" applyFont="1" applyFill="1" applyAlignment="1">
      <alignment horizontal="center" vertical="center"/>
    </xf>
    <xf numFmtId="0" fontId="2" fillId="3" borderId="0" xfId="0" applyFont="1" applyFill="1" applyAlignment="1">
      <alignment horizontal="center" vertical="center"/>
    </xf>
    <xf numFmtId="0" fontId="2" fillId="0" borderId="0" xfId="0" applyFont="1" applyFill="1" applyAlignment="1">
      <alignment horizontal="center" vertical="center"/>
    </xf>
    <xf numFmtId="0" fontId="2" fillId="0" borderId="1" xfId="0" applyFont="1" applyFill="1" applyBorder="1" applyAlignment="1">
      <alignment horizontal="left"/>
    </xf>
    <xf numFmtId="0" fontId="0" fillId="3" borderId="0" xfId="0" applyFill="1">
      <alignment vertical="center"/>
    </xf>
    <xf numFmtId="0" fontId="3" fillId="2" borderId="0" xfId="0" applyFont="1" applyFill="1" applyAlignment="1">
      <alignment horizontal="center" vertical="center"/>
    </xf>
    <xf numFmtId="0" fontId="2" fillId="2" borderId="0" xfId="0" applyFont="1" applyFill="1" applyAlignment="1">
      <alignment horizontal="center" vertical="center"/>
    </xf>
    <xf numFmtId="0" fontId="1" fillId="0" borderId="0" xfId="0" applyFont="1" applyFill="1" applyAlignment="1">
      <alignment horizontal="center" vertical="center"/>
    </xf>
    <xf numFmtId="0" fontId="2" fillId="0" borderId="0" xfId="0" applyFont="1" applyFill="1" applyAlignment="1">
      <alignment horizontal="left" wrapText="1"/>
    </xf>
    <xf numFmtId="0" fontId="2" fillId="0" borderId="1" xfId="0" applyFont="1" applyFill="1" applyBorder="1" applyAlignment="1">
      <alignment horizontal="left" wrapText="1"/>
    </xf>
    <xf numFmtId="0" fontId="2" fillId="4" borderId="2" xfId="0" applyFont="1" applyFill="1" applyBorder="1" applyAlignment="1">
      <alignment horizontal="center" vertical="center"/>
    </xf>
    <xf numFmtId="0" fontId="2" fillId="0" borderId="1" xfId="0" applyFont="1" applyFill="1" applyBorder="1" applyAlignment="1">
      <alignment horizontal="center" vertical="center"/>
    </xf>
    <xf numFmtId="0" fontId="4" fillId="2" borderId="0" xfId="0" applyFont="1" applyFill="1" applyAlignment="1">
      <alignment horizontal="center" vertical="center"/>
    </xf>
    <xf numFmtId="0" fontId="5" fillId="0" borderId="0" xfId="0" applyFont="1" applyFill="1" applyAlignment="1">
      <alignment horizontal="center" vertical="center"/>
    </xf>
    <xf numFmtId="0" fontId="6" fillId="5" borderId="1" xfId="0" applyFont="1" applyFill="1" applyBorder="1" applyAlignment="1">
      <alignment horizontal="center" vertical="center"/>
    </xf>
    <xf numFmtId="49" fontId="2" fillId="0" borderId="1" xfId="0" applyNumberFormat="1" applyFont="1" applyFill="1" applyBorder="1" applyAlignment="1">
      <alignment horizontal="center" vertical="center"/>
    </xf>
    <xf numFmtId="0" fontId="1" fillId="0" borderId="0" xfId="0" applyFont="1" applyFill="1" applyAlignment="1">
      <alignment horizontal="center" vertical="center" wrapText="1"/>
    </xf>
    <xf numFmtId="0" fontId="6" fillId="5" borderId="1" xfId="0" applyFont="1" applyFill="1" applyBorder="1" applyAlignment="1">
      <alignment horizontal="center" vertical="center" wrapText="1"/>
    </xf>
    <xf numFmtId="0" fontId="2" fillId="0" borderId="1" xfId="0" applyFont="1" applyFill="1" applyBorder="1" applyAlignment="1">
      <alignment horizontal="center" vertical="center" wrapText="1"/>
    </xf>
    <xf numFmtId="176" fontId="2" fillId="0" borderId="1" xfId="0" applyNumberFormat="1" applyFont="1" applyFill="1" applyBorder="1" applyAlignment="1">
      <alignment horizontal="center" vertical="center"/>
    </xf>
    <xf numFmtId="0" fontId="6" fillId="5" borderId="3" xfId="0" applyFont="1" applyFill="1" applyBorder="1" applyAlignment="1">
      <alignment horizontal="center" vertical="center"/>
    </xf>
    <xf numFmtId="0" fontId="6" fillId="5" borderId="4" xfId="0" applyFont="1" applyFill="1" applyBorder="1" applyAlignment="1">
      <alignment horizontal="center" vertical="center"/>
    </xf>
    <xf numFmtId="0" fontId="6" fillId="5" borderId="5" xfId="0" applyFont="1" applyFill="1" applyBorder="1" applyAlignment="1">
      <alignment horizontal="center" vertical="center"/>
    </xf>
    <xf numFmtId="0" fontId="6" fillId="5" borderId="6" xfId="0" applyFont="1" applyFill="1" applyBorder="1" applyAlignment="1">
      <alignment horizontal="center" vertical="center"/>
    </xf>
    <xf numFmtId="0" fontId="1" fillId="2" borderId="0" xfId="0" applyNumberFormat="1" applyFont="1" applyFill="1" applyAlignment="1">
      <alignment horizontal="center" vertical="center"/>
    </xf>
    <xf numFmtId="0" fontId="1" fillId="3" borderId="0" xfId="0" applyNumberFormat="1" applyFont="1" applyFill="1" applyAlignment="1">
      <alignment horizontal="center" vertical="center"/>
    </xf>
    <xf numFmtId="0" fontId="2" fillId="3" borderId="0" xfId="0" applyNumberFormat="1" applyFont="1" applyFill="1" applyAlignment="1">
      <alignment horizontal="center" vertical="center"/>
    </xf>
    <xf numFmtId="0" fontId="2" fillId="0" borderId="0" xfId="0" applyNumberFormat="1" applyFont="1" applyFill="1" applyAlignment="1">
      <alignment horizontal="center" vertical="center"/>
    </xf>
    <xf numFmtId="0" fontId="2" fillId="0" borderId="1" xfId="0" applyNumberFormat="1" applyFont="1" applyFill="1" applyBorder="1" applyAlignment="1">
      <alignment horizontal="center" vertical="center"/>
    </xf>
    <xf numFmtId="0" fontId="0" fillId="3" borderId="0" xfId="0" applyNumberFormat="1" applyFill="1">
      <alignment vertical="center"/>
    </xf>
    <xf numFmtId="0" fontId="3" fillId="2" borderId="0" xfId="0" applyNumberFormat="1" applyFont="1" applyFill="1" applyAlignment="1">
      <alignment horizontal="center" vertical="center"/>
    </xf>
    <xf numFmtId="49" fontId="1" fillId="2" borderId="0" xfId="0" applyNumberFormat="1" applyFont="1" applyFill="1" applyAlignment="1">
      <alignment horizontal="center" vertical="center"/>
    </xf>
    <xf numFmtId="49" fontId="1" fillId="3" borderId="0" xfId="0" applyNumberFormat="1" applyFont="1" applyFill="1" applyAlignment="1">
      <alignment horizontal="center" vertical="center"/>
    </xf>
    <xf numFmtId="0" fontId="7" fillId="3" borderId="0" xfId="0" applyFont="1" applyFill="1" applyAlignment="1">
      <alignment horizontal="center" vertical="center"/>
    </xf>
    <xf numFmtId="0" fontId="1" fillId="0" borderId="0" xfId="0" applyNumberFormat="1" applyFont="1" applyFill="1" applyAlignment="1">
      <alignment horizontal="center" vertical="center"/>
    </xf>
    <xf numFmtId="49" fontId="1" fillId="0" borderId="0" xfId="0" applyNumberFormat="1" applyFont="1" applyFill="1" applyAlignment="1">
      <alignment horizontal="center" vertical="center"/>
    </xf>
    <xf numFmtId="49" fontId="6" fillId="5" borderId="1" xfId="0" applyNumberFormat="1" applyFont="1" applyFill="1" applyBorder="1" applyAlignment="1">
      <alignment horizontal="center" vertical="center"/>
    </xf>
    <xf numFmtId="49" fontId="6" fillId="5" borderId="5" xfId="0" applyNumberFormat="1" applyFont="1" applyFill="1" applyBorder="1" applyAlignment="1">
      <alignment horizontal="center" vertical="center"/>
    </xf>
    <xf numFmtId="177" fontId="2" fillId="0" borderId="1" xfId="0" applyNumberFormat="1" applyFont="1" applyFill="1" applyBorder="1" applyAlignment="1">
      <alignment horizontal="center" vertical="center"/>
    </xf>
    <xf numFmtId="177" fontId="1" fillId="2" borderId="0" xfId="0" applyNumberFormat="1" applyFont="1" applyFill="1" applyAlignment="1">
      <alignment horizontal="center" vertical="center"/>
    </xf>
    <xf numFmtId="177" fontId="1" fillId="3" borderId="0" xfId="0" applyNumberFormat="1" applyFont="1" applyFill="1" applyAlignment="1">
      <alignment horizontal="center" vertical="center"/>
    </xf>
    <xf numFmtId="177" fontId="1" fillId="0" borderId="0" xfId="0" applyNumberFormat="1" applyFont="1" applyFill="1" applyAlignment="1">
      <alignment horizontal="center" vertical="center"/>
    </xf>
    <xf numFmtId="0" fontId="6" fillId="5" borderId="7" xfId="0" applyFont="1" applyFill="1" applyBorder="1" applyAlignment="1">
      <alignment horizontal="center" vertical="center"/>
    </xf>
    <xf numFmtId="177" fontId="6" fillId="5" borderId="7" xfId="0" applyNumberFormat="1" applyFont="1" applyFill="1" applyBorder="1" applyAlignment="1">
      <alignment horizontal="center" vertical="center"/>
    </xf>
    <xf numFmtId="0" fontId="8" fillId="3" borderId="0" xfId="0" applyFont="1" applyFill="1" applyAlignment="1">
      <alignment horizontal="center" vertical="center"/>
    </xf>
    <xf numFmtId="0" fontId="2" fillId="6" borderId="1" xfId="0" applyFont="1" applyFill="1" applyBorder="1" applyAlignment="1">
      <alignment horizontal="center" vertical="center"/>
    </xf>
    <xf numFmtId="0" fontId="0" fillId="7" borderId="0" xfId="0" applyFill="1">
      <alignment vertical="center"/>
    </xf>
    <xf numFmtId="0" fontId="9" fillId="3" borderId="0" xfId="0" applyFont="1" applyFill="1" applyAlignment="1">
      <alignment horizontal="center" vertical="center"/>
    </xf>
    <xf numFmtId="0" fontId="1" fillId="6" borderId="8" xfId="0" applyFont="1" applyFill="1" applyBorder="1" applyAlignment="1">
      <alignment horizontal="center" vertical="center"/>
    </xf>
    <xf numFmtId="0" fontId="7" fillId="8" borderId="9" xfId="0" applyFont="1" applyFill="1" applyBorder="1" applyAlignment="1">
      <alignment horizontal="center" vertical="center"/>
    </xf>
    <xf numFmtId="0" fontId="10" fillId="3" borderId="0" xfId="0" applyFont="1" applyFill="1" applyAlignment="1">
      <alignment horizontal="center" vertical="center"/>
    </xf>
    <xf numFmtId="0" fontId="10" fillId="7" borderId="0" xfId="0" applyFont="1" applyFill="1" applyAlignment="1">
      <alignment horizontal="center" vertical="center"/>
    </xf>
    <xf numFmtId="0" fontId="1" fillId="6" borderId="9" xfId="0" applyFont="1" applyFill="1" applyBorder="1" applyAlignment="1">
      <alignment horizontal="center" vertical="center"/>
    </xf>
    <xf numFmtId="178" fontId="1" fillId="6" borderId="9" xfId="0" applyNumberFormat="1" applyFont="1" applyFill="1" applyBorder="1" applyAlignment="1">
      <alignment horizontal="center" vertical="center"/>
    </xf>
    <xf numFmtId="0" fontId="2" fillId="6" borderId="0" xfId="0" applyFont="1" applyFill="1" applyBorder="1" applyAlignment="1">
      <alignment horizontal="center" vertical="center"/>
    </xf>
    <xf numFmtId="0" fontId="1" fillId="2" borderId="0" xfId="0" applyFont="1" applyFill="1" applyBorder="1" applyAlignment="1">
      <alignment horizontal="center" vertical="center"/>
    </xf>
    <xf numFmtId="0" fontId="1" fillId="3" borderId="0" xfId="0" applyFont="1" applyFill="1" applyBorder="1" applyAlignment="1">
      <alignment horizontal="center" vertical="center"/>
    </xf>
    <xf numFmtId="0" fontId="1" fillId="6" borderId="0" xfId="0" applyFont="1" applyFill="1" applyBorder="1" applyAlignment="1">
      <alignment horizontal="center" vertical="center"/>
    </xf>
    <xf numFmtId="0" fontId="11" fillId="6" borderId="0" xfId="0" applyFont="1" applyFill="1" applyBorder="1" applyAlignment="1">
      <alignment horizontal="center" vertical="center"/>
    </xf>
    <xf numFmtId="0" fontId="12" fillId="6" borderId="0" xfId="0" applyFont="1" applyFill="1" applyBorder="1" applyAlignment="1">
      <alignment horizontal="center" vertical="center"/>
    </xf>
    <xf numFmtId="0" fontId="13" fillId="6" borderId="0" xfId="0" applyFont="1" applyFill="1" applyBorder="1" applyAlignment="1">
      <alignment horizontal="center" vertical="center"/>
    </xf>
    <xf numFmtId="22" fontId="13" fillId="6" borderId="0" xfId="0" applyNumberFormat="1" applyFont="1" applyFill="1" applyBorder="1" applyAlignment="1">
      <alignment horizontal="center" vertical="center"/>
    </xf>
    <xf numFmtId="0" fontId="6" fillId="0" borderId="0" xfId="0" applyFont="1" applyFill="1" applyBorder="1" applyAlignment="1">
      <alignment horizontal="center" vertical="center"/>
    </xf>
    <xf numFmtId="0" fontId="6" fillId="5" borderId="10" xfId="0" applyFont="1" applyFill="1" applyBorder="1" applyAlignment="1">
      <alignment horizontal="center" vertical="center"/>
    </xf>
    <xf numFmtId="0" fontId="2" fillId="6" borderId="10" xfId="0" applyFont="1" applyFill="1" applyBorder="1" applyAlignment="1">
      <alignment horizontal="center" vertical="center"/>
    </xf>
    <xf numFmtId="0" fontId="6" fillId="6" borderId="1" xfId="0" applyFont="1" applyFill="1" applyBorder="1" applyAlignment="1">
      <alignment horizontal="center" vertical="center"/>
    </xf>
    <xf numFmtId="179" fontId="6" fillId="6" borderId="1" xfId="0" applyNumberFormat="1" applyFont="1" applyFill="1" applyBorder="1" applyAlignment="1">
      <alignment horizontal="center" vertical="center"/>
    </xf>
    <xf numFmtId="0" fontId="14" fillId="0" borderId="10" xfId="0" applyFont="1" applyFill="1" applyBorder="1" applyAlignment="1">
      <alignment horizontal="center" vertical="center"/>
    </xf>
    <xf numFmtId="0" fontId="5" fillId="2" borderId="0" xfId="0" applyFont="1" applyFill="1" applyAlignment="1">
      <alignment horizontal="center" vertical="center"/>
    </xf>
    <xf numFmtId="0" fontId="7" fillId="0" borderId="10" xfId="0" applyFont="1" applyFill="1" applyBorder="1" applyAlignment="1">
      <alignment horizontal="center" vertical="center" wrapText="1"/>
    </xf>
    <xf numFmtId="0" fontId="15" fillId="9" borderId="0" xfId="0" applyFont="1" applyFill="1" applyAlignment="1">
      <alignment horizontal="center" vertical="center"/>
    </xf>
    <xf numFmtId="14" fontId="13" fillId="6" borderId="0" xfId="0" applyNumberFormat="1" applyFont="1" applyFill="1" applyBorder="1" applyAlignment="1">
      <alignment horizontal="center" vertical="center"/>
    </xf>
    <xf numFmtId="14" fontId="0" fillId="0" borderId="0" xfId="0" applyNumberFormat="1">
      <alignment vertical="center"/>
    </xf>
    <xf numFmtId="0" fontId="16" fillId="10" borderId="0" xfId="0" applyFont="1" applyFill="1" applyAlignment="1" applyProtection="1">
      <alignment horizontal="left" vertical="center"/>
    </xf>
    <xf numFmtId="0" fontId="17" fillId="11" borderId="0" xfId="0" applyFont="1" applyFill="1" applyAlignment="1" applyProtection="1">
      <alignment vertical="center"/>
    </xf>
    <xf numFmtId="0" fontId="18" fillId="11" borderId="0" xfId="0" applyFont="1" applyFill="1" applyAlignment="1" applyProtection="1">
      <alignment horizontal="left" vertical="center"/>
    </xf>
    <xf numFmtId="0" fontId="18" fillId="6" borderId="0" xfId="0" applyFont="1" applyFill="1" applyAlignment="1" applyProtection="1">
      <alignment horizontal="left" vertical="center"/>
    </xf>
    <xf numFmtId="49" fontId="19" fillId="6" borderId="0" xfId="0" applyNumberFormat="1" applyFont="1" applyFill="1" applyAlignment="1" applyProtection="1">
      <alignment horizontal="right" vertical="center"/>
    </xf>
    <xf numFmtId="0" fontId="20" fillId="6" borderId="0" xfId="0" applyFont="1" applyFill="1" applyAlignment="1" applyProtection="1">
      <alignment horizontal="left" vertical="center"/>
    </xf>
    <xf numFmtId="0" fontId="21" fillId="10" borderId="0" xfId="0" applyFont="1" applyFill="1" applyAlignment="1" applyProtection="1">
      <alignment horizontal="center" vertical="center"/>
    </xf>
    <xf numFmtId="49" fontId="22" fillId="10" borderId="0" xfId="0" applyNumberFormat="1" applyFont="1" applyFill="1" applyAlignment="1" applyProtection="1">
      <alignment horizontal="left" vertical="center"/>
    </xf>
    <xf numFmtId="49" fontId="16" fillId="10" borderId="0" xfId="0" applyNumberFormat="1" applyFont="1" applyFill="1" applyAlignment="1" applyProtection="1">
      <alignment horizontal="left" vertical="center"/>
    </xf>
    <xf numFmtId="49" fontId="23" fillId="11" borderId="0" xfId="0" applyNumberFormat="1" applyFont="1" applyFill="1" applyAlignment="1" applyProtection="1">
      <alignment horizontal="right" vertical="center"/>
    </xf>
    <xf numFmtId="49" fontId="23" fillId="6" borderId="0" xfId="0" applyNumberFormat="1" applyFont="1" applyFill="1" applyAlignment="1" applyProtection="1">
      <alignment horizontal="center" vertical="center"/>
    </xf>
    <xf numFmtId="49" fontId="24" fillId="12" borderId="0" xfId="0" applyNumberFormat="1" applyFont="1" applyFill="1" applyAlignment="1" applyProtection="1">
      <alignment horizontal="center" vertical="center" wrapText="1"/>
    </xf>
    <xf numFmtId="0" fontId="25" fillId="12" borderId="0" xfId="0" applyFont="1" applyFill="1" applyAlignment="1" applyProtection="1">
      <alignment horizontal="center" vertical="center" wrapText="1"/>
    </xf>
    <xf numFmtId="180" fontId="26" fillId="12" borderId="0" xfId="0" applyNumberFormat="1" applyFont="1" applyFill="1" applyAlignment="1" applyProtection="1">
      <alignment horizontal="right" vertical="center" indent="1"/>
    </xf>
    <xf numFmtId="0" fontId="27" fillId="12" borderId="0" xfId="0" applyFont="1" applyFill="1" applyAlignment="1" applyProtection="1">
      <alignment horizontal="center" vertical="center" wrapText="1"/>
    </xf>
    <xf numFmtId="49" fontId="25" fillId="12" borderId="0" xfId="0" applyNumberFormat="1" applyFont="1" applyFill="1" applyAlignment="1" applyProtection="1">
      <alignment horizontal="center" vertical="center" wrapText="1"/>
    </xf>
    <xf numFmtId="0" fontId="27" fillId="12" borderId="0" xfId="0" applyFont="1" applyFill="1" applyAlignment="1" applyProtection="1">
      <alignment vertical="center" wrapText="1"/>
    </xf>
    <xf numFmtId="49" fontId="19" fillId="13" borderId="0" xfId="0" applyNumberFormat="1" applyFont="1" applyFill="1" applyAlignment="1" applyProtection="1">
      <alignment horizontal="center" vertical="center" wrapText="1"/>
    </xf>
    <xf numFmtId="0" fontId="28" fillId="13" borderId="0" xfId="0" applyFont="1" applyFill="1" applyAlignment="1" applyProtection="1">
      <alignment horizontal="center" vertical="center" wrapText="1"/>
    </xf>
    <xf numFmtId="0" fontId="20" fillId="13" borderId="0" xfId="0" applyFont="1" applyFill="1" applyAlignment="1" applyProtection="1">
      <alignment horizontal="left" vertical="center"/>
    </xf>
    <xf numFmtId="0" fontId="29" fillId="3" borderId="0" xfId="0" applyFont="1" applyFill="1" applyAlignment="1">
      <alignment vertical="center"/>
    </xf>
    <xf numFmtId="0" fontId="30" fillId="3" borderId="0" xfId="0" applyFont="1" applyFill="1" applyAlignment="1">
      <alignment vertical="center"/>
    </xf>
    <xf numFmtId="0" fontId="31" fillId="3" borderId="0" xfId="0" applyFont="1" applyFill="1" applyAlignment="1">
      <alignment vertical="center"/>
    </xf>
    <xf numFmtId="0" fontId="31" fillId="3" borderId="0" xfId="0" applyFont="1" applyFill="1" applyBorder="1" applyAlignment="1">
      <alignment vertical="center"/>
    </xf>
    <xf numFmtId="0" fontId="6" fillId="3" borderId="0" xfId="0" applyFont="1" applyFill="1" applyAlignment="1">
      <alignment vertical="center"/>
    </xf>
    <xf numFmtId="0" fontId="6" fillId="3" borderId="0" xfId="0" applyFont="1" applyFill="1" applyBorder="1" applyAlignment="1">
      <alignment vertical="center"/>
    </xf>
    <xf numFmtId="0" fontId="29" fillId="3" borderId="0" xfId="0" applyFont="1" applyFill="1" applyBorder="1" applyAlignment="1">
      <alignment vertical="center"/>
    </xf>
  </cellXfs>
  <cellStyles count="49">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s>
  <dxfs count="2">
    <dxf>
      <fill>
        <patternFill patternType="solid">
          <bgColor theme="5" tint="0.8"/>
        </patternFill>
      </fill>
    </dxf>
    <dxf>
      <fill>
        <patternFill patternType="solid">
          <bgColor theme="7" tint="0.599993896298105"/>
        </patternFill>
      </fill>
    </dxf>
  </dxfs>
  <tableStyles count="0" defaultTableStyle="TableStyleMedium2" defaultPivotStyle="PivotStyleLight16"/>
  <colors>
    <mruColors>
      <color rgb="002BA981"/>
      <color rgb="002F55B4"/>
      <color rgb="005AD2B4"/>
      <color rgb="005AB4B4"/>
      <color rgb="0036C9E8"/>
      <color rgb="00215967"/>
      <color rgb="002F75B5"/>
      <color rgb="00215971"/>
      <color rgb="0021597B"/>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7" Type="http://schemas.openxmlformats.org/officeDocument/2006/relationships/styles" Target="styles.xml"/><Relationship Id="rId36" Type="http://schemas.microsoft.com/office/2006/relationships/vbaProject" Target="vbaProject.bin"/><Relationship Id="rId35" Type="http://schemas.openxmlformats.org/officeDocument/2006/relationships/sharedStrings" Target="sharedStrings.xml"/><Relationship Id="rId34" Type="http://schemas.openxmlformats.org/officeDocument/2006/relationships/theme" Target="theme/theme1.xml"/><Relationship Id="rId33" Type="http://schemas.openxmlformats.org/officeDocument/2006/relationships/externalLink" Target="externalLinks/externalLink1.xml"/><Relationship Id="rId32" Type="http://schemas.openxmlformats.org/officeDocument/2006/relationships/customXml" Target="../customXml/item1.xml"/><Relationship Id="rId31" Type="http://schemas.openxmlformats.org/officeDocument/2006/relationships/worksheet" Target="worksheets/sheet31.xml"/><Relationship Id="rId30" Type="http://schemas.openxmlformats.org/officeDocument/2006/relationships/worksheet" Target="worksheets/sheet30.xml"/><Relationship Id="rId3" Type="http://schemas.openxmlformats.org/officeDocument/2006/relationships/worksheet" Target="worksheets/sheet3.xml"/><Relationship Id="rId29" Type="http://schemas.openxmlformats.org/officeDocument/2006/relationships/worksheet" Target="worksheets/sheet29.xml"/><Relationship Id="rId28" Type="http://schemas.openxmlformats.org/officeDocument/2006/relationships/worksheet" Target="worksheets/sheet28.xml"/><Relationship Id="rId27" Type="http://schemas.openxmlformats.org/officeDocument/2006/relationships/worksheet" Target="worksheets/sheet27.xml"/><Relationship Id="rId26" Type="http://schemas.openxmlformats.org/officeDocument/2006/relationships/worksheet" Target="worksheets/sheet26.xml"/><Relationship Id="rId25" Type="http://schemas.openxmlformats.org/officeDocument/2006/relationships/worksheet" Target="worksheets/sheet25.xml"/><Relationship Id="rId24" Type="http://schemas.openxmlformats.org/officeDocument/2006/relationships/worksheet" Target="worksheets/sheet24.xml"/><Relationship Id="rId23" Type="http://schemas.openxmlformats.org/officeDocument/2006/relationships/worksheet" Target="worksheets/sheet23.xml"/><Relationship Id="rId22" Type="http://schemas.openxmlformats.org/officeDocument/2006/relationships/worksheet" Target="worksheets/sheet22.xml"/><Relationship Id="rId21" Type="http://schemas.openxmlformats.org/officeDocument/2006/relationships/worksheet" Target="worksheets/sheet21.xml"/><Relationship Id="rId20" Type="http://schemas.openxmlformats.org/officeDocument/2006/relationships/worksheet" Target="worksheets/sheet20.xml"/><Relationship Id="rId2" Type="http://schemas.openxmlformats.org/officeDocument/2006/relationships/worksheet" Target="worksheets/sheet2.xml"/><Relationship Id="rId19" Type="http://schemas.openxmlformats.org/officeDocument/2006/relationships/worksheet" Target="worksheets/sheet19.xml"/><Relationship Id="rId18" Type="http://schemas.openxmlformats.org/officeDocument/2006/relationships/worksheet" Target="worksheets/sheet18.xml"/><Relationship Id="rId17" Type="http://schemas.openxmlformats.org/officeDocument/2006/relationships/worksheet" Target="worksheets/sheet17.xml"/><Relationship Id="rId16" Type="http://schemas.openxmlformats.org/officeDocument/2006/relationships/worksheet" Target="worksheets/sheet16.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10-EC42-11CE-9E0D-00AA006002F3}" r:id="rId1" ax:persistence="persistStreamInit"/>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0" vertOverflow="ellipsis" vert="horz" wrap="square" anchor="ctr" anchorCtr="1"/>
        <a:lstStyle/>
        <a:p>
          <a:pPr>
            <a:defRPr lang="zh-CN" sz="1400" b="1" i="0" u="none" strike="noStrike" kern="1200" baseline="0">
              <a:solidFill>
                <a:schemeClr val="tx1">
                  <a:lumMod val="75000"/>
                  <a:lumOff val="25000"/>
                </a:schemeClr>
              </a:solidFill>
              <a:latin typeface="+mn-lt"/>
              <a:ea typeface="+mn-ea"/>
              <a:cs typeface="+mn-cs"/>
            </a:defRPr>
          </a:pPr>
        </a:p>
      </c:txPr>
    </c:title>
    <c:autoTitleDeleted val="0"/>
    <c:plotArea>
      <c:layout>
        <c:manualLayout>
          <c:layoutTarget val="inner"/>
          <c:xMode val="edge"/>
          <c:yMode val="edge"/>
          <c:x val="0.0631052631578947"/>
          <c:y val="0.173398328690808"/>
          <c:w val="0.907947368421053"/>
          <c:h val="0.606174558960074"/>
        </c:manualLayout>
      </c:layout>
      <c:barChart>
        <c:barDir val="col"/>
        <c:grouping val="clustered"/>
        <c:varyColors val="0"/>
        <c:ser>
          <c:idx val="0"/>
          <c:order val="0"/>
          <c:tx>
            <c:strRef>
              <c:f>"数量"</c:f>
              <c:strCache>
                <c:ptCount val="1"/>
                <c:pt idx="0">
                  <c:v>数量</c:v>
                </c:pt>
              </c:strCache>
            </c:strRef>
          </c:tx>
          <c:spPr>
            <a:solidFill>
              <a:schemeClr val="accent1"/>
            </a:solidFill>
            <a:ln>
              <a:noFill/>
            </a:ln>
            <a:effectLst/>
          </c:spPr>
          <c:invertIfNegative val="0"/>
          <c:dLbls>
            <c:delete val="1"/>
          </c:dLbls>
          <c:cat>
            <c:strRef>
              <c:f>销售退货统计!$N$3:$U$3</c:f>
              <c:strCache>
                <c:ptCount val="8"/>
                <c:pt idx="0">
                  <c:v>C仓库</c:v>
                </c:pt>
                <c:pt idx="1">
                  <c:v>A仓库</c:v>
                </c:pt>
              </c:strCache>
            </c:strRef>
          </c:cat>
          <c:val>
            <c:numRef>
              <c:f>销售退货统计!$N$4:$U$4</c:f>
              <c:numCache>
                <c:formatCode>General</c:formatCode>
                <c:ptCount val="8"/>
                <c:pt idx="0">
                  <c:v>7</c:v>
                </c:pt>
                <c:pt idx="1">
                  <c:v>2</c:v>
                </c:pt>
              </c:numCache>
            </c:numRef>
          </c:val>
        </c:ser>
        <c:dLbls>
          <c:showLegendKey val="0"/>
          <c:showVal val="0"/>
          <c:showCatName val="0"/>
          <c:showSerName val="0"/>
          <c:showPercent val="0"/>
          <c:showBubbleSize val="0"/>
        </c:dLbls>
        <c:gapWidth val="246"/>
        <c:overlap val="-28"/>
        <c:axId val="981913187"/>
        <c:axId val="831286833"/>
      </c:barChart>
      <c:catAx>
        <c:axId val="981913187"/>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831286833"/>
        <c:crosses val="autoZero"/>
        <c:auto val="1"/>
        <c:lblAlgn val="ctr"/>
        <c:lblOffset val="100"/>
        <c:noMultiLvlLbl val="0"/>
      </c:catAx>
      <c:valAx>
        <c:axId val="831286833"/>
        <c:scaling>
          <c:orientation val="minMax"/>
        </c:scaling>
        <c:delete val="0"/>
        <c:axPos val="l"/>
        <c:majorGridlines>
          <c:spPr>
            <a:ln w="9525" cap="flat" cmpd="sng" algn="ctr">
              <a:solidFill>
                <a:schemeClr val="lt1">
                  <a:lumMod val="90200"/>
                </a:schemeClr>
              </a:solidFill>
              <a:round/>
            </a:ln>
            <a:effectLst/>
          </c:spPr>
        </c:majorGridlines>
        <c:numFmt formatCode="General" sourceLinked="1"/>
        <c:majorTickMark val="none"/>
        <c:minorTickMark val="none"/>
        <c:tickLblPos val="nextTo"/>
        <c:spPr>
          <a:noFill/>
          <a:ln>
            <a:noFill/>
          </a:ln>
          <a:effectLst/>
        </c:spPr>
        <c:txPr>
          <a:bodyPr rot="-6000000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981913187"/>
        <c:crosses val="autoZero"/>
        <c:crossBetween val="between"/>
      </c:valAx>
      <c:spPr>
        <a:noFill/>
        <a:ln>
          <a:noFill/>
        </a:ln>
        <a:effectLst/>
      </c:spPr>
    </c:plotArea>
    <c:legend>
      <c:legendPos val="b"/>
      <c:layout/>
      <c:overlay val="0"/>
      <c:spPr>
        <a:noFill/>
        <a:ln>
          <a:noFill/>
        </a:ln>
        <a:effectLst/>
      </c:spPr>
      <c:txPr>
        <a:bodyPr rot="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legend>
    <c:plotVisOnly val="1"/>
    <c:dispBlanksAs val="gap"/>
    <c:showDLblsOverMax val="0"/>
    <c:extLst>
      <c:ext uri="{0b15fc19-7d7d-44ad-8c2d-2c3a37ce22c3}">
        <chartProps xmlns="https://web.wps.cn/et/2018/main" chartId="{3820e598-4046-41bf-8924-0c78b13b6e60}"/>
      </c:ext>
    </c:extLst>
  </c:chart>
  <c:spPr>
    <a:solidFill>
      <a:schemeClr val="bg1"/>
    </a:solidFill>
    <a:ln w="9525" cap="flat" cmpd="sng" algn="ctr">
      <a:solidFill>
        <a:schemeClr val="tx1">
          <a:lumMod val="15000"/>
          <a:lumOff val="85000"/>
        </a:schemeClr>
      </a:solidFill>
      <a:round/>
    </a:ln>
    <a:effectLst/>
  </c:spPr>
  <c:txPr>
    <a:bodyPr/>
    <a:lstStyle/>
    <a:p>
      <a:pPr>
        <a:defRPr lang="zh-CN"/>
      </a:pPr>
    </a:p>
  </c:txPr>
  <c:externalData r:id="rId1">
    <c:autoUpdate val="0"/>
  </c:externalData>
</c:chartSpace>
</file>

<file path=xl/charts/chart2.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0" vertOverflow="ellipsis" vert="horz" wrap="square" anchor="ctr" anchorCtr="1"/>
        <a:lstStyle/>
        <a:p>
          <a:pPr>
            <a:defRPr lang="zh-CN" sz="1400" b="1" i="0" u="none" strike="noStrike" kern="1200" baseline="0">
              <a:solidFill>
                <a:schemeClr val="tx1">
                  <a:lumMod val="75000"/>
                  <a:lumOff val="25000"/>
                </a:schemeClr>
              </a:solidFill>
              <a:latin typeface="+mn-lt"/>
              <a:ea typeface="+mn-ea"/>
              <a:cs typeface="+mn-cs"/>
            </a:defRPr>
          </a:pPr>
        </a:p>
      </c:txPr>
    </c:title>
    <c:autoTitleDeleted val="0"/>
    <c:plotArea>
      <c:layout/>
      <c:lineChart>
        <c:grouping val="standard"/>
        <c:varyColors val="0"/>
        <c:ser>
          <c:idx val="2"/>
          <c:order val="0"/>
          <c:tx>
            <c:strRef>
              <c:f>"数量"</c:f>
              <c:strCache>
                <c:ptCount val="1"/>
                <c:pt idx="0">
                  <c:v>数量</c:v>
                </c:pt>
              </c:strCache>
            </c:strRef>
          </c:tx>
          <c:spPr>
            <a:ln w="28575" cap="rnd">
              <a:solidFill>
                <a:schemeClr val="accent3"/>
              </a:solidFill>
              <a:round/>
            </a:ln>
            <a:effectLst/>
          </c:spPr>
          <c:marker>
            <c:symbol val="none"/>
          </c:marker>
          <c:dLbls>
            <c:delete val="1"/>
          </c:dLbls>
          <c:cat>
            <c:strRef>
              <c:f>销售退货统计!$N$3:$U$3</c:f>
              <c:strCache>
                <c:ptCount val="8"/>
                <c:pt idx="0">
                  <c:v>C仓库</c:v>
                </c:pt>
                <c:pt idx="1">
                  <c:v>A仓库</c:v>
                </c:pt>
              </c:strCache>
            </c:strRef>
          </c:cat>
          <c:val>
            <c:numRef>
              <c:f>销售退货统计!$N$4:$U$4</c:f>
              <c:numCache>
                <c:formatCode>General</c:formatCode>
                <c:ptCount val="8"/>
                <c:pt idx="0">
                  <c:v>7</c:v>
                </c:pt>
                <c:pt idx="1">
                  <c:v>2</c:v>
                </c:pt>
              </c:numCache>
            </c:numRef>
          </c:val>
          <c:smooth val="0"/>
        </c:ser>
        <c:dLbls>
          <c:showLegendKey val="0"/>
          <c:showVal val="0"/>
          <c:showCatName val="0"/>
          <c:showSerName val="0"/>
          <c:showPercent val="0"/>
          <c:showBubbleSize val="0"/>
        </c:dLbls>
        <c:marker val="0"/>
        <c:smooth val="0"/>
        <c:axId val="129799557"/>
        <c:axId val="493683554"/>
      </c:lineChart>
      <c:catAx>
        <c:axId val="129799557"/>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493683554"/>
        <c:crosses val="autoZero"/>
        <c:auto val="1"/>
        <c:lblAlgn val="ctr"/>
        <c:lblOffset val="100"/>
        <c:noMultiLvlLbl val="0"/>
      </c:catAx>
      <c:valAx>
        <c:axId val="493683554"/>
        <c:scaling>
          <c:orientation val="minMax"/>
        </c:scaling>
        <c:delete val="0"/>
        <c:axPos val="l"/>
        <c:majorGridlines>
          <c:spPr>
            <a:ln w="9525" cap="flat" cmpd="sng" algn="ctr">
              <a:solidFill>
                <a:schemeClr val="lt1">
                  <a:lumMod val="90200"/>
                </a:schemeClr>
              </a:solidFill>
              <a:round/>
            </a:ln>
            <a:effectLst/>
          </c:spPr>
        </c:majorGridlines>
        <c:numFmt formatCode="General" sourceLinked="1"/>
        <c:majorTickMark val="none"/>
        <c:minorTickMark val="none"/>
        <c:tickLblPos val="nextTo"/>
        <c:spPr>
          <a:noFill/>
          <a:ln>
            <a:noFill/>
          </a:ln>
          <a:effectLst/>
        </c:spPr>
        <c:txPr>
          <a:bodyPr rot="-6000000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129799557"/>
        <c:crosses val="autoZero"/>
        <c:crossBetween val="between"/>
      </c:valAx>
      <c:spPr>
        <a:noFill/>
        <a:ln>
          <a:noFill/>
        </a:ln>
        <a:effectLst/>
      </c:spPr>
    </c:plotArea>
    <c:legend>
      <c:legendPos val="b"/>
      <c:layout/>
      <c:overlay val="0"/>
      <c:spPr>
        <a:noFill/>
        <a:ln>
          <a:noFill/>
        </a:ln>
        <a:effectLst/>
      </c:spPr>
      <c:txPr>
        <a:bodyPr rot="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legend>
    <c:plotVisOnly val="1"/>
    <c:dispBlanksAs val="gap"/>
    <c:showDLblsOverMax val="0"/>
    <c:extLst>
      <c:ext uri="{0b15fc19-7d7d-44ad-8c2d-2c3a37ce22c3}">
        <chartProps xmlns="https://web.wps.cn/et/2018/main" chartId="{2b68a73c-8af1-4aa8-9154-6a3ebcb0f516}"/>
      </c:ext>
    </c:extLst>
  </c:chart>
  <c:spPr>
    <a:solidFill>
      <a:schemeClr val="bg1"/>
    </a:solidFill>
    <a:ln w="9525" cap="flat" cmpd="sng" algn="ctr">
      <a:solidFill>
        <a:schemeClr val="tx1">
          <a:lumMod val="15000"/>
          <a:lumOff val="85000"/>
        </a:schemeClr>
      </a:solidFill>
      <a:round/>
    </a:ln>
    <a:effectLst/>
  </c:spPr>
  <c:txPr>
    <a:bodyPr/>
    <a:lstStyle/>
    <a:p>
      <a:pPr>
        <a:defRPr lang="zh-CN"/>
      </a:pPr>
    </a:p>
  </c:txPr>
  <c:externalData r:id="rId1">
    <c:autoUpdate val="0"/>
  </c:externalData>
</c:chartSpace>
</file>

<file path=xl/charts/chart3.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0" vertOverflow="ellipsis" vert="horz" wrap="square" anchor="ctr" anchorCtr="1"/>
        <a:lstStyle/>
        <a:p>
          <a:pPr>
            <a:defRPr lang="zh-CN" sz="1400" b="1" i="0" u="none" strike="noStrike" kern="1200" baseline="0">
              <a:solidFill>
                <a:schemeClr val="tx1">
                  <a:lumMod val="75000"/>
                  <a:lumOff val="25000"/>
                </a:schemeClr>
              </a:solidFill>
              <a:latin typeface="+mn-lt"/>
              <a:ea typeface="+mn-ea"/>
              <a:cs typeface="+mn-cs"/>
            </a:defRPr>
          </a:pPr>
        </a:p>
      </c:txPr>
    </c:title>
    <c:autoTitleDeleted val="0"/>
    <c:plotArea>
      <c:layout>
        <c:manualLayout>
          <c:layoutTarget val="inner"/>
          <c:xMode val="edge"/>
          <c:yMode val="edge"/>
          <c:x val="0.0631052631578947"/>
          <c:y val="0.173398328690808"/>
          <c:w val="0.907947368421053"/>
          <c:h val="0.606174558960074"/>
        </c:manualLayout>
      </c:layout>
      <c:barChart>
        <c:barDir val="col"/>
        <c:grouping val="clustered"/>
        <c:varyColors val="0"/>
        <c:ser>
          <c:idx val="0"/>
          <c:order val="0"/>
          <c:tx>
            <c:strRef>
              <c:f>"数量"</c:f>
              <c:strCache>
                <c:ptCount val="1"/>
                <c:pt idx="0">
                  <c:v>数量</c:v>
                </c:pt>
              </c:strCache>
            </c:strRef>
          </c:tx>
          <c:spPr>
            <a:solidFill>
              <a:schemeClr val="accent1"/>
            </a:solidFill>
            <a:ln>
              <a:noFill/>
            </a:ln>
            <a:effectLst/>
          </c:spPr>
          <c:invertIfNegative val="0"/>
          <c:dLbls>
            <c:delete val="1"/>
          </c:dLbls>
          <c:cat>
            <c:strRef>
              <c:f>采购退货统计!$N$3:$U$3</c:f>
              <c:strCache>
                <c:ptCount val="8"/>
                <c:pt idx="0">
                  <c:v>C仓库</c:v>
                </c:pt>
                <c:pt idx="1">
                  <c:v>A仓库</c:v>
                </c:pt>
              </c:strCache>
            </c:strRef>
          </c:cat>
          <c:val>
            <c:numRef>
              <c:f>采购退货统计!$N$4:$U$4</c:f>
              <c:numCache>
                <c:formatCode>General</c:formatCode>
                <c:ptCount val="8"/>
                <c:pt idx="0">
                  <c:v>25</c:v>
                </c:pt>
                <c:pt idx="1">
                  <c:v>4</c:v>
                </c:pt>
              </c:numCache>
            </c:numRef>
          </c:val>
        </c:ser>
        <c:dLbls>
          <c:showLegendKey val="0"/>
          <c:showVal val="0"/>
          <c:showCatName val="0"/>
          <c:showSerName val="0"/>
          <c:showPercent val="0"/>
          <c:showBubbleSize val="0"/>
        </c:dLbls>
        <c:gapWidth val="246"/>
        <c:overlap val="-28"/>
        <c:axId val="981913187"/>
        <c:axId val="831286833"/>
      </c:barChart>
      <c:catAx>
        <c:axId val="981913187"/>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831286833"/>
        <c:crosses val="autoZero"/>
        <c:auto val="1"/>
        <c:lblAlgn val="ctr"/>
        <c:lblOffset val="100"/>
        <c:noMultiLvlLbl val="0"/>
      </c:catAx>
      <c:valAx>
        <c:axId val="831286833"/>
        <c:scaling>
          <c:orientation val="minMax"/>
        </c:scaling>
        <c:delete val="0"/>
        <c:axPos val="l"/>
        <c:majorGridlines>
          <c:spPr>
            <a:ln w="9525" cap="flat" cmpd="sng" algn="ctr">
              <a:solidFill>
                <a:schemeClr val="lt1">
                  <a:lumMod val="90200"/>
                </a:schemeClr>
              </a:solidFill>
              <a:round/>
            </a:ln>
            <a:effectLst/>
          </c:spPr>
        </c:majorGridlines>
        <c:numFmt formatCode="General" sourceLinked="1"/>
        <c:majorTickMark val="none"/>
        <c:minorTickMark val="none"/>
        <c:tickLblPos val="nextTo"/>
        <c:spPr>
          <a:noFill/>
          <a:ln>
            <a:noFill/>
          </a:ln>
          <a:effectLst/>
        </c:spPr>
        <c:txPr>
          <a:bodyPr rot="-6000000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981913187"/>
        <c:crosses val="autoZero"/>
        <c:crossBetween val="between"/>
      </c:valAx>
      <c:spPr>
        <a:noFill/>
        <a:ln>
          <a:noFill/>
        </a:ln>
        <a:effectLst/>
      </c:spPr>
    </c:plotArea>
    <c:legend>
      <c:legendPos val="b"/>
      <c:layout/>
      <c:overlay val="0"/>
      <c:spPr>
        <a:noFill/>
        <a:ln>
          <a:noFill/>
        </a:ln>
        <a:effectLst/>
      </c:spPr>
      <c:txPr>
        <a:bodyPr rot="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legend>
    <c:plotVisOnly val="1"/>
    <c:dispBlanksAs val="gap"/>
    <c:showDLblsOverMax val="0"/>
    <c:extLst>
      <c:ext uri="{0b15fc19-7d7d-44ad-8c2d-2c3a37ce22c3}">
        <chartProps xmlns="https://web.wps.cn/et/2018/main" chartId="{172cb74f-b374-482b-9147-02224f02e462}"/>
      </c:ext>
    </c:extLst>
  </c:chart>
  <c:spPr>
    <a:solidFill>
      <a:schemeClr val="bg1"/>
    </a:solidFill>
    <a:ln w="9525" cap="flat" cmpd="sng" algn="ctr">
      <a:solidFill>
        <a:schemeClr val="tx1">
          <a:lumMod val="15000"/>
          <a:lumOff val="85000"/>
        </a:schemeClr>
      </a:solidFill>
      <a:round/>
    </a:ln>
    <a:effectLst/>
  </c:spPr>
  <c:txPr>
    <a:bodyPr/>
    <a:lstStyle/>
    <a:p>
      <a:pPr>
        <a:defRPr lang="zh-CN"/>
      </a:pPr>
    </a:p>
  </c:txPr>
  <c:externalData r:id="rId1">
    <c:autoUpdate val="0"/>
  </c:externalData>
</c:chartSpace>
</file>

<file path=xl/charts/chart4.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0" vertOverflow="ellipsis" vert="horz" wrap="square" anchor="ctr" anchorCtr="1"/>
        <a:lstStyle/>
        <a:p>
          <a:pPr>
            <a:defRPr lang="zh-CN" sz="1400" b="1" i="0" u="none" strike="noStrike" kern="1200" baseline="0">
              <a:solidFill>
                <a:schemeClr val="tx1">
                  <a:lumMod val="75000"/>
                  <a:lumOff val="25000"/>
                </a:schemeClr>
              </a:solidFill>
              <a:latin typeface="+mn-lt"/>
              <a:ea typeface="+mn-ea"/>
              <a:cs typeface="+mn-cs"/>
            </a:defRPr>
          </a:pPr>
        </a:p>
      </c:txPr>
    </c:title>
    <c:autoTitleDeleted val="0"/>
    <c:plotArea>
      <c:layout/>
      <c:lineChart>
        <c:grouping val="standard"/>
        <c:varyColors val="0"/>
        <c:ser>
          <c:idx val="2"/>
          <c:order val="0"/>
          <c:tx>
            <c:strRef>
              <c:f>"数量"</c:f>
              <c:strCache>
                <c:ptCount val="1"/>
                <c:pt idx="0">
                  <c:v>数量</c:v>
                </c:pt>
              </c:strCache>
            </c:strRef>
          </c:tx>
          <c:spPr>
            <a:ln w="28575" cap="rnd">
              <a:solidFill>
                <a:schemeClr val="accent3"/>
              </a:solidFill>
              <a:round/>
            </a:ln>
            <a:effectLst/>
          </c:spPr>
          <c:marker>
            <c:symbol val="none"/>
          </c:marker>
          <c:dLbls>
            <c:delete val="1"/>
          </c:dLbls>
          <c:cat>
            <c:strRef>
              <c:f>采购退货统计!$N$3:$U$3</c:f>
              <c:strCache>
                <c:ptCount val="8"/>
                <c:pt idx="0">
                  <c:v>C仓库</c:v>
                </c:pt>
                <c:pt idx="1">
                  <c:v>A仓库</c:v>
                </c:pt>
              </c:strCache>
            </c:strRef>
          </c:cat>
          <c:val>
            <c:numRef>
              <c:f>采购退货统计!$N$4:$U$4</c:f>
              <c:numCache>
                <c:formatCode>General</c:formatCode>
                <c:ptCount val="8"/>
                <c:pt idx="0">
                  <c:v>25</c:v>
                </c:pt>
                <c:pt idx="1">
                  <c:v>4</c:v>
                </c:pt>
              </c:numCache>
            </c:numRef>
          </c:val>
          <c:smooth val="0"/>
        </c:ser>
        <c:dLbls>
          <c:showLegendKey val="0"/>
          <c:showVal val="0"/>
          <c:showCatName val="0"/>
          <c:showSerName val="0"/>
          <c:showPercent val="0"/>
          <c:showBubbleSize val="0"/>
        </c:dLbls>
        <c:marker val="0"/>
        <c:smooth val="0"/>
        <c:axId val="129799557"/>
        <c:axId val="493683554"/>
      </c:lineChart>
      <c:catAx>
        <c:axId val="129799557"/>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493683554"/>
        <c:crosses val="autoZero"/>
        <c:auto val="1"/>
        <c:lblAlgn val="ctr"/>
        <c:lblOffset val="100"/>
        <c:noMultiLvlLbl val="0"/>
      </c:catAx>
      <c:valAx>
        <c:axId val="493683554"/>
        <c:scaling>
          <c:orientation val="minMax"/>
        </c:scaling>
        <c:delete val="0"/>
        <c:axPos val="l"/>
        <c:majorGridlines>
          <c:spPr>
            <a:ln w="9525" cap="flat" cmpd="sng" algn="ctr">
              <a:solidFill>
                <a:schemeClr val="lt1">
                  <a:lumMod val="90200"/>
                </a:schemeClr>
              </a:solidFill>
              <a:round/>
            </a:ln>
            <a:effectLst/>
          </c:spPr>
        </c:majorGridlines>
        <c:numFmt formatCode="General" sourceLinked="1"/>
        <c:majorTickMark val="none"/>
        <c:minorTickMark val="none"/>
        <c:tickLblPos val="nextTo"/>
        <c:spPr>
          <a:noFill/>
          <a:ln>
            <a:noFill/>
          </a:ln>
          <a:effectLst/>
        </c:spPr>
        <c:txPr>
          <a:bodyPr rot="-6000000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129799557"/>
        <c:crosses val="autoZero"/>
        <c:crossBetween val="between"/>
      </c:valAx>
      <c:spPr>
        <a:noFill/>
        <a:ln>
          <a:noFill/>
        </a:ln>
        <a:effectLst/>
      </c:spPr>
    </c:plotArea>
    <c:legend>
      <c:legendPos val="b"/>
      <c:layout/>
      <c:overlay val="0"/>
      <c:spPr>
        <a:noFill/>
        <a:ln>
          <a:noFill/>
        </a:ln>
        <a:effectLst/>
      </c:spPr>
      <c:txPr>
        <a:bodyPr rot="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legend>
    <c:plotVisOnly val="1"/>
    <c:dispBlanksAs val="gap"/>
    <c:showDLblsOverMax val="0"/>
    <c:extLst>
      <c:ext uri="{0b15fc19-7d7d-44ad-8c2d-2c3a37ce22c3}">
        <chartProps xmlns="https://web.wps.cn/et/2018/main" chartId="{963c6c1f-1854-461e-ad61-b72c55fc712b}"/>
      </c:ext>
    </c:extLst>
  </c:chart>
  <c:spPr>
    <a:solidFill>
      <a:schemeClr val="bg1"/>
    </a:solidFill>
    <a:ln w="9525" cap="flat" cmpd="sng" algn="ctr">
      <a:solidFill>
        <a:schemeClr val="tx1">
          <a:lumMod val="15000"/>
          <a:lumOff val="85000"/>
        </a:schemeClr>
      </a:solidFill>
      <a:round/>
    </a:ln>
    <a:effectLst/>
  </c:spPr>
  <c:txPr>
    <a:bodyPr/>
    <a:lstStyle/>
    <a:p>
      <a:pPr>
        <a:defRPr lang="zh-CN"/>
      </a:pPr>
    </a:p>
  </c:txPr>
  <c:externalData r:id="rId1">
    <c:autoUpdate val="0"/>
  </c:externalData>
</c:chartSpace>
</file>

<file path=xl/charts/chart5.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0" vertOverflow="ellipsis" vert="horz" wrap="square" anchor="ctr" anchorCtr="1"/>
        <a:lstStyle/>
        <a:p>
          <a:pPr>
            <a:defRPr lang="zh-CN" sz="1400" b="1" i="0" u="none" strike="noStrike" kern="1200" baseline="0">
              <a:solidFill>
                <a:schemeClr val="tx1">
                  <a:lumMod val="75000"/>
                  <a:lumOff val="25000"/>
                </a:schemeClr>
              </a:solidFill>
              <a:latin typeface="+mn-lt"/>
              <a:ea typeface="+mn-ea"/>
              <a:cs typeface="+mn-cs"/>
            </a:defRPr>
          </a:pPr>
        </a:p>
      </c:txPr>
    </c:title>
    <c:autoTitleDeleted val="0"/>
    <c:plotArea>
      <c:layout>
        <c:manualLayout>
          <c:layoutTarget val="inner"/>
          <c:xMode val="edge"/>
          <c:yMode val="edge"/>
          <c:x val="0.0631052631578947"/>
          <c:y val="0.173398328690808"/>
          <c:w val="0.907947368421053"/>
          <c:h val="0.606174558960074"/>
        </c:manualLayout>
      </c:layout>
      <c:barChart>
        <c:barDir val="col"/>
        <c:grouping val="clustered"/>
        <c:varyColors val="0"/>
        <c:ser>
          <c:idx val="0"/>
          <c:order val="0"/>
          <c:tx>
            <c:strRef>
              <c:f>"数量"</c:f>
              <c:strCache>
                <c:ptCount val="1"/>
                <c:pt idx="0">
                  <c:v>数量</c:v>
                </c:pt>
              </c:strCache>
            </c:strRef>
          </c:tx>
          <c:spPr>
            <a:solidFill>
              <a:schemeClr val="accent1"/>
            </a:solidFill>
            <a:ln>
              <a:noFill/>
            </a:ln>
            <a:effectLst/>
          </c:spPr>
          <c:invertIfNegative val="0"/>
          <c:dLbls>
            <c:delete val="1"/>
          </c:dLbls>
          <c:cat>
            <c:strRef>
              <c:f>进出明细统计!$N$3:$U$3</c:f>
              <c:strCache>
                <c:ptCount val="8"/>
                <c:pt idx="0">
                  <c:v>C仓库</c:v>
                </c:pt>
                <c:pt idx="1">
                  <c:v>A仓库</c:v>
                </c:pt>
              </c:strCache>
            </c:strRef>
          </c:cat>
          <c:val>
            <c:numRef>
              <c:f>进出明细统计!$N$4:$U$4</c:f>
              <c:numCache>
                <c:formatCode>General</c:formatCode>
                <c:ptCount val="8"/>
                <c:pt idx="0">
                  <c:v>2</c:v>
                </c:pt>
                <c:pt idx="1">
                  <c:v>1</c:v>
                </c:pt>
              </c:numCache>
            </c:numRef>
          </c:val>
        </c:ser>
        <c:dLbls>
          <c:showLegendKey val="0"/>
          <c:showVal val="0"/>
          <c:showCatName val="0"/>
          <c:showSerName val="0"/>
          <c:showPercent val="0"/>
          <c:showBubbleSize val="0"/>
        </c:dLbls>
        <c:gapWidth val="246"/>
        <c:overlap val="-28"/>
        <c:axId val="981913187"/>
        <c:axId val="831286833"/>
      </c:barChart>
      <c:catAx>
        <c:axId val="981913187"/>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831286833"/>
        <c:crosses val="autoZero"/>
        <c:auto val="1"/>
        <c:lblAlgn val="ctr"/>
        <c:lblOffset val="100"/>
        <c:noMultiLvlLbl val="0"/>
      </c:catAx>
      <c:valAx>
        <c:axId val="831286833"/>
        <c:scaling>
          <c:orientation val="minMax"/>
        </c:scaling>
        <c:delete val="0"/>
        <c:axPos val="l"/>
        <c:majorGridlines>
          <c:spPr>
            <a:ln w="9525" cap="flat" cmpd="sng" algn="ctr">
              <a:solidFill>
                <a:schemeClr val="lt1">
                  <a:lumMod val="90200"/>
                </a:schemeClr>
              </a:solidFill>
              <a:round/>
            </a:ln>
            <a:effectLst/>
          </c:spPr>
        </c:majorGridlines>
        <c:numFmt formatCode="General" sourceLinked="1"/>
        <c:majorTickMark val="none"/>
        <c:minorTickMark val="none"/>
        <c:tickLblPos val="nextTo"/>
        <c:spPr>
          <a:noFill/>
          <a:ln>
            <a:noFill/>
          </a:ln>
          <a:effectLst/>
        </c:spPr>
        <c:txPr>
          <a:bodyPr rot="-6000000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981913187"/>
        <c:crosses val="autoZero"/>
        <c:crossBetween val="between"/>
      </c:valAx>
      <c:spPr>
        <a:noFill/>
        <a:ln>
          <a:noFill/>
        </a:ln>
        <a:effectLst/>
      </c:spPr>
    </c:plotArea>
    <c:legend>
      <c:legendPos val="b"/>
      <c:layout/>
      <c:overlay val="0"/>
      <c:spPr>
        <a:noFill/>
        <a:ln>
          <a:noFill/>
        </a:ln>
        <a:effectLst/>
      </c:spPr>
      <c:txPr>
        <a:bodyPr rot="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legend>
    <c:plotVisOnly val="1"/>
    <c:dispBlanksAs val="gap"/>
    <c:showDLblsOverMax val="0"/>
    <c:extLst>
      <c:ext uri="{0b15fc19-7d7d-44ad-8c2d-2c3a37ce22c3}">
        <chartProps xmlns="https://web.wps.cn/et/2018/main" chartId="{172cb74f-b374-482b-9147-02224f02e462}"/>
      </c:ext>
    </c:extLst>
  </c:chart>
  <c:spPr>
    <a:solidFill>
      <a:schemeClr val="bg1"/>
    </a:solidFill>
    <a:ln w="9525" cap="flat" cmpd="sng" algn="ctr">
      <a:solidFill>
        <a:schemeClr val="tx1">
          <a:lumMod val="15000"/>
          <a:lumOff val="85000"/>
        </a:schemeClr>
      </a:solidFill>
      <a:round/>
    </a:ln>
    <a:effectLst/>
  </c:spPr>
  <c:txPr>
    <a:bodyPr/>
    <a:lstStyle/>
    <a:p>
      <a:pPr>
        <a:defRPr lang="zh-CN"/>
      </a:pPr>
    </a:p>
  </c:txPr>
  <c:externalData r:id="rId1">
    <c:autoUpdate val="0"/>
  </c:externalData>
</c:chartSpace>
</file>

<file path=xl/charts/chart6.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0" vertOverflow="ellipsis" vert="horz" wrap="square" anchor="ctr" anchorCtr="1"/>
        <a:lstStyle/>
        <a:p>
          <a:pPr>
            <a:defRPr lang="zh-CN" sz="1400" b="1" i="0" u="none" strike="noStrike" kern="1200" baseline="0">
              <a:solidFill>
                <a:schemeClr val="tx1">
                  <a:lumMod val="75000"/>
                  <a:lumOff val="25000"/>
                </a:schemeClr>
              </a:solidFill>
              <a:latin typeface="+mn-lt"/>
              <a:ea typeface="+mn-ea"/>
              <a:cs typeface="+mn-cs"/>
            </a:defRPr>
          </a:pPr>
        </a:p>
      </c:txPr>
    </c:title>
    <c:autoTitleDeleted val="0"/>
    <c:plotArea>
      <c:layout/>
      <c:lineChart>
        <c:grouping val="standard"/>
        <c:varyColors val="0"/>
        <c:ser>
          <c:idx val="2"/>
          <c:order val="0"/>
          <c:tx>
            <c:strRef>
              <c:f>"数量"</c:f>
              <c:strCache>
                <c:ptCount val="1"/>
                <c:pt idx="0">
                  <c:v>数量</c:v>
                </c:pt>
              </c:strCache>
            </c:strRef>
          </c:tx>
          <c:spPr>
            <a:ln w="28575" cap="rnd">
              <a:solidFill>
                <a:schemeClr val="accent3"/>
              </a:solidFill>
              <a:round/>
            </a:ln>
            <a:effectLst/>
          </c:spPr>
          <c:marker>
            <c:symbol val="none"/>
          </c:marker>
          <c:dLbls>
            <c:delete val="1"/>
          </c:dLbls>
          <c:cat>
            <c:strRef>
              <c:f>进出明细统计!$N$3:$U$3</c:f>
              <c:strCache>
                <c:ptCount val="8"/>
                <c:pt idx="0">
                  <c:v>C仓库</c:v>
                </c:pt>
                <c:pt idx="1">
                  <c:v>A仓库</c:v>
                </c:pt>
              </c:strCache>
            </c:strRef>
          </c:cat>
          <c:val>
            <c:numRef>
              <c:f>进出明细统计!$N$4:$U$4</c:f>
              <c:numCache>
                <c:formatCode>General</c:formatCode>
                <c:ptCount val="8"/>
                <c:pt idx="0">
                  <c:v>2</c:v>
                </c:pt>
                <c:pt idx="1">
                  <c:v>1</c:v>
                </c:pt>
              </c:numCache>
            </c:numRef>
          </c:val>
          <c:smooth val="0"/>
        </c:ser>
        <c:dLbls>
          <c:showLegendKey val="0"/>
          <c:showVal val="0"/>
          <c:showCatName val="0"/>
          <c:showSerName val="0"/>
          <c:showPercent val="0"/>
          <c:showBubbleSize val="0"/>
        </c:dLbls>
        <c:marker val="0"/>
        <c:smooth val="0"/>
        <c:axId val="129799557"/>
        <c:axId val="493683554"/>
      </c:lineChart>
      <c:catAx>
        <c:axId val="129799557"/>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493683554"/>
        <c:crosses val="autoZero"/>
        <c:auto val="1"/>
        <c:lblAlgn val="ctr"/>
        <c:lblOffset val="100"/>
        <c:noMultiLvlLbl val="0"/>
      </c:catAx>
      <c:valAx>
        <c:axId val="493683554"/>
        <c:scaling>
          <c:orientation val="minMax"/>
        </c:scaling>
        <c:delete val="0"/>
        <c:axPos val="l"/>
        <c:majorGridlines>
          <c:spPr>
            <a:ln w="9525" cap="flat" cmpd="sng" algn="ctr">
              <a:solidFill>
                <a:schemeClr val="lt1">
                  <a:lumMod val="90200"/>
                </a:schemeClr>
              </a:solidFill>
              <a:round/>
            </a:ln>
            <a:effectLst/>
          </c:spPr>
        </c:majorGridlines>
        <c:numFmt formatCode="General" sourceLinked="1"/>
        <c:majorTickMark val="none"/>
        <c:minorTickMark val="none"/>
        <c:tickLblPos val="nextTo"/>
        <c:spPr>
          <a:noFill/>
          <a:ln>
            <a:noFill/>
          </a:ln>
          <a:effectLst/>
        </c:spPr>
        <c:txPr>
          <a:bodyPr rot="-6000000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129799557"/>
        <c:crosses val="autoZero"/>
        <c:crossBetween val="between"/>
      </c:valAx>
      <c:spPr>
        <a:noFill/>
        <a:ln>
          <a:noFill/>
        </a:ln>
        <a:effectLst/>
      </c:spPr>
    </c:plotArea>
    <c:legend>
      <c:legendPos val="b"/>
      <c:layout/>
      <c:overlay val="0"/>
      <c:spPr>
        <a:noFill/>
        <a:ln>
          <a:noFill/>
        </a:ln>
        <a:effectLst/>
      </c:spPr>
      <c:txPr>
        <a:bodyPr rot="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legend>
    <c:plotVisOnly val="1"/>
    <c:dispBlanksAs val="gap"/>
    <c:showDLblsOverMax val="0"/>
    <c:extLst>
      <c:ext uri="{0b15fc19-7d7d-44ad-8c2d-2c3a37ce22c3}">
        <chartProps xmlns="https://web.wps.cn/et/2018/main" chartId="{963c6c1f-1854-461e-ad61-b72c55fc712b}"/>
      </c:ext>
    </c:extLst>
  </c:chart>
  <c:spPr>
    <a:solidFill>
      <a:schemeClr val="bg1"/>
    </a:solidFill>
    <a:ln w="9525" cap="flat" cmpd="sng" algn="ctr">
      <a:solidFill>
        <a:schemeClr val="tx1">
          <a:lumMod val="15000"/>
          <a:lumOff val="85000"/>
        </a:schemeClr>
      </a:solidFill>
      <a:round/>
    </a:ln>
    <a:effectLst/>
  </c:spPr>
  <c:txPr>
    <a:bodyPr/>
    <a:lstStyle/>
    <a:p>
      <a:pPr>
        <a:defRPr lang="zh-CN"/>
      </a:pPr>
    </a:p>
  </c:txPr>
  <c:externalData r:id="rId1">
    <c:autoUpdate val="0"/>
  </c:externalData>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0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10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1000" kern="1200"/>
    <cs:bodyPr rot="0" spcFirstLastPara="1" vertOverflow="clip" horzOverflow="clip" vert="horz" wrap="square" lIns="36576" tIns="18288" rIns="36576" bIns="18288" anchor="ctr" anchorCtr="1">
      <a:spAutoFit/>
    </cs:bodyPr>
  </cs:dataLabelCallout>
  <cs:dataPoint>
    <cs:lnRef idx="0">
      <cs:styleClr val="auto"/>
    </cs:lnRef>
    <cs:fillRef idx="1">
      <cs:styleClr val="auto"/>
    </cs:fillRef>
    <cs:effectRef idx="0"/>
    <cs:fontRef idx="minor">
      <a:schemeClr val="dk1"/>
    </cs:fontRef>
    <cs:spPr>
      <a:ln>
        <a:noFill/>
      </a:ln>
      <a:effectLst/>
    </cs:spPr>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lt1">
            <a:lumMod val="902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75000"/>
        <a:lumOff val="25000"/>
      </a:schemeClr>
    </cs:fontRef>
    <cs:defRPr sz="1400" b="1" kern="120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10028">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10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10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0">
      <cs:styleClr val="auto"/>
    </cs:fillRef>
    <cs:effectRef idx="0"/>
    <cs:fontRef idx="minor">
      <a:schemeClr val="dk1"/>
    </cs:fontRef>
    <cs:spPr>
      <a:ln w="28575" cap="rnd">
        <a:solidFill>
          <a:schemeClr val="phClr"/>
        </a:solidFill>
        <a:round/>
      </a:ln>
      <a:effectLst/>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lt1">
            <a:lumMod val="902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75000"/>
        <a:lumOff val="25000"/>
      </a:schemeClr>
    </cs:fontRef>
    <cs:defRPr sz="1400" b="1" kern="120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100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10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1000" kern="1200"/>
    <cs:bodyPr rot="0" spcFirstLastPara="1" vertOverflow="clip" horzOverflow="clip" vert="horz" wrap="square" lIns="36576" tIns="18288" rIns="36576" bIns="18288" anchor="ctr" anchorCtr="1">
      <a:spAutoFit/>
    </cs:bodyPr>
  </cs:dataLabelCallout>
  <cs:dataPoint>
    <cs:lnRef idx="0">
      <cs:styleClr val="auto"/>
    </cs:lnRef>
    <cs:fillRef idx="1">
      <cs:styleClr val="auto"/>
    </cs:fillRef>
    <cs:effectRef idx="0"/>
    <cs:fontRef idx="minor">
      <a:schemeClr val="dk1"/>
    </cs:fontRef>
    <cs:spPr>
      <a:ln>
        <a:noFill/>
      </a:ln>
      <a:effectLst/>
    </cs:spPr>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lt1">
            <a:lumMod val="902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75000"/>
        <a:lumOff val="25000"/>
      </a:schemeClr>
    </cs:fontRef>
    <cs:defRPr sz="1400" b="1" kern="120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10028">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10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10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0">
      <cs:styleClr val="auto"/>
    </cs:fillRef>
    <cs:effectRef idx="0"/>
    <cs:fontRef idx="minor">
      <a:schemeClr val="dk1"/>
    </cs:fontRef>
    <cs:spPr>
      <a:ln w="28575" cap="rnd">
        <a:solidFill>
          <a:schemeClr val="phClr"/>
        </a:solidFill>
        <a:round/>
      </a:ln>
      <a:effectLst/>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lt1">
            <a:lumMod val="902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75000"/>
        <a:lumOff val="25000"/>
      </a:schemeClr>
    </cs:fontRef>
    <cs:defRPr sz="1400" b="1" kern="120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100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10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1000" kern="1200"/>
    <cs:bodyPr rot="0" spcFirstLastPara="1" vertOverflow="clip" horzOverflow="clip" vert="horz" wrap="square" lIns="36576" tIns="18288" rIns="36576" bIns="18288" anchor="ctr" anchorCtr="1">
      <a:spAutoFit/>
    </cs:bodyPr>
  </cs:dataLabelCallout>
  <cs:dataPoint>
    <cs:lnRef idx="0">
      <cs:styleClr val="auto"/>
    </cs:lnRef>
    <cs:fillRef idx="1">
      <cs:styleClr val="auto"/>
    </cs:fillRef>
    <cs:effectRef idx="0"/>
    <cs:fontRef idx="minor">
      <a:schemeClr val="dk1"/>
    </cs:fontRef>
    <cs:spPr>
      <a:ln>
        <a:noFill/>
      </a:ln>
      <a:effectLst/>
    </cs:spPr>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lt1">
            <a:lumMod val="902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75000"/>
        <a:lumOff val="25000"/>
      </a:schemeClr>
    </cs:fontRef>
    <cs:defRPr sz="1400" b="1" kern="120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10028">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10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10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0">
      <cs:styleClr val="auto"/>
    </cs:fillRef>
    <cs:effectRef idx="0"/>
    <cs:fontRef idx="minor">
      <a:schemeClr val="dk1"/>
    </cs:fontRef>
    <cs:spPr>
      <a:ln w="28575" cap="rnd">
        <a:solidFill>
          <a:schemeClr val="phClr"/>
        </a:solidFill>
        <a:round/>
      </a:ln>
      <a:effectLst/>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lt1">
            <a:lumMod val="902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75000"/>
        <a:lumOff val="25000"/>
      </a:schemeClr>
    </cs:fontRef>
    <cs:defRPr sz="1400" b="1" kern="120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9" Type="http://schemas.openxmlformats.org/officeDocument/2006/relationships/hyperlink" Target="#&#36827;&#38144;&#23384;!A1"/><Relationship Id="rId8" Type="http://schemas.openxmlformats.org/officeDocument/2006/relationships/hyperlink" Target="#&#26126;&#32454;!A1"/><Relationship Id="rId7" Type="http://schemas.openxmlformats.org/officeDocument/2006/relationships/hyperlink" Target="#&#26399;&#21021;&#25968;!A1"/><Relationship Id="rId6" Type="http://schemas.openxmlformats.org/officeDocument/2006/relationships/hyperlink" Target="#&#20837;&#24211;!A1"/><Relationship Id="rId5" Type="http://schemas.openxmlformats.org/officeDocument/2006/relationships/hyperlink" Target="#&#22522;&#30784;&#36164;&#26009;!A1"/><Relationship Id="rId4" Type="http://schemas.openxmlformats.org/officeDocument/2006/relationships/hyperlink" Target="#'&#23458;&#25143;|&#20379;&#24212;&#21830;&#26597;&#35810;'!A1"/><Relationship Id="rId3" Type="http://schemas.openxmlformats.org/officeDocument/2006/relationships/hyperlink" Target="#&#20379;&#24212;&#21830;&#36164;&#26009;!A1"/><Relationship Id="rId26" Type="http://schemas.openxmlformats.org/officeDocument/2006/relationships/hyperlink" Target="#&#20179;&#24211;&#36164;&#26009;!A1"/><Relationship Id="rId25" Type="http://schemas.openxmlformats.org/officeDocument/2006/relationships/hyperlink" Target="#&#26399;&#26411;&#25968;!A1"/><Relationship Id="rId24" Type="http://schemas.openxmlformats.org/officeDocument/2006/relationships/hyperlink" Target="#&#24211;&#23384;&#31215;&#21387;&#32479;&#35745;!A1"/><Relationship Id="rId23" Type="http://schemas.openxmlformats.org/officeDocument/2006/relationships/hyperlink" Target="#&#37319;&#36141;&#26410;&#20837;&#24211;&#26126;&#32454;!A1"/><Relationship Id="rId22" Type="http://schemas.openxmlformats.org/officeDocument/2006/relationships/hyperlink" Target="#&#36827;&#20986;&#26126;&#32454;&#32479;&#35745;!A1"/><Relationship Id="rId21" Type="http://schemas.openxmlformats.org/officeDocument/2006/relationships/hyperlink" Target="#&#37319;&#36141;&#21333;!A1"/><Relationship Id="rId20" Type="http://schemas.openxmlformats.org/officeDocument/2006/relationships/hyperlink" Target="#&#37319;&#36141;&#36864;&#36135;&#32479;&#35745;!A1"/><Relationship Id="rId2" Type="http://schemas.openxmlformats.org/officeDocument/2006/relationships/hyperlink" Target="#&#23458;&#25143;&#36164;&#26009;!A1"/><Relationship Id="rId19" Type="http://schemas.openxmlformats.org/officeDocument/2006/relationships/hyperlink" Target="#&#38144;&#21806;&#36864;&#36135;&#32479;&#35745;!A1"/><Relationship Id="rId18" Type="http://schemas.openxmlformats.org/officeDocument/2006/relationships/hyperlink" Target="#&#37319;&#36141;&#36864;&#36135;!A1"/><Relationship Id="rId17" Type="http://schemas.openxmlformats.org/officeDocument/2006/relationships/hyperlink" Target="#&#38144;&#21806;&#36864;&#36135;!A1"/><Relationship Id="rId16" Type="http://schemas.openxmlformats.org/officeDocument/2006/relationships/hyperlink" Target="#&#24211;&#23384;&#30424;&#28857;!A1"/><Relationship Id="rId15" Type="http://schemas.openxmlformats.org/officeDocument/2006/relationships/hyperlink" Target="#&#24211;&#23384;&#35843;&#25320;!A1"/><Relationship Id="rId14" Type="http://schemas.openxmlformats.org/officeDocument/2006/relationships/hyperlink" Target="#&#21830;&#21697;&#36827;&#20986;&#26597;&#35810;!A1"/><Relationship Id="rId13" Type="http://schemas.openxmlformats.org/officeDocument/2006/relationships/hyperlink" Target="#&#20108;&#32500;&#30721;&#25171;&#21360;!A1"/><Relationship Id="rId12" Type="http://schemas.openxmlformats.org/officeDocument/2006/relationships/hyperlink" Target="#&#20986;&#24211;!A1"/><Relationship Id="rId11" Type="http://schemas.openxmlformats.org/officeDocument/2006/relationships/hyperlink" Target="#&#29992;&#25143;&#31649;&#29702;!A1"/><Relationship Id="rId10" Type="http://schemas.openxmlformats.org/officeDocument/2006/relationships/hyperlink" Target="#&#31508;&#35760;!A1"/><Relationship Id="rId1" Type="http://schemas.openxmlformats.org/officeDocument/2006/relationships/hyperlink" Target="#&#35828;&#26126;&#20070;!A1"/></Relationships>
</file>

<file path=xl/drawings/_rels/drawing2.xml.rels><?xml version="1.0" encoding="UTF-8" standalone="yes"?>
<Relationships xmlns="http://schemas.openxmlformats.org/package/2006/relationships"><Relationship Id="rId2" Type="http://schemas.openxmlformats.org/officeDocument/2006/relationships/hyperlink" Target="#&#39318;&#39029;!A1"/><Relationship Id="rId1" Type="http://schemas.openxmlformats.org/officeDocument/2006/relationships/hyperlink" Target="https://pan.baidu.com/s/1UrE5K2zft-5EBY0DIuGTFA" TargetMode="External"/></Relationships>
</file>

<file path=xl/drawings/_rels/drawing7.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8.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9.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10.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11.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12.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13.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15.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16.xml.rels><?xml version="1.0" encoding="UTF-8" standalone="yes"?>
<Relationships xmlns="http://schemas.openxmlformats.org/package/2006/relationships"><Relationship Id="rId9" Type="http://schemas.openxmlformats.org/officeDocument/2006/relationships/hyperlink" Target="#&#36827;&#20986;&#26126;&#32454;&#32479;&#35745;!A1"/><Relationship Id="rId8" Type="http://schemas.openxmlformats.org/officeDocument/2006/relationships/hyperlink" Target="#&#37319;&#36141;&#36864;&#36135;&#32479;&#35745;!A1"/><Relationship Id="rId7" Type="http://schemas.openxmlformats.org/officeDocument/2006/relationships/hyperlink" Target="#&#38144;&#21806;&#36864;&#36135;&#32479;&#35745;!A1"/><Relationship Id="rId6" Type="http://schemas.openxmlformats.org/officeDocument/2006/relationships/hyperlink" Target="#&#37319;&#36141;&#36864;&#36135;!A1"/><Relationship Id="rId5" Type="http://schemas.openxmlformats.org/officeDocument/2006/relationships/hyperlink" Target="#&#38144;&#21806;&#36864;&#36135;!A1"/><Relationship Id="rId4" Type="http://schemas.openxmlformats.org/officeDocument/2006/relationships/hyperlink" Target="#&#24211;&#23384;&#30424;&#28857;!A1"/><Relationship Id="rId3" Type="http://schemas.openxmlformats.org/officeDocument/2006/relationships/hyperlink" Target="#&#24211;&#23384;&#35843;&#25320;!A1"/><Relationship Id="rId2" Type="http://schemas.openxmlformats.org/officeDocument/2006/relationships/chart" Target="../charts/chart2.xml"/><Relationship Id="rId14" Type="http://schemas.openxmlformats.org/officeDocument/2006/relationships/hyperlink" Target="#&#37319;&#36141;&#26410;&#20837;&#24211;&#26126;&#32454;!A1"/><Relationship Id="rId13" Type="http://schemas.openxmlformats.org/officeDocument/2006/relationships/hyperlink" Target="#&#20179;&#24211;&#36164;&#26009;!A1"/><Relationship Id="rId12" Type="http://schemas.openxmlformats.org/officeDocument/2006/relationships/hyperlink" Target="#&#26399;&#26411;&#25968;!A1"/><Relationship Id="rId11" Type="http://schemas.openxmlformats.org/officeDocument/2006/relationships/hyperlink" Target="#&#24211;&#23384;&#31215;&#21387;&#32479;&#35745;!A1"/><Relationship Id="rId10" Type="http://schemas.openxmlformats.org/officeDocument/2006/relationships/hyperlink" Target="#&#37319;&#36141;&#21333;!A1"/><Relationship Id="rId1" Type="http://schemas.openxmlformats.org/officeDocument/2006/relationships/chart" Target="../charts/chart1.xml"/></Relationships>
</file>

<file path=xl/drawings/_rels/drawing17.xml.rels><?xml version="1.0" encoding="UTF-8" standalone="yes"?>
<Relationships xmlns="http://schemas.openxmlformats.org/package/2006/relationships"><Relationship Id="rId9" Type="http://schemas.openxmlformats.org/officeDocument/2006/relationships/hyperlink" Target="#&#36827;&#20986;&#26126;&#32454;&#32479;&#35745;!A1"/><Relationship Id="rId8" Type="http://schemas.openxmlformats.org/officeDocument/2006/relationships/hyperlink" Target="#&#37319;&#36141;&#36864;&#36135;&#32479;&#35745;!A1"/><Relationship Id="rId7" Type="http://schemas.openxmlformats.org/officeDocument/2006/relationships/hyperlink" Target="#&#38144;&#21806;&#36864;&#36135;&#32479;&#35745;!A1"/><Relationship Id="rId6" Type="http://schemas.openxmlformats.org/officeDocument/2006/relationships/hyperlink" Target="#&#37319;&#36141;&#36864;&#36135;!A1"/><Relationship Id="rId5" Type="http://schemas.openxmlformats.org/officeDocument/2006/relationships/hyperlink" Target="#&#38144;&#21806;&#36864;&#36135;!A1"/><Relationship Id="rId4" Type="http://schemas.openxmlformats.org/officeDocument/2006/relationships/hyperlink" Target="#&#24211;&#23384;&#30424;&#28857;!A1"/><Relationship Id="rId3" Type="http://schemas.openxmlformats.org/officeDocument/2006/relationships/hyperlink" Target="#&#24211;&#23384;&#35843;&#25320;!A1"/><Relationship Id="rId2" Type="http://schemas.openxmlformats.org/officeDocument/2006/relationships/chart" Target="../charts/chart4.xml"/><Relationship Id="rId14" Type="http://schemas.openxmlformats.org/officeDocument/2006/relationships/hyperlink" Target="#&#37319;&#36141;&#26410;&#20837;&#24211;&#26126;&#32454;!A1"/><Relationship Id="rId13" Type="http://schemas.openxmlformats.org/officeDocument/2006/relationships/hyperlink" Target="#&#20179;&#24211;&#36164;&#26009;!A1"/><Relationship Id="rId12" Type="http://schemas.openxmlformats.org/officeDocument/2006/relationships/hyperlink" Target="#&#26399;&#26411;&#25968;!A1"/><Relationship Id="rId11" Type="http://schemas.openxmlformats.org/officeDocument/2006/relationships/hyperlink" Target="#&#24211;&#23384;&#31215;&#21387;&#32479;&#35745;!A1"/><Relationship Id="rId10" Type="http://schemas.openxmlformats.org/officeDocument/2006/relationships/hyperlink" Target="#&#37319;&#36141;&#21333;!A1"/><Relationship Id="rId1" Type="http://schemas.openxmlformats.org/officeDocument/2006/relationships/chart" Target="../charts/chart3.xml"/></Relationships>
</file>

<file path=xl/drawings/_rels/drawing18.xml.rels><?xml version="1.0" encoding="UTF-8" standalone="yes"?>
<Relationships xmlns="http://schemas.openxmlformats.org/package/2006/relationships"><Relationship Id="rId9" Type="http://schemas.openxmlformats.org/officeDocument/2006/relationships/hyperlink" Target="#&#36827;&#20986;&#26126;&#32454;&#32479;&#35745;!A1"/><Relationship Id="rId8" Type="http://schemas.openxmlformats.org/officeDocument/2006/relationships/hyperlink" Target="#&#37319;&#36141;&#36864;&#36135;&#32479;&#35745;!A1"/><Relationship Id="rId7" Type="http://schemas.openxmlformats.org/officeDocument/2006/relationships/hyperlink" Target="#&#38144;&#21806;&#36864;&#36135;&#32479;&#35745;!A1"/><Relationship Id="rId6" Type="http://schemas.openxmlformats.org/officeDocument/2006/relationships/hyperlink" Target="#&#37319;&#36141;&#36864;&#36135;!A1"/><Relationship Id="rId5" Type="http://schemas.openxmlformats.org/officeDocument/2006/relationships/hyperlink" Target="#&#38144;&#21806;&#36864;&#36135;!A1"/><Relationship Id="rId4" Type="http://schemas.openxmlformats.org/officeDocument/2006/relationships/hyperlink" Target="#&#24211;&#23384;&#30424;&#28857;!A1"/><Relationship Id="rId3" Type="http://schemas.openxmlformats.org/officeDocument/2006/relationships/hyperlink" Target="#&#24211;&#23384;&#35843;&#25320;!A1"/><Relationship Id="rId2" Type="http://schemas.openxmlformats.org/officeDocument/2006/relationships/chart" Target="../charts/chart6.xml"/><Relationship Id="rId14" Type="http://schemas.openxmlformats.org/officeDocument/2006/relationships/hyperlink" Target="#&#37319;&#36141;&#26410;&#20837;&#24211;&#26126;&#32454;!A1"/><Relationship Id="rId13" Type="http://schemas.openxmlformats.org/officeDocument/2006/relationships/hyperlink" Target="#&#20179;&#24211;&#36164;&#26009;!A1"/><Relationship Id="rId12" Type="http://schemas.openxmlformats.org/officeDocument/2006/relationships/hyperlink" Target="#&#26399;&#26411;&#25968;!A1"/><Relationship Id="rId11" Type="http://schemas.openxmlformats.org/officeDocument/2006/relationships/hyperlink" Target="#&#24211;&#23384;&#31215;&#21387;&#32479;&#35745;!A1"/><Relationship Id="rId10" Type="http://schemas.openxmlformats.org/officeDocument/2006/relationships/hyperlink" Target="#&#37319;&#36141;&#21333;!A1"/><Relationship Id="rId1" Type="http://schemas.openxmlformats.org/officeDocument/2006/relationships/chart" Target="../charts/chart5.xml"/></Relationships>
</file>

<file path=xl/drawings/_rels/drawing19.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27.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30.x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7.vml.rels><?xml version="1.0" encoding="UTF-8" standalone="yes"?>
<Relationships xmlns="http://schemas.openxmlformats.org/package/2006/relationships"><Relationship Id="rId1" Type="http://schemas.openxmlformats.org/officeDocument/2006/relationships/image" Target="../media/image1.wmf"/></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9</xdr:col>
      <xdr:colOff>266065</xdr:colOff>
      <xdr:row>0</xdr:row>
      <xdr:rowOff>0</xdr:rowOff>
    </xdr:from>
    <xdr:to>
      <xdr:col>40</xdr:col>
      <xdr:colOff>133350</xdr:colOff>
      <xdr:row>23</xdr:row>
      <xdr:rowOff>77470</xdr:rowOff>
    </xdr:to>
    <xdr:sp>
      <xdr:nvSpPr>
        <xdr:cNvPr id="9" name="同侧圆角矩形 30"/>
        <xdr:cNvSpPr/>
      </xdr:nvSpPr>
      <xdr:spPr>
        <a:xfrm rot="5400000" flipH="1">
          <a:off x="4431030" y="-1678940"/>
          <a:ext cx="5072380" cy="8430260"/>
        </a:xfrm>
        <a:prstGeom prst="round2SameRect">
          <a:avLst>
            <a:gd name="adj1" fmla="val 4183"/>
            <a:gd name="adj2" fmla="val 0"/>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clientData/>
  </xdr:twoCellAnchor>
  <xdr:twoCellAnchor>
    <xdr:from>
      <xdr:col>0</xdr:col>
      <xdr:colOff>4445</xdr:colOff>
      <xdr:row>0</xdr:row>
      <xdr:rowOff>0</xdr:rowOff>
    </xdr:from>
    <xdr:to>
      <xdr:col>9</xdr:col>
      <xdr:colOff>257175</xdr:colOff>
      <xdr:row>23</xdr:row>
      <xdr:rowOff>76835</xdr:rowOff>
    </xdr:to>
    <xdr:sp>
      <xdr:nvSpPr>
        <xdr:cNvPr id="25" name="同侧圆角矩形 32"/>
        <xdr:cNvSpPr/>
      </xdr:nvSpPr>
      <xdr:spPr>
        <a:xfrm rot="16200000">
          <a:off x="-1162050" y="1166495"/>
          <a:ext cx="5071745" cy="2738755"/>
        </a:xfrm>
        <a:prstGeom prst="round2SameRect">
          <a:avLst>
            <a:gd name="adj1" fmla="val 9274"/>
            <a:gd name="adj2" fmla="val 0"/>
          </a:avLst>
        </a:prstGeom>
        <a:gradFill>
          <a:gsLst>
            <a:gs pos="100000">
              <a:schemeClr val="tx1">
                <a:lumMod val="50000"/>
                <a:lumOff val="50000"/>
              </a:schemeClr>
            </a:gs>
            <a:gs pos="22000">
              <a:schemeClr val="tx1">
                <a:lumMod val="85000"/>
                <a:lumOff val="15000"/>
              </a:schemeClr>
            </a:gs>
          </a:gsLst>
          <a:lin ang="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clientData/>
  </xdr:twoCellAnchor>
  <xdr:twoCellAnchor>
    <xdr:from>
      <xdr:col>34</xdr:col>
      <xdr:colOff>142875</xdr:colOff>
      <xdr:row>20</xdr:row>
      <xdr:rowOff>172085</xdr:rowOff>
    </xdr:from>
    <xdr:to>
      <xdr:col>39</xdr:col>
      <xdr:colOff>218440</xdr:colOff>
      <xdr:row>22</xdr:row>
      <xdr:rowOff>189865</xdr:rowOff>
    </xdr:to>
    <xdr:sp>
      <xdr:nvSpPr>
        <xdr:cNvPr id="31" name="圆角矩形 24">
          <a:hlinkClick xmlns:r="http://schemas.openxmlformats.org/officeDocument/2006/relationships" r:id="rId1"/>
        </xdr:cNvPr>
        <xdr:cNvSpPr/>
      </xdr:nvSpPr>
      <xdr:spPr>
        <a:xfrm>
          <a:off x="9534525" y="4515485"/>
          <a:ext cx="1456690" cy="45212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solidFill>
                <a:schemeClr val="bg1"/>
              </a:solidFill>
              <a:latin typeface="微软雅黑" panose="020B0503020204020204" charset="-122"/>
              <a:ea typeface="微软雅黑" panose="020B0503020204020204" charset="-122"/>
            </a:rPr>
            <a:t>使用说明</a:t>
          </a:r>
          <a:endParaRPr lang="zh-CN" altLang="en-US" sz="1600" b="1">
            <a:solidFill>
              <a:schemeClr val="bg1"/>
            </a:solidFill>
            <a:latin typeface="微软雅黑" panose="020B0503020204020204" charset="-122"/>
            <a:ea typeface="微软雅黑" panose="020B0503020204020204" charset="-122"/>
          </a:endParaRPr>
        </a:p>
      </xdr:txBody>
    </xdr:sp>
    <xdr:clientData/>
  </xdr:twoCellAnchor>
  <xdr:twoCellAnchor>
    <xdr:from>
      <xdr:col>2</xdr:col>
      <xdr:colOff>28575</xdr:colOff>
      <xdr:row>0</xdr:row>
      <xdr:rowOff>21590</xdr:rowOff>
    </xdr:from>
    <xdr:to>
      <xdr:col>9</xdr:col>
      <xdr:colOff>93980</xdr:colOff>
      <xdr:row>23</xdr:row>
      <xdr:rowOff>73660</xdr:rowOff>
    </xdr:to>
    <xdr:sp>
      <xdr:nvSpPr>
        <xdr:cNvPr id="37" name="文本框 35"/>
        <xdr:cNvSpPr txBox="1"/>
      </xdr:nvSpPr>
      <xdr:spPr>
        <a:xfrm>
          <a:off x="581025" y="21590"/>
          <a:ext cx="1998980" cy="504698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vert="wordArtVertRtl"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57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rPr>
            <a:t>进销存系统</a:t>
          </a:r>
          <a:endParaRPr lang="zh-CN" altLang="en-US" sz="57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endParaRPr>
        </a:p>
      </xdr:txBody>
    </xdr:sp>
    <xdr:clientData/>
  </xdr:twoCellAnchor>
  <xdr:twoCellAnchor>
    <xdr:from>
      <xdr:col>0</xdr:col>
      <xdr:colOff>210185</xdr:colOff>
      <xdr:row>2</xdr:row>
      <xdr:rowOff>145415</xdr:rowOff>
    </xdr:from>
    <xdr:to>
      <xdr:col>2</xdr:col>
      <xdr:colOff>116840</xdr:colOff>
      <xdr:row>21</xdr:row>
      <xdr:rowOff>71120</xdr:rowOff>
    </xdr:to>
    <xdr:sp>
      <xdr:nvSpPr>
        <xdr:cNvPr id="38" name="文本框 37"/>
        <xdr:cNvSpPr txBox="1"/>
      </xdr:nvSpPr>
      <xdr:spPr>
        <a:xfrm>
          <a:off x="210185" y="579755"/>
          <a:ext cx="459105" cy="4051935"/>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vert="vert270"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r"/>
          <a:r>
            <a:rPr lang="en-US" altLang="zh-CN" sz="2000">
              <a:solidFill>
                <a:schemeClr val="bg1"/>
              </a:solidFill>
              <a:latin typeface="微软雅黑" panose="020B0503020204020204" charset="-122"/>
              <a:ea typeface="微软雅黑" panose="020B0503020204020204" charset="-122"/>
            </a:rPr>
            <a:t>Purchase-sale-storage System</a:t>
          </a:r>
          <a:endParaRPr lang="en-US" altLang="zh-CN" sz="2000">
            <a:solidFill>
              <a:schemeClr val="bg1"/>
            </a:solidFill>
            <a:latin typeface="微软雅黑" panose="020B0503020204020204" charset="-122"/>
            <a:ea typeface="微软雅黑" panose="020B0503020204020204" charset="-122"/>
          </a:endParaRPr>
        </a:p>
      </xdr:txBody>
    </xdr:sp>
    <xdr:clientData/>
  </xdr:twoCellAnchor>
  <xdr:twoCellAnchor>
    <xdr:from>
      <xdr:col>33</xdr:col>
      <xdr:colOff>96520</xdr:colOff>
      <xdr:row>0</xdr:row>
      <xdr:rowOff>106680</xdr:rowOff>
    </xdr:from>
    <xdr:to>
      <xdr:col>39</xdr:col>
      <xdr:colOff>46990</xdr:colOff>
      <xdr:row>2</xdr:row>
      <xdr:rowOff>127000</xdr:rowOff>
    </xdr:to>
    <xdr:sp>
      <xdr:nvSpPr>
        <xdr:cNvPr id="39" name="矩形 65"/>
        <xdr:cNvSpPr/>
      </xdr:nvSpPr>
      <xdr:spPr>
        <a:xfrm>
          <a:off x="9211945" y="106680"/>
          <a:ext cx="1607820" cy="454660"/>
        </a:xfrm>
        <a:prstGeom prst="rect">
          <a:avLst/>
        </a:prstGeom>
        <a:solidFill>
          <a:schemeClr val="accent1">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en-US" altLang="zh-CN" sz="1800">
              <a:solidFill>
                <a:schemeClr val="tx1">
                  <a:lumMod val="75000"/>
                  <a:lumOff val="25000"/>
                </a:schemeClr>
              </a:solidFill>
              <a:latin typeface="微软雅黑" panose="020B0503020204020204" charset="-122"/>
              <a:ea typeface="微软雅黑" panose="020B0503020204020204" charset="-122"/>
            </a:rPr>
            <a:t>  MENU</a:t>
          </a:r>
          <a:endParaRPr lang="en-US" altLang="zh-CN" sz="1800">
            <a:solidFill>
              <a:schemeClr val="tx1">
                <a:lumMod val="75000"/>
                <a:lumOff val="25000"/>
              </a:schemeClr>
            </a:solidFill>
            <a:latin typeface="微软雅黑" panose="020B0503020204020204" charset="-122"/>
            <a:ea typeface="微软雅黑" panose="020B0503020204020204" charset="-122"/>
          </a:endParaRPr>
        </a:p>
      </xdr:txBody>
    </xdr:sp>
    <xdr:clientData/>
  </xdr:twoCellAnchor>
  <xdr:twoCellAnchor>
    <xdr:from>
      <xdr:col>11</xdr:col>
      <xdr:colOff>115570</xdr:colOff>
      <xdr:row>20</xdr:row>
      <xdr:rowOff>172085</xdr:rowOff>
    </xdr:from>
    <xdr:to>
      <xdr:col>16</xdr:col>
      <xdr:colOff>190500</xdr:colOff>
      <xdr:row>22</xdr:row>
      <xdr:rowOff>189865</xdr:rowOff>
    </xdr:to>
    <xdr:sp macro="[0]!denglu_show">
      <xdr:nvSpPr>
        <xdr:cNvPr id="3" name="圆角矩形 24"/>
        <xdr:cNvSpPr/>
      </xdr:nvSpPr>
      <xdr:spPr>
        <a:xfrm>
          <a:off x="3154045" y="4515485"/>
          <a:ext cx="1456055" cy="45212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solidFill>
                <a:schemeClr val="bg1"/>
              </a:solidFill>
              <a:latin typeface="微软雅黑" panose="020B0503020204020204" charset="-122"/>
              <a:ea typeface="微软雅黑" panose="020B0503020204020204" charset="-122"/>
            </a:rPr>
            <a:t>登录</a:t>
          </a:r>
          <a:endParaRPr lang="zh-CN" altLang="en-US" sz="1600" b="1">
            <a:solidFill>
              <a:schemeClr val="bg1"/>
            </a:solidFill>
            <a:latin typeface="微软雅黑" panose="020B0503020204020204" charset="-122"/>
            <a:ea typeface="微软雅黑" panose="020B0503020204020204" charset="-122"/>
          </a:endParaRPr>
        </a:p>
      </xdr:txBody>
    </xdr:sp>
    <xdr:clientData/>
  </xdr:twoCellAnchor>
  <xdr:twoCellAnchor>
    <xdr:from>
      <xdr:col>18</xdr:col>
      <xdr:colOff>107315</xdr:colOff>
      <xdr:row>20</xdr:row>
      <xdr:rowOff>172085</xdr:rowOff>
    </xdr:from>
    <xdr:to>
      <xdr:col>23</xdr:col>
      <xdr:colOff>182880</xdr:colOff>
      <xdr:row>22</xdr:row>
      <xdr:rowOff>189865</xdr:rowOff>
    </xdr:to>
    <xdr:sp macro="[0]!xiugaimima_show">
      <xdr:nvSpPr>
        <xdr:cNvPr id="4" name="圆角矩形 24"/>
        <xdr:cNvSpPr/>
      </xdr:nvSpPr>
      <xdr:spPr>
        <a:xfrm>
          <a:off x="5079365" y="4515485"/>
          <a:ext cx="1456690" cy="45212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solidFill>
                <a:schemeClr val="bg1"/>
              </a:solidFill>
              <a:latin typeface="微软雅黑" panose="020B0503020204020204" charset="-122"/>
              <a:ea typeface="微软雅黑" panose="020B0503020204020204" charset="-122"/>
            </a:rPr>
            <a:t>修改密码</a:t>
          </a:r>
          <a:endParaRPr lang="zh-CN" altLang="en-US" sz="1600" b="1">
            <a:solidFill>
              <a:schemeClr val="bg1"/>
            </a:solidFill>
            <a:latin typeface="微软雅黑" panose="020B0503020204020204" charset="-122"/>
            <a:ea typeface="微软雅黑" panose="020B0503020204020204" charset="-122"/>
          </a:endParaRPr>
        </a:p>
      </xdr:txBody>
    </xdr:sp>
    <xdr:clientData/>
  </xdr:twoCellAnchor>
  <xdr:twoCellAnchor>
    <xdr:from>
      <xdr:col>27</xdr:col>
      <xdr:colOff>257175</xdr:colOff>
      <xdr:row>6</xdr:row>
      <xdr:rowOff>161925</xdr:rowOff>
    </xdr:from>
    <xdr:to>
      <xdr:col>33</xdr:col>
      <xdr:colOff>40005</xdr:colOff>
      <xdr:row>9</xdr:row>
      <xdr:rowOff>180975</xdr:rowOff>
    </xdr:to>
    <xdr:sp macro="[1]!asht10">
      <xdr:nvSpPr>
        <xdr:cNvPr id="7" name="圆角矩形 14">
          <a:hlinkClick xmlns:r="http://schemas.openxmlformats.org/officeDocument/2006/relationships" r:id="rId2"/>
        </xdr:cNvPr>
        <xdr:cNvSpPr/>
      </xdr:nvSpPr>
      <xdr:spPr>
        <a:xfrm>
          <a:off x="7715250" y="1464945"/>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客户资料</a:t>
          </a:r>
          <a:endParaRPr lang="zh-CN" altLang="en-US" sz="1600" b="1">
            <a:latin typeface="微软雅黑" panose="020B0503020204020204" charset="-122"/>
            <a:ea typeface="微软雅黑" panose="020B0503020204020204" charset="-122"/>
          </a:endParaRPr>
        </a:p>
      </xdr:txBody>
    </xdr:sp>
    <xdr:clientData/>
  </xdr:twoCellAnchor>
  <xdr:twoCellAnchor>
    <xdr:from>
      <xdr:col>33</xdr:col>
      <xdr:colOff>209550</xdr:colOff>
      <xdr:row>6</xdr:row>
      <xdr:rowOff>161925</xdr:rowOff>
    </xdr:from>
    <xdr:to>
      <xdr:col>38</xdr:col>
      <xdr:colOff>268605</xdr:colOff>
      <xdr:row>9</xdr:row>
      <xdr:rowOff>180975</xdr:rowOff>
    </xdr:to>
    <xdr:sp macro="[1]!asht11">
      <xdr:nvSpPr>
        <xdr:cNvPr id="8" name="圆角矩形 16">
          <a:hlinkClick xmlns:r="http://schemas.openxmlformats.org/officeDocument/2006/relationships" r:id="rId3"/>
        </xdr:cNvPr>
        <xdr:cNvSpPr/>
      </xdr:nvSpPr>
      <xdr:spPr>
        <a:xfrm>
          <a:off x="9324975" y="1464945"/>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供应商资料</a:t>
          </a:r>
          <a:endParaRPr lang="zh-CN" altLang="en-US" sz="1600" b="1">
            <a:latin typeface="微软雅黑" panose="020B0503020204020204" charset="-122"/>
            <a:ea typeface="微软雅黑" panose="020B0503020204020204" charset="-122"/>
          </a:endParaRPr>
        </a:p>
      </xdr:txBody>
    </xdr:sp>
    <xdr:clientData/>
  </xdr:twoCellAnchor>
  <xdr:twoCellAnchor>
    <xdr:from>
      <xdr:col>10</xdr:col>
      <xdr:colOff>248285</xdr:colOff>
      <xdr:row>6</xdr:row>
      <xdr:rowOff>161925</xdr:rowOff>
    </xdr:from>
    <xdr:to>
      <xdr:col>16</xdr:col>
      <xdr:colOff>31115</xdr:colOff>
      <xdr:row>9</xdr:row>
      <xdr:rowOff>180975</xdr:rowOff>
    </xdr:to>
    <xdr:sp macro="[1]!asht8">
      <xdr:nvSpPr>
        <xdr:cNvPr id="10" name="圆角矩形 4">
          <a:hlinkClick xmlns:r="http://schemas.openxmlformats.org/officeDocument/2006/relationships" r:id="rId4"/>
        </xdr:cNvPr>
        <xdr:cNvSpPr/>
      </xdr:nvSpPr>
      <xdr:spPr>
        <a:xfrm>
          <a:off x="3010535" y="1464945"/>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客户</a:t>
          </a:r>
          <a:r>
            <a:rPr lang="en-US" altLang="zh-CN" sz="1600" b="1">
              <a:latin typeface="微软雅黑" panose="020B0503020204020204" charset="-122"/>
              <a:ea typeface="微软雅黑" panose="020B0503020204020204" charset="-122"/>
            </a:rPr>
            <a:t>/</a:t>
          </a:r>
          <a:r>
            <a:rPr lang="zh-CN" altLang="en-US" sz="1600" b="1">
              <a:latin typeface="微软雅黑" panose="020B0503020204020204" charset="-122"/>
              <a:ea typeface="微软雅黑" panose="020B0503020204020204" charset="-122"/>
            </a:rPr>
            <a:t>供应商</a:t>
          </a:r>
          <a:endParaRPr lang="zh-CN" altLang="en-US" sz="1600" b="1">
            <a:latin typeface="微软雅黑" panose="020B0503020204020204" charset="-122"/>
            <a:ea typeface="微软雅黑" panose="020B0503020204020204" charset="-122"/>
          </a:endParaRPr>
        </a:p>
        <a:p>
          <a:pPr algn="ctr"/>
          <a:r>
            <a:rPr lang="zh-CN" altLang="en-US" sz="1600" b="1">
              <a:latin typeface="微软雅黑" panose="020B0503020204020204" charset="-122"/>
              <a:ea typeface="微软雅黑" panose="020B0503020204020204" charset="-122"/>
            </a:rPr>
            <a:t>查询</a:t>
          </a:r>
          <a:endParaRPr lang="zh-CN" altLang="en-US" sz="1600" b="1">
            <a:latin typeface="微软雅黑" panose="020B0503020204020204" charset="-122"/>
            <a:ea typeface="微软雅黑" panose="020B0503020204020204" charset="-122"/>
          </a:endParaRPr>
        </a:p>
      </xdr:txBody>
    </xdr:sp>
    <xdr:clientData/>
  </xdr:twoCellAnchor>
  <xdr:twoCellAnchor>
    <xdr:from>
      <xdr:col>22</xdr:col>
      <xdr:colOff>101600</xdr:colOff>
      <xdr:row>6</xdr:row>
      <xdr:rowOff>161925</xdr:rowOff>
    </xdr:from>
    <xdr:to>
      <xdr:col>27</xdr:col>
      <xdr:colOff>160655</xdr:colOff>
      <xdr:row>9</xdr:row>
      <xdr:rowOff>180975</xdr:rowOff>
    </xdr:to>
    <xdr:sp macro="[1]!asht9">
      <xdr:nvSpPr>
        <xdr:cNvPr id="11" name="圆角矩形 8">
          <a:hlinkClick xmlns:r="http://schemas.openxmlformats.org/officeDocument/2006/relationships" r:id="rId5"/>
        </xdr:cNvPr>
        <xdr:cNvSpPr/>
      </xdr:nvSpPr>
      <xdr:spPr>
        <a:xfrm>
          <a:off x="6178550" y="1464945"/>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基础资料</a:t>
          </a:r>
          <a:endParaRPr lang="zh-CN" altLang="en-US" sz="1600" b="1">
            <a:latin typeface="微软雅黑" panose="020B0503020204020204" charset="-122"/>
            <a:ea typeface="微软雅黑" panose="020B0503020204020204" charset="-122"/>
          </a:endParaRPr>
        </a:p>
      </xdr:txBody>
    </xdr:sp>
    <xdr:clientData/>
  </xdr:twoCellAnchor>
  <xdr:twoCellAnchor>
    <xdr:from>
      <xdr:col>10</xdr:col>
      <xdr:colOff>248285</xdr:colOff>
      <xdr:row>3</xdr:row>
      <xdr:rowOff>57785</xdr:rowOff>
    </xdr:from>
    <xdr:to>
      <xdr:col>16</xdr:col>
      <xdr:colOff>31115</xdr:colOff>
      <xdr:row>6</xdr:row>
      <xdr:rowOff>76835</xdr:rowOff>
    </xdr:to>
    <xdr:sp macro="[1]!asht4">
      <xdr:nvSpPr>
        <xdr:cNvPr id="12" name="圆角矩形 3">
          <a:hlinkClick xmlns:r="http://schemas.openxmlformats.org/officeDocument/2006/relationships" r:id="rId6"/>
        </xdr:cNvPr>
        <xdr:cNvSpPr/>
      </xdr:nvSpPr>
      <xdr:spPr>
        <a:xfrm>
          <a:off x="3010535" y="709295"/>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入库</a:t>
          </a:r>
          <a:endParaRPr lang="zh-CN" altLang="en-US" sz="1600" b="1">
            <a:latin typeface="微软雅黑" panose="020B0503020204020204" charset="-122"/>
            <a:ea typeface="微软雅黑" panose="020B0503020204020204" charset="-122"/>
          </a:endParaRPr>
        </a:p>
      </xdr:txBody>
    </xdr:sp>
    <xdr:clientData/>
  </xdr:twoCellAnchor>
  <xdr:twoCellAnchor>
    <xdr:from>
      <xdr:col>22</xdr:col>
      <xdr:colOff>101600</xdr:colOff>
      <xdr:row>3</xdr:row>
      <xdr:rowOff>57785</xdr:rowOff>
    </xdr:from>
    <xdr:to>
      <xdr:col>27</xdr:col>
      <xdr:colOff>160655</xdr:colOff>
      <xdr:row>6</xdr:row>
      <xdr:rowOff>76835</xdr:rowOff>
    </xdr:to>
    <xdr:sp macro="[1]!asht5">
      <xdr:nvSpPr>
        <xdr:cNvPr id="13" name="圆角矩形 7">
          <a:hlinkClick xmlns:r="http://schemas.openxmlformats.org/officeDocument/2006/relationships" r:id="rId7"/>
        </xdr:cNvPr>
        <xdr:cNvSpPr/>
      </xdr:nvSpPr>
      <xdr:spPr>
        <a:xfrm>
          <a:off x="6178550" y="709295"/>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期初数</a:t>
          </a:r>
          <a:endParaRPr lang="zh-CN" altLang="en-US" sz="1600" b="1">
            <a:latin typeface="微软雅黑" panose="020B0503020204020204" charset="-122"/>
            <a:ea typeface="微软雅黑" panose="020B0503020204020204" charset="-122"/>
          </a:endParaRPr>
        </a:p>
      </xdr:txBody>
    </xdr:sp>
    <xdr:clientData/>
  </xdr:twoCellAnchor>
  <xdr:twoCellAnchor>
    <xdr:from>
      <xdr:col>27</xdr:col>
      <xdr:colOff>257175</xdr:colOff>
      <xdr:row>3</xdr:row>
      <xdr:rowOff>57785</xdr:rowOff>
    </xdr:from>
    <xdr:to>
      <xdr:col>33</xdr:col>
      <xdr:colOff>40005</xdr:colOff>
      <xdr:row>6</xdr:row>
      <xdr:rowOff>76835</xdr:rowOff>
    </xdr:to>
    <xdr:sp macro="[1]!asht6">
      <xdr:nvSpPr>
        <xdr:cNvPr id="14" name="圆角矩形 13">
          <a:hlinkClick xmlns:r="http://schemas.openxmlformats.org/officeDocument/2006/relationships" r:id="rId8"/>
        </xdr:cNvPr>
        <xdr:cNvSpPr/>
      </xdr:nvSpPr>
      <xdr:spPr>
        <a:xfrm>
          <a:off x="7715250" y="709295"/>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明细</a:t>
          </a:r>
          <a:endParaRPr lang="zh-CN" altLang="en-US" sz="1600" b="1">
            <a:latin typeface="微软雅黑" panose="020B0503020204020204" charset="-122"/>
            <a:ea typeface="微软雅黑" panose="020B0503020204020204" charset="-122"/>
          </a:endParaRPr>
        </a:p>
      </xdr:txBody>
    </xdr:sp>
    <xdr:clientData/>
  </xdr:twoCellAnchor>
  <xdr:twoCellAnchor>
    <xdr:from>
      <xdr:col>33</xdr:col>
      <xdr:colOff>209550</xdr:colOff>
      <xdr:row>3</xdr:row>
      <xdr:rowOff>57785</xdr:rowOff>
    </xdr:from>
    <xdr:to>
      <xdr:col>38</xdr:col>
      <xdr:colOff>268605</xdr:colOff>
      <xdr:row>6</xdr:row>
      <xdr:rowOff>76835</xdr:rowOff>
    </xdr:to>
    <xdr:sp macro="[1]!asht7">
      <xdr:nvSpPr>
        <xdr:cNvPr id="15" name="圆角矩形 15">
          <a:hlinkClick xmlns:r="http://schemas.openxmlformats.org/officeDocument/2006/relationships" r:id="rId9"/>
        </xdr:cNvPr>
        <xdr:cNvSpPr/>
      </xdr:nvSpPr>
      <xdr:spPr>
        <a:xfrm>
          <a:off x="9324975" y="709295"/>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进销存</a:t>
          </a:r>
          <a:endParaRPr lang="zh-CN" altLang="en-US" sz="1600" b="1">
            <a:latin typeface="微软雅黑" panose="020B0503020204020204" charset="-122"/>
            <a:ea typeface="微软雅黑" panose="020B0503020204020204" charset="-122"/>
          </a:endParaRPr>
        </a:p>
      </xdr:txBody>
    </xdr:sp>
    <xdr:clientData/>
  </xdr:twoCellAnchor>
  <xdr:twoCellAnchor>
    <xdr:from>
      <xdr:col>10</xdr:col>
      <xdr:colOff>248285</xdr:colOff>
      <xdr:row>10</xdr:row>
      <xdr:rowOff>60960</xdr:rowOff>
    </xdr:from>
    <xdr:to>
      <xdr:col>16</xdr:col>
      <xdr:colOff>31115</xdr:colOff>
      <xdr:row>13</xdr:row>
      <xdr:rowOff>80010</xdr:rowOff>
    </xdr:to>
    <xdr:sp macro="[1]!asht12">
      <xdr:nvSpPr>
        <xdr:cNvPr id="16" name="圆角矩形 15">
          <a:hlinkClick xmlns:r="http://schemas.openxmlformats.org/officeDocument/2006/relationships" r:id="rId10"/>
        </xdr:cNvPr>
        <xdr:cNvSpPr/>
      </xdr:nvSpPr>
      <xdr:spPr>
        <a:xfrm>
          <a:off x="3010535" y="2232660"/>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笔记</a:t>
          </a:r>
          <a:endParaRPr lang="zh-CN" altLang="en-US" sz="1600" b="1">
            <a:latin typeface="微软雅黑" panose="020B0503020204020204" charset="-122"/>
            <a:ea typeface="微软雅黑" panose="020B0503020204020204" charset="-122"/>
          </a:endParaRPr>
        </a:p>
      </xdr:txBody>
    </xdr:sp>
    <xdr:clientData/>
  </xdr:twoCellAnchor>
  <xdr:twoCellAnchor>
    <xdr:from>
      <xdr:col>16</xdr:col>
      <xdr:colOff>184150</xdr:colOff>
      <xdr:row>10</xdr:row>
      <xdr:rowOff>60960</xdr:rowOff>
    </xdr:from>
    <xdr:to>
      <xdr:col>21</xdr:col>
      <xdr:colOff>243205</xdr:colOff>
      <xdr:row>13</xdr:row>
      <xdr:rowOff>80010</xdr:rowOff>
    </xdr:to>
    <xdr:sp macro="[1]!asht13">
      <xdr:nvSpPr>
        <xdr:cNvPr id="17" name="圆角矩形 8">
          <a:hlinkClick xmlns:r="http://schemas.openxmlformats.org/officeDocument/2006/relationships" r:id="rId11"/>
        </xdr:cNvPr>
        <xdr:cNvSpPr/>
      </xdr:nvSpPr>
      <xdr:spPr>
        <a:xfrm>
          <a:off x="4603750" y="2232660"/>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用户管理</a:t>
          </a:r>
          <a:endParaRPr lang="zh-CN" altLang="en-US" sz="1600" b="1">
            <a:latin typeface="微软雅黑" panose="020B0503020204020204" charset="-122"/>
            <a:ea typeface="微软雅黑" panose="020B0503020204020204" charset="-122"/>
          </a:endParaRPr>
        </a:p>
      </xdr:txBody>
    </xdr:sp>
    <xdr:clientData/>
  </xdr:twoCellAnchor>
  <xdr:twoCellAnchor>
    <xdr:from>
      <xdr:col>16</xdr:col>
      <xdr:colOff>184150</xdr:colOff>
      <xdr:row>3</xdr:row>
      <xdr:rowOff>57785</xdr:rowOff>
    </xdr:from>
    <xdr:to>
      <xdr:col>21</xdr:col>
      <xdr:colOff>243205</xdr:colOff>
      <xdr:row>6</xdr:row>
      <xdr:rowOff>76835</xdr:rowOff>
    </xdr:to>
    <xdr:sp macro="[1]!asht14">
      <xdr:nvSpPr>
        <xdr:cNvPr id="18" name="圆角矩形 3">
          <a:hlinkClick xmlns:r="http://schemas.openxmlformats.org/officeDocument/2006/relationships" r:id="rId12"/>
        </xdr:cNvPr>
        <xdr:cNvSpPr/>
      </xdr:nvSpPr>
      <xdr:spPr>
        <a:xfrm>
          <a:off x="4603750" y="709295"/>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出库</a:t>
          </a:r>
          <a:endParaRPr lang="zh-CN" altLang="en-US" sz="1600" b="1">
            <a:latin typeface="微软雅黑" panose="020B0503020204020204" charset="-122"/>
            <a:ea typeface="微软雅黑" panose="020B0503020204020204" charset="-122"/>
          </a:endParaRPr>
        </a:p>
      </xdr:txBody>
    </xdr:sp>
    <xdr:clientData/>
  </xdr:twoCellAnchor>
  <xdr:twoCellAnchor>
    <xdr:from>
      <xdr:col>22</xdr:col>
      <xdr:colOff>101600</xdr:colOff>
      <xdr:row>10</xdr:row>
      <xdr:rowOff>60960</xdr:rowOff>
    </xdr:from>
    <xdr:to>
      <xdr:col>27</xdr:col>
      <xdr:colOff>160655</xdr:colOff>
      <xdr:row>13</xdr:row>
      <xdr:rowOff>80010</xdr:rowOff>
    </xdr:to>
    <xdr:sp macro="[1]!asht18">
      <xdr:nvSpPr>
        <xdr:cNvPr id="19" name="圆角矩形 8">
          <a:hlinkClick xmlns:r="http://schemas.openxmlformats.org/officeDocument/2006/relationships" r:id="rId13"/>
        </xdr:cNvPr>
        <xdr:cNvSpPr/>
      </xdr:nvSpPr>
      <xdr:spPr>
        <a:xfrm>
          <a:off x="6178550" y="2232660"/>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二维码打印</a:t>
          </a:r>
          <a:endParaRPr lang="zh-CN" altLang="en-US" sz="1600" b="1">
            <a:latin typeface="微软雅黑" panose="020B0503020204020204" charset="-122"/>
            <a:ea typeface="微软雅黑" panose="020B0503020204020204" charset="-122"/>
          </a:endParaRPr>
        </a:p>
      </xdr:txBody>
    </xdr:sp>
    <xdr:clientData/>
  </xdr:twoCellAnchor>
  <xdr:twoCellAnchor>
    <xdr:from>
      <xdr:col>16</xdr:col>
      <xdr:colOff>184150</xdr:colOff>
      <xdr:row>6</xdr:row>
      <xdr:rowOff>165735</xdr:rowOff>
    </xdr:from>
    <xdr:to>
      <xdr:col>21</xdr:col>
      <xdr:colOff>243205</xdr:colOff>
      <xdr:row>9</xdr:row>
      <xdr:rowOff>184785</xdr:rowOff>
    </xdr:to>
    <xdr:sp macro="[1]!asht15">
      <xdr:nvSpPr>
        <xdr:cNvPr id="20" name="圆角矩形 19">
          <a:hlinkClick xmlns:r="http://schemas.openxmlformats.org/officeDocument/2006/relationships" r:id="rId14"/>
        </xdr:cNvPr>
        <xdr:cNvSpPr/>
      </xdr:nvSpPr>
      <xdr:spPr>
        <a:xfrm>
          <a:off x="4603750" y="1468755"/>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商品进出查询</a:t>
          </a:r>
          <a:endParaRPr lang="zh-CN" altLang="en-US" sz="1600" b="1">
            <a:latin typeface="微软雅黑" panose="020B0503020204020204" charset="-122"/>
            <a:ea typeface="微软雅黑" panose="020B0503020204020204" charset="-122"/>
          </a:endParaRPr>
        </a:p>
      </xdr:txBody>
    </xdr:sp>
    <xdr:clientData/>
  </xdr:twoCellAnchor>
  <xdr:twoCellAnchor>
    <xdr:from>
      <xdr:col>27</xdr:col>
      <xdr:colOff>257175</xdr:colOff>
      <xdr:row>10</xdr:row>
      <xdr:rowOff>60960</xdr:rowOff>
    </xdr:from>
    <xdr:to>
      <xdr:col>33</xdr:col>
      <xdr:colOff>40005</xdr:colOff>
      <xdr:row>13</xdr:row>
      <xdr:rowOff>80010</xdr:rowOff>
    </xdr:to>
    <xdr:sp macro="[1]!asht13">
      <xdr:nvSpPr>
        <xdr:cNvPr id="21" name="圆角矩形 8">
          <a:hlinkClick xmlns:r="http://schemas.openxmlformats.org/officeDocument/2006/relationships" r:id="rId15"/>
        </xdr:cNvPr>
        <xdr:cNvSpPr/>
      </xdr:nvSpPr>
      <xdr:spPr>
        <a:xfrm>
          <a:off x="7715250" y="2232660"/>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库存调拨</a:t>
          </a:r>
          <a:endParaRPr lang="zh-CN" altLang="en-US" sz="1600" b="1">
            <a:latin typeface="微软雅黑" panose="020B0503020204020204" charset="-122"/>
            <a:ea typeface="微软雅黑" panose="020B0503020204020204" charset="-122"/>
          </a:endParaRPr>
        </a:p>
      </xdr:txBody>
    </xdr:sp>
    <xdr:clientData/>
  </xdr:twoCellAnchor>
  <xdr:twoCellAnchor>
    <xdr:from>
      <xdr:col>33</xdr:col>
      <xdr:colOff>209550</xdr:colOff>
      <xdr:row>10</xdr:row>
      <xdr:rowOff>60960</xdr:rowOff>
    </xdr:from>
    <xdr:to>
      <xdr:col>38</xdr:col>
      <xdr:colOff>268605</xdr:colOff>
      <xdr:row>13</xdr:row>
      <xdr:rowOff>80010</xdr:rowOff>
    </xdr:to>
    <xdr:sp macro="[1]!asht18">
      <xdr:nvSpPr>
        <xdr:cNvPr id="22" name="圆角矩形 8">
          <a:hlinkClick xmlns:r="http://schemas.openxmlformats.org/officeDocument/2006/relationships" r:id="rId16"/>
        </xdr:cNvPr>
        <xdr:cNvSpPr/>
      </xdr:nvSpPr>
      <xdr:spPr>
        <a:xfrm>
          <a:off x="9324975" y="2232660"/>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库存盘点</a:t>
          </a:r>
          <a:endParaRPr lang="zh-CN" altLang="en-US" sz="1600" b="1">
            <a:latin typeface="微软雅黑" panose="020B0503020204020204" charset="-122"/>
            <a:ea typeface="微软雅黑" panose="020B0503020204020204" charset="-122"/>
          </a:endParaRPr>
        </a:p>
      </xdr:txBody>
    </xdr:sp>
    <xdr:clientData/>
  </xdr:twoCellAnchor>
  <xdr:twoCellAnchor>
    <xdr:from>
      <xdr:col>10</xdr:col>
      <xdr:colOff>248285</xdr:colOff>
      <xdr:row>13</xdr:row>
      <xdr:rowOff>156845</xdr:rowOff>
    </xdr:from>
    <xdr:to>
      <xdr:col>16</xdr:col>
      <xdr:colOff>31115</xdr:colOff>
      <xdr:row>16</xdr:row>
      <xdr:rowOff>175895</xdr:rowOff>
    </xdr:to>
    <xdr:sp macro="[1]!asht13">
      <xdr:nvSpPr>
        <xdr:cNvPr id="24" name="圆角矩形 8">
          <a:hlinkClick xmlns:r="http://schemas.openxmlformats.org/officeDocument/2006/relationships" r:id="rId17"/>
        </xdr:cNvPr>
        <xdr:cNvSpPr/>
      </xdr:nvSpPr>
      <xdr:spPr>
        <a:xfrm>
          <a:off x="3010535" y="2980055"/>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销售退货</a:t>
          </a:r>
          <a:endParaRPr lang="en-US" altLang="zh-CN" sz="1600" b="1">
            <a:latin typeface="微软雅黑" panose="020B0503020204020204" charset="-122"/>
            <a:ea typeface="微软雅黑" panose="020B0503020204020204" charset="-122"/>
          </a:endParaRPr>
        </a:p>
      </xdr:txBody>
    </xdr:sp>
    <xdr:clientData/>
  </xdr:twoCellAnchor>
  <xdr:twoCellAnchor>
    <xdr:from>
      <xdr:col>16</xdr:col>
      <xdr:colOff>184150</xdr:colOff>
      <xdr:row>13</xdr:row>
      <xdr:rowOff>156845</xdr:rowOff>
    </xdr:from>
    <xdr:to>
      <xdr:col>21</xdr:col>
      <xdr:colOff>243205</xdr:colOff>
      <xdr:row>16</xdr:row>
      <xdr:rowOff>175895</xdr:rowOff>
    </xdr:to>
    <xdr:sp macro="[1]!asht18">
      <xdr:nvSpPr>
        <xdr:cNvPr id="26" name="圆角矩形 8">
          <a:hlinkClick xmlns:r="http://schemas.openxmlformats.org/officeDocument/2006/relationships" r:id="rId18"/>
        </xdr:cNvPr>
        <xdr:cNvSpPr/>
      </xdr:nvSpPr>
      <xdr:spPr>
        <a:xfrm>
          <a:off x="4603750" y="2980055"/>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采购退货</a:t>
          </a:r>
          <a:endParaRPr lang="zh-CN" altLang="en-US" sz="1600" b="1">
            <a:latin typeface="微软雅黑" panose="020B0503020204020204" charset="-122"/>
            <a:ea typeface="微软雅黑" panose="020B0503020204020204" charset="-122"/>
          </a:endParaRPr>
        </a:p>
      </xdr:txBody>
    </xdr:sp>
    <xdr:clientData/>
  </xdr:twoCellAnchor>
  <xdr:twoCellAnchor>
    <xdr:from>
      <xdr:col>22</xdr:col>
      <xdr:colOff>101600</xdr:colOff>
      <xdr:row>13</xdr:row>
      <xdr:rowOff>156845</xdr:rowOff>
    </xdr:from>
    <xdr:to>
      <xdr:col>27</xdr:col>
      <xdr:colOff>160655</xdr:colOff>
      <xdr:row>16</xdr:row>
      <xdr:rowOff>175895</xdr:rowOff>
    </xdr:to>
    <xdr:sp macro="[1]!asht13">
      <xdr:nvSpPr>
        <xdr:cNvPr id="32" name="圆角矩形 8">
          <a:hlinkClick xmlns:r="http://schemas.openxmlformats.org/officeDocument/2006/relationships" r:id="rId19"/>
        </xdr:cNvPr>
        <xdr:cNvSpPr/>
      </xdr:nvSpPr>
      <xdr:spPr>
        <a:xfrm>
          <a:off x="6178550" y="2980055"/>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销售退货统计</a:t>
          </a:r>
          <a:endParaRPr lang="zh-CN" altLang="en-US" sz="1600" b="1">
            <a:latin typeface="微软雅黑" panose="020B0503020204020204" charset="-122"/>
            <a:ea typeface="微软雅黑" panose="020B0503020204020204" charset="-122"/>
          </a:endParaRPr>
        </a:p>
      </xdr:txBody>
    </xdr:sp>
    <xdr:clientData/>
  </xdr:twoCellAnchor>
  <xdr:twoCellAnchor>
    <xdr:from>
      <xdr:col>27</xdr:col>
      <xdr:colOff>257175</xdr:colOff>
      <xdr:row>13</xdr:row>
      <xdr:rowOff>156845</xdr:rowOff>
    </xdr:from>
    <xdr:to>
      <xdr:col>33</xdr:col>
      <xdr:colOff>40005</xdr:colOff>
      <xdr:row>16</xdr:row>
      <xdr:rowOff>175895</xdr:rowOff>
    </xdr:to>
    <xdr:sp macro="[1]!asht18">
      <xdr:nvSpPr>
        <xdr:cNvPr id="40" name="圆角矩形 8">
          <a:hlinkClick xmlns:r="http://schemas.openxmlformats.org/officeDocument/2006/relationships" r:id="rId20"/>
        </xdr:cNvPr>
        <xdr:cNvSpPr/>
      </xdr:nvSpPr>
      <xdr:spPr>
        <a:xfrm>
          <a:off x="7715250" y="2980055"/>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采购退货统计</a:t>
          </a:r>
          <a:endParaRPr lang="zh-CN" altLang="en-US" sz="1600" b="1">
            <a:latin typeface="微软雅黑" panose="020B0503020204020204" charset="-122"/>
            <a:ea typeface="微软雅黑" panose="020B0503020204020204" charset="-122"/>
          </a:endParaRPr>
        </a:p>
      </xdr:txBody>
    </xdr:sp>
    <xdr:clientData/>
  </xdr:twoCellAnchor>
  <xdr:twoCellAnchor>
    <xdr:from>
      <xdr:col>10</xdr:col>
      <xdr:colOff>248285</xdr:colOff>
      <xdr:row>17</xdr:row>
      <xdr:rowOff>50165</xdr:rowOff>
    </xdr:from>
    <xdr:to>
      <xdr:col>16</xdr:col>
      <xdr:colOff>31115</xdr:colOff>
      <xdr:row>20</xdr:row>
      <xdr:rowOff>69215</xdr:rowOff>
    </xdr:to>
    <xdr:sp macro="[1]!asht13">
      <xdr:nvSpPr>
        <xdr:cNvPr id="41" name="圆角矩形 8">
          <a:hlinkClick xmlns:r="http://schemas.openxmlformats.org/officeDocument/2006/relationships" r:id="rId21"/>
        </xdr:cNvPr>
        <xdr:cNvSpPr/>
      </xdr:nvSpPr>
      <xdr:spPr>
        <a:xfrm>
          <a:off x="3010535" y="3742055"/>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采购单</a:t>
          </a:r>
          <a:endParaRPr lang="zh-CN" altLang="en-US" sz="1600" b="1">
            <a:latin typeface="微软雅黑" panose="020B0503020204020204" charset="-122"/>
            <a:ea typeface="微软雅黑" panose="020B0503020204020204" charset="-122"/>
          </a:endParaRPr>
        </a:p>
      </xdr:txBody>
    </xdr:sp>
    <xdr:clientData/>
  </xdr:twoCellAnchor>
  <xdr:twoCellAnchor>
    <xdr:from>
      <xdr:col>33</xdr:col>
      <xdr:colOff>209550</xdr:colOff>
      <xdr:row>13</xdr:row>
      <xdr:rowOff>156845</xdr:rowOff>
    </xdr:from>
    <xdr:to>
      <xdr:col>38</xdr:col>
      <xdr:colOff>268605</xdr:colOff>
      <xdr:row>16</xdr:row>
      <xdr:rowOff>175895</xdr:rowOff>
    </xdr:to>
    <xdr:sp macro="[1]!asht18">
      <xdr:nvSpPr>
        <xdr:cNvPr id="42" name="圆角矩形 8">
          <a:hlinkClick xmlns:r="http://schemas.openxmlformats.org/officeDocument/2006/relationships" r:id="rId22"/>
        </xdr:cNvPr>
        <xdr:cNvSpPr/>
      </xdr:nvSpPr>
      <xdr:spPr>
        <a:xfrm>
          <a:off x="9324975" y="2980055"/>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进出明细统计</a:t>
          </a:r>
          <a:endParaRPr lang="zh-CN" altLang="en-US" sz="1600" b="1">
            <a:latin typeface="微软雅黑" panose="020B0503020204020204" charset="-122"/>
            <a:ea typeface="微软雅黑" panose="020B0503020204020204" charset="-122"/>
          </a:endParaRPr>
        </a:p>
      </xdr:txBody>
    </xdr:sp>
    <xdr:clientData/>
  </xdr:twoCellAnchor>
  <xdr:twoCellAnchor>
    <xdr:from>
      <xdr:col>16</xdr:col>
      <xdr:colOff>184150</xdr:colOff>
      <xdr:row>17</xdr:row>
      <xdr:rowOff>50165</xdr:rowOff>
    </xdr:from>
    <xdr:to>
      <xdr:col>21</xdr:col>
      <xdr:colOff>243205</xdr:colOff>
      <xdr:row>20</xdr:row>
      <xdr:rowOff>69215</xdr:rowOff>
    </xdr:to>
    <xdr:sp macro="[1]!asht13">
      <xdr:nvSpPr>
        <xdr:cNvPr id="43" name="圆角矩形 8">
          <a:hlinkClick xmlns:r="http://schemas.openxmlformats.org/officeDocument/2006/relationships" r:id="rId23"/>
        </xdr:cNvPr>
        <xdr:cNvSpPr/>
      </xdr:nvSpPr>
      <xdr:spPr>
        <a:xfrm>
          <a:off x="4603750" y="3742055"/>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采购未入库明细</a:t>
          </a:r>
          <a:endParaRPr lang="zh-CN" altLang="en-US" sz="1600" b="1">
            <a:latin typeface="微软雅黑" panose="020B0503020204020204" charset="-122"/>
            <a:ea typeface="微软雅黑" panose="020B0503020204020204" charset="-122"/>
          </a:endParaRPr>
        </a:p>
      </xdr:txBody>
    </xdr:sp>
    <xdr:clientData/>
  </xdr:twoCellAnchor>
  <xdr:twoCellAnchor>
    <xdr:from>
      <xdr:col>22</xdr:col>
      <xdr:colOff>101600</xdr:colOff>
      <xdr:row>17</xdr:row>
      <xdr:rowOff>50165</xdr:rowOff>
    </xdr:from>
    <xdr:to>
      <xdr:col>27</xdr:col>
      <xdr:colOff>160655</xdr:colOff>
      <xdr:row>20</xdr:row>
      <xdr:rowOff>69215</xdr:rowOff>
    </xdr:to>
    <xdr:sp macro="[1]!asht18">
      <xdr:nvSpPr>
        <xdr:cNvPr id="44" name="圆角矩形 8">
          <a:hlinkClick xmlns:r="http://schemas.openxmlformats.org/officeDocument/2006/relationships" r:id="rId24"/>
        </xdr:cNvPr>
        <xdr:cNvSpPr/>
      </xdr:nvSpPr>
      <xdr:spPr>
        <a:xfrm>
          <a:off x="6178550" y="3742055"/>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库存积压统计</a:t>
          </a:r>
          <a:endParaRPr lang="zh-CN" altLang="en-US" sz="1600" b="1">
            <a:latin typeface="微软雅黑" panose="020B0503020204020204" charset="-122"/>
            <a:ea typeface="微软雅黑" panose="020B0503020204020204" charset="-122"/>
          </a:endParaRPr>
        </a:p>
      </xdr:txBody>
    </xdr:sp>
    <xdr:clientData/>
  </xdr:twoCellAnchor>
  <xdr:twoCellAnchor>
    <xdr:from>
      <xdr:col>27</xdr:col>
      <xdr:colOff>257175</xdr:colOff>
      <xdr:row>17</xdr:row>
      <xdr:rowOff>50165</xdr:rowOff>
    </xdr:from>
    <xdr:to>
      <xdr:col>33</xdr:col>
      <xdr:colOff>40005</xdr:colOff>
      <xdr:row>20</xdr:row>
      <xdr:rowOff>69215</xdr:rowOff>
    </xdr:to>
    <xdr:sp macro="[1]!asht13">
      <xdr:nvSpPr>
        <xdr:cNvPr id="45" name="圆角矩形 8">
          <a:hlinkClick xmlns:r="http://schemas.openxmlformats.org/officeDocument/2006/relationships" r:id="rId25"/>
        </xdr:cNvPr>
        <xdr:cNvSpPr/>
      </xdr:nvSpPr>
      <xdr:spPr>
        <a:xfrm>
          <a:off x="7715250" y="3742055"/>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期末数</a:t>
          </a:r>
          <a:endParaRPr lang="zh-CN" altLang="en-US" sz="1600" b="1">
            <a:latin typeface="微软雅黑" panose="020B0503020204020204" charset="-122"/>
            <a:ea typeface="微软雅黑" panose="020B0503020204020204" charset="-122"/>
          </a:endParaRPr>
        </a:p>
      </xdr:txBody>
    </xdr:sp>
    <xdr:clientData/>
  </xdr:twoCellAnchor>
  <xdr:twoCellAnchor>
    <xdr:from>
      <xdr:col>33</xdr:col>
      <xdr:colOff>209550</xdr:colOff>
      <xdr:row>17</xdr:row>
      <xdr:rowOff>50165</xdr:rowOff>
    </xdr:from>
    <xdr:to>
      <xdr:col>38</xdr:col>
      <xdr:colOff>268605</xdr:colOff>
      <xdr:row>20</xdr:row>
      <xdr:rowOff>69215</xdr:rowOff>
    </xdr:to>
    <xdr:sp macro="[1]!asht18">
      <xdr:nvSpPr>
        <xdr:cNvPr id="46" name="圆角矩形 8">
          <a:hlinkClick xmlns:r="http://schemas.openxmlformats.org/officeDocument/2006/relationships" r:id="rId26"/>
        </xdr:cNvPr>
        <xdr:cNvSpPr/>
      </xdr:nvSpPr>
      <xdr:spPr>
        <a:xfrm>
          <a:off x="9324975" y="3742055"/>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仓库资料</a:t>
          </a:r>
          <a:endParaRPr lang="zh-CN" altLang="en-US" sz="1600" b="1">
            <a:latin typeface="微软雅黑" panose="020B0503020204020204" charset="-122"/>
            <a:ea typeface="微软雅黑" panose="020B0503020204020204" charset="-122"/>
          </a:endParaRPr>
        </a:p>
      </xdr:txBody>
    </xdr:sp>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857250</xdr:colOff>
      <xdr:row>0</xdr:row>
      <xdr:rowOff>85725</xdr:rowOff>
    </xdr:from>
    <xdr:to>
      <xdr:col>3</xdr:col>
      <xdr:colOff>393700</xdr:colOff>
      <xdr:row>0</xdr:row>
      <xdr:rowOff>600710</xdr:rowOff>
    </xdr:to>
    <xdr:sp macro="[0]!down">
      <xdr:nvSpPr>
        <xdr:cNvPr id="2"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absolute">
    <xdr:from>
      <xdr:col>7</xdr:col>
      <xdr:colOff>1059815</xdr:colOff>
      <xdr:row>0</xdr:row>
      <xdr:rowOff>85725</xdr:rowOff>
    </xdr:from>
    <xdr:to>
      <xdr:col>7</xdr:col>
      <xdr:colOff>1758315</xdr:colOff>
      <xdr:row>0</xdr:row>
      <xdr:rowOff>600710</xdr:rowOff>
    </xdr:to>
    <xdr:sp macro="[0]!up">
      <xdr:nvSpPr>
        <xdr:cNvPr id="3" name="nextPage"/>
        <xdr:cNvSpPr/>
      </xdr:nvSpPr>
      <xdr:spPr>
        <a:xfrm>
          <a:off x="8555990" y="85725"/>
          <a:ext cx="698500" cy="514985"/>
        </a:xfrm>
        <a:prstGeom prst="righ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下一页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oneCell">
    <xdr:from>
      <xdr:col>9</xdr:col>
      <xdr:colOff>200025</xdr:colOff>
      <xdr:row>2</xdr:row>
      <xdr:rowOff>12065</xdr:rowOff>
    </xdr:from>
    <xdr:to>
      <xdr:col>13</xdr:col>
      <xdr:colOff>0</xdr:colOff>
      <xdr:row>300</xdr:row>
      <xdr:rowOff>219710</xdr:rowOff>
    </xdr:to>
    <xdr:sp>
      <xdr:nvSpPr>
        <xdr:cNvPr id="4" name="文本框 3">
          <a:hlinkClick xmlns:r="http://schemas.openxmlformats.org/officeDocument/2006/relationships" r:id="rId1"/>
        </xdr:cNvPr>
        <xdr:cNvSpPr txBox="1"/>
      </xdr:nvSpPr>
      <xdr:spPr>
        <a:xfrm>
          <a:off x="9772650" y="912495"/>
          <a:ext cx="2181225" cy="43529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en-US" altLang="zh-CN" sz="1600" b="1">
              <a:solidFill>
                <a:srgbClr val="FF0000"/>
              </a:solidFill>
            </a:rPr>
            <a:t> </a:t>
          </a:r>
          <a:r>
            <a:rPr lang="en-US" altLang="zh-CN" sz="1600" b="1">
              <a:solidFill>
                <a:srgbClr val="FF0000"/>
              </a:solidFill>
              <a:latin typeface="微软雅黑" panose="020B0503020204020204" charset="-122"/>
              <a:ea typeface="微软雅黑" panose="020B0503020204020204" charset="-122"/>
              <a:cs typeface="微软雅黑" panose="020B0503020204020204" charset="-122"/>
            </a:rPr>
            <a:t> </a:t>
          </a:r>
          <a:r>
            <a:rPr lang="zh-CN" altLang="en-US" sz="1600" b="1">
              <a:solidFill>
                <a:srgbClr val="FF0000"/>
              </a:solidFill>
              <a:latin typeface="微软雅黑" panose="020B0503020204020204" charset="-122"/>
              <a:ea typeface="微软雅黑" panose="020B0503020204020204" charset="-122"/>
              <a:cs typeface="微软雅黑" panose="020B0503020204020204" charset="-122"/>
            </a:rPr>
            <a:t>使用前必看</a:t>
          </a:r>
          <a:endParaRPr lang="zh-CN" altLang="en-US" sz="1600" b="1">
            <a:solidFill>
              <a:srgbClr val="FF0000"/>
            </a:solidFill>
            <a:latin typeface="微软雅黑" panose="020B0503020204020204" charset="-122"/>
            <a:ea typeface="微软雅黑" panose="020B0503020204020204" charset="-122"/>
            <a:cs typeface="微软雅黑" panose="020B0503020204020204" charset="-122"/>
          </a:endParaRPr>
        </a:p>
        <a:p>
          <a:pPr algn="l"/>
          <a:r>
            <a:rPr lang="zh-CN" altLang="en-US" sz="1200" b="1">
              <a:latin typeface="微软雅黑" panose="020B0503020204020204" charset="-122"/>
              <a:ea typeface="微软雅黑" panose="020B0503020204020204" charset="-122"/>
              <a:cs typeface="微软雅黑" panose="020B0503020204020204" charset="-122"/>
            </a:rPr>
            <a:t>一</a:t>
          </a:r>
          <a:r>
            <a:rPr lang="en-US" altLang="zh-CN" sz="1200" b="1">
              <a:latin typeface="微软雅黑" panose="020B0503020204020204" charset="-122"/>
              <a:ea typeface="微软雅黑" panose="020B0503020204020204" charset="-122"/>
              <a:cs typeface="微软雅黑" panose="020B0503020204020204" charset="-122"/>
            </a:rPr>
            <a:t>. </a:t>
          </a:r>
          <a:r>
            <a:rPr lang="zh-CN" altLang="en-US" sz="1200" b="1">
              <a:latin typeface="微软雅黑" panose="020B0503020204020204" charset="-122"/>
              <a:ea typeface="微软雅黑" panose="020B0503020204020204" charset="-122"/>
              <a:cs typeface="微软雅黑" panose="020B0503020204020204" charset="-122"/>
            </a:rPr>
            <a:t>使用</a:t>
          </a:r>
          <a:r>
            <a:rPr lang="en-US" altLang="zh-CN" sz="1200" b="1">
              <a:latin typeface="微软雅黑" panose="020B0503020204020204" charset="-122"/>
              <a:ea typeface="微软雅黑" panose="020B0503020204020204" charset="-122"/>
              <a:cs typeface="微软雅黑" panose="020B0503020204020204" charset="-122"/>
            </a:rPr>
            <a:t>WPS</a:t>
          </a:r>
          <a:endParaRPr lang="zh-CN" altLang="en-US" sz="12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本模板为VBA开发，需安装VBA插件（已有插件的电脑忽略）</a:t>
          </a:r>
          <a:endParaRPr lang="zh-CN" altLang="en-US" sz="1100">
            <a:latin typeface="微软雅黑" panose="020B0503020204020204" charset="-122"/>
            <a:ea typeface="微软雅黑" panose="020B0503020204020204" charset="-122"/>
            <a:cs typeface="微软雅黑" panose="020B0503020204020204" charset="-122"/>
          </a:endParaRPr>
        </a:p>
        <a:p>
          <a:pPr algn="l"/>
          <a:endParaRPr lang="zh-CN" altLang="en-US" sz="11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安装后，打开模板时开启宏功能，或在 开发工具 - 宏安全性 - 选择低 取消提示</a:t>
          </a:r>
          <a:endParaRPr lang="zh-CN" altLang="en-US" sz="1100"/>
        </a:p>
        <a:p>
          <a:pPr algn="l"/>
          <a:endParaRPr lang="zh-CN" altLang="en-US" sz="1000">
            <a:solidFill>
              <a:schemeClr val="accent5"/>
            </a:solidFill>
          </a:endParaRPr>
        </a:p>
        <a:p>
          <a:pPr algn="l"/>
          <a:r>
            <a:rPr lang="zh-CN" altLang="en-US" sz="1000">
              <a:solidFill>
                <a:schemeClr val="accent5"/>
              </a:solidFill>
            </a:rPr>
            <a:t>链接：https://pan.baidu.com/s/1UrE5K2zft-5EBY0DIuGTFA </a:t>
          </a:r>
          <a:endParaRPr lang="zh-CN" altLang="en-US" sz="1000">
            <a:solidFill>
              <a:schemeClr val="accent5"/>
            </a:solidFill>
          </a:endParaRPr>
        </a:p>
        <a:p>
          <a:pPr algn="l"/>
          <a:r>
            <a:rPr lang="zh-CN" altLang="en-US" sz="1000">
              <a:solidFill>
                <a:schemeClr val="accent5"/>
              </a:solidFill>
            </a:rPr>
            <a:t>提取码：1234 </a:t>
          </a:r>
          <a:endParaRPr lang="zh-CN" altLang="en-US" sz="1000">
            <a:solidFill>
              <a:schemeClr val="accent5"/>
            </a:solidFill>
          </a:endParaRPr>
        </a:p>
        <a:p>
          <a:pPr algn="l"/>
          <a:r>
            <a:rPr lang="zh-CN" altLang="en-US" sz="1000">
              <a:solidFill>
                <a:schemeClr val="accent5"/>
              </a:solidFill>
            </a:rPr>
            <a:t>复制这段内容后打开百度网盘手机App，操作更方便哦--来自百度网盘超级会员V3的分享</a:t>
          </a:r>
          <a:endParaRPr lang="zh-CN" altLang="en-US" sz="1000">
            <a:solidFill>
              <a:schemeClr val="accent5"/>
            </a:solidFill>
          </a:endParaRPr>
        </a:p>
        <a:p>
          <a:pPr algn="l"/>
          <a:endParaRPr lang="zh-CN" altLang="en-US" sz="1000">
            <a:solidFill>
              <a:schemeClr val="accent5"/>
            </a:solidFill>
          </a:endParaRPr>
        </a:p>
        <a:p>
          <a:pPr algn="l"/>
          <a:r>
            <a:rPr lang="zh-CN" altLang="en-US" sz="1200" b="1">
              <a:solidFill>
                <a:schemeClr val="tx1"/>
              </a:solidFill>
              <a:latin typeface="微软雅黑" panose="020B0503020204020204" charset="-122"/>
              <a:ea typeface="微软雅黑" panose="020B0503020204020204" charset="-122"/>
            </a:rPr>
            <a:t>二</a:t>
          </a:r>
          <a:r>
            <a:rPr lang="en-US" altLang="zh-CN" sz="1200" b="1">
              <a:solidFill>
                <a:schemeClr val="tx1"/>
              </a:solidFill>
              <a:latin typeface="微软雅黑" panose="020B0503020204020204" charset="-122"/>
              <a:ea typeface="微软雅黑" panose="020B0503020204020204" charset="-122"/>
            </a:rPr>
            <a:t>.</a:t>
          </a:r>
          <a:r>
            <a:rPr lang="zh-CN" altLang="en-US" sz="1200" b="1">
              <a:solidFill>
                <a:schemeClr val="tx1"/>
              </a:solidFill>
              <a:latin typeface="微软雅黑" panose="020B0503020204020204" charset="-122"/>
              <a:ea typeface="微软雅黑" panose="020B0503020204020204" charset="-122"/>
            </a:rPr>
            <a:t>使用</a:t>
          </a:r>
          <a:r>
            <a:rPr lang="en-US" altLang="zh-CN" sz="1200" b="1">
              <a:solidFill>
                <a:schemeClr val="tx1"/>
              </a:solidFill>
              <a:latin typeface="微软雅黑" panose="020B0503020204020204" charset="-122"/>
              <a:ea typeface="微软雅黑" panose="020B0503020204020204" charset="-122"/>
            </a:rPr>
            <a:t>excel</a:t>
          </a:r>
          <a:endParaRPr lang="en-US" altLang="zh-CN" sz="1200" b="1">
            <a:solidFill>
              <a:schemeClr val="tx1"/>
            </a:solidFill>
            <a:latin typeface="微软雅黑" panose="020B0503020204020204" charset="-122"/>
            <a:ea typeface="微软雅黑" panose="020B0503020204020204" charset="-122"/>
          </a:endParaRPr>
        </a:p>
        <a:p>
          <a:pPr algn="l"/>
          <a:r>
            <a:rPr lang="zh-CN" altLang="en-US">
              <a:latin typeface="微软雅黑" panose="020B0503020204020204" charset="-122"/>
              <a:ea typeface="微软雅黑" panose="020B0503020204020204" charset="-122"/>
              <a:cs typeface="微软雅黑" panose="020B0503020204020204" charset="-122"/>
              <a:sym typeface="+mn-ea"/>
            </a:rPr>
            <a:t>本模板为VBA开发，需安启用宏</a:t>
          </a:r>
          <a:endParaRPr lang="zh-CN" altLang="en-US">
            <a:latin typeface="微软雅黑" panose="020B0503020204020204" charset="-122"/>
            <a:ea typeface="微软雅黑" panose="020B0503020204020204" charset="-122"/>
            <a:cs typeface="微软雅黑" panose="020B0503020204020204" charset="-122"/>
            <a:sym typeface="+mn-ea"/>
          </a:endParaRPr>
        </a:p>
        <a:p>
          <a:pPr algn="l"/>
          <a:endParaRPr lang="en-US" altLang="zh-CN" sz="1200" b="1">
            <a:solidFill>
              <a:schemeClr val="tx1"/>
            </a:solidFill>
            <a:latin typeface="微软雅黑" panose="020B0503020204020204" charset="-122"/>
            <a:ea typeface="微软雅黑" panose="020B0503020204020204" charset="-122"/>
            <a:cs typeface="微软雅黑" panose="020B0503020204020204" charset="-122"/>
            <a:sym typeface="+mn-ea"/>
          </a:endParaRPr>
        </a:p>
        <a:p>
          <a:pPr algn="l"/>
          <a:r>
            <a:rPr lang="zh-CN" altLang="en-US">
              <a:latin typeface="微软雅黑" panose="020B0503020204020204" charset="-122"/>
              <a:ea typeface="微软雅黑" panose="020B0503020204020204" charset="-122"/>
              <a:cs typeface="微软雅黑" panose="020B0503020204020204" charset="-122"/>
              <a:sym typeface="+mn-ea"/>
            </a:rPr>
            <a:t>文件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选项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宏设置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启用所有宏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确定</a:t>
          </a:r>
          <a:endParaRPr lang="zh-CN" altLang="en-US" sz="1200" b="1">
            <a:solidFill>
              <a:schemeClr val="tx1"/>
            </a:solidFill>
            <a:latin typeface="微软雅黑" panose="020B0503020204020204" charset="-122"/>
            <a:ea typeface="微软雅黑" panose="020B0503020204020204" charset="-122"/>
            <a:cs typeface="微软雅黑" panose="020B0503020204020204" charset="-122"/>
            <a:sym typeface="+mn-ea"/>
          </a:endParaRPr>
        </a:p>
      </xdr:txBody>
    </xdr:sp>
    <xdr:clientData/>
  </xdr:twoCellAnchor>
  <xdr:twoCellAnchor>
    <xdr:from>
      <xdr:col>5</xdr:col>
      <xdr:colOff>751840</xdr:colOff>
      <xdr:row>0</xdr:row>
      <xdr:rowOff>194310</xdr:rowOff>
    </xdr:from>
    <xdr:to>
      <xdr:col>6</xdr:col>
      <xdr:colOff>320675</xdr:colOff>
      <xdr:row>0</xdr:row>
      <xdr:rowOff>600710</xdr:rowOff>
    </xdr:to>
    <xdr:sp>
      <xdr:nvSpPr>
        <xdr:cNvPr id="5" name="圆角矩形 13">
          <a:hlinkClick xmlns:r="http://schemas.openxmlformats.org/officeDocument/2006/relationships" r:id="rId2"/>
        </xdr:cNvPr>
        <xdr:cNvSpPr/>
      </xdr:nvSpPr>
      <xdr:spPr>
        <a:xfrm>
          <a:off x="4495165" y="194310"/>
          <a:ext cx="1445260" cy="406400"/>
        </a:xfrm>
        <a:prstGeom prst="roundRect">
          <a:avLst/>
        </a:prstGeom>
        <a:solidFill>
          <a:schemeClr val="accent1">
            <a:lumMod val="75000"/>
          </a:schemeClr>
        </a:soli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200" b="1">
              <a:latin typeface="微软雅黑" panose="020B0503020204020204" charset="-122"/>
              <a:ea typeface="微软雅黑" panose="020B0503020204020204" charset="-122"/>
            </a:rPr>
            <a:t>返回首页</a:t>
          </a:r>
          <a:endParaRPr lang="zh-CN" altLang="en-US" sz="1200" b="1">
            <a:latin typeface="微软雅黑" panose="020B0503020204020204" charset="-122"/>
            <a:ea typeface="微软雅黑" panose="020B0503020204020204" charset="-122"/>
          </a:endParaRPr>
        </a:p>
      </xdr:txBody>
    </xdr:sp>
    <xdr:clientData/>
  </xdr:twoCellAnchor>
  <xdr:twoCellAnchor editAs="absolute">
    <xdr:from>
      <xdr:col>2</xdr:col>
      <xdr:colOff>857250</xdr:colOff>
      <xdr:row>0</xdr:row>
      <xdr:rowOff>85725</xdr:rowOff>
    </xdr:from>
    <xdr:to>
      <xdr:col>3</xdr:col>
      <xdr:colOff>393700</xdr:colOff>
      <xdr:row>0</xdr:row>
      <xdr:rowOff>600710</xdr:rowOff>
    </xdr:to>
    <xdr:sp macro="[0]!down">
      <xdr:nvSpPr>
        <xdr:cNvPr id="6"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xdr:from>
      <xdr:col>11</xdr:col>
      <xdr:colOff>171450</xdr:colOff>
      <xdr:row>0</xdr:row>
      <xdr:rowOff>180975</xdr:rowOff>
    </xdr:from>
    <xdr:to>
      <xdr:col>11</xdr:col>
      <xdr:colOff>466725</xdr:colOff>
      <xdr:row>0</xdr:row>
      <xdr:rowOff>659765</xdr:rowOff>
    </xdr:to>
    <xdr:sp>
      <xdr:nvSpPr>
        <xdr:cNvPr id="7" name="下箭头 6"/>
        <xdr:cNvSpPr/>
      </xdr:nvSpPr>
      <xdr:spPr>
        <a:xfrm>
          <a:off x="10753725"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p>
          <a:pPr algn="l"/>
          <a:endParaRPr lang="zh-CN" altLang="en-US" sz="1100"/>
        </a:p>
      </xdr:txBody>
    </xdr:sp>
    <xdr:clientData/>
  </xdr:twoCellAnchor>
  <xdr:twoCellAnchor>
    <xdr:from>
      <xdr:col>11</xdr:col>
      <xdr:colOff>581025</xdr:colOff>
      <xdr:row>0</xdr:row>
      <xdr:rowOff>180975</xdr:rowOff>
    </xdr:from>
    <xdr:to>
      <xdr:col>12</xdr:col>
      <xdr:colOff>190500</xdr:colOff>
      <xdr:row>0</xdr:row>
      <xdr:rowOff>659765</xdr:rowOff>
    </xdr:to>
    <xdr:sp>
      <xdr:nvSpPr>
        <xdr:cNvPr id="8" name="下箭头 7"/>
        <xdr:cNvSpPr/>
      </xdr:nvSpPr>
      <xdr:spPr>
        <a:xfrm>
          <a:off x="1116330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twoCellAnchor>
    <xdr:from>
      <xdr:col>10</xdr:col>
      <xdr:colOff>447675</xdr:colOff>
      <xdr:row>0</xdr:row>
      <xdr:rowOff>180975</xdr:rowOff>
    </xdr:from>
    <xdr:to>
      <xdr:col>11</xdr:col>
      <xdr:colOff>57150</xdr:colOff>
      <xdr:row>0</xdr:row>
      <xdr:rowOff>659765</xdr:rowOff>
    </xdr:to>
    <xdr:sp>
      <xdr:nvSpPr>
        <xdr:cNvPr id="9" name="下箭头 8"/>
        <xdr:cNvSpPr/>
      </xdr:nvSpPr>
      <xdr:spPr>
        <a:xfrm>
          <a:off x="1034415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2</xdr:col>
      <xdr:colOff>1066800</xdr:colOff>
      <xdr:row>1</xdr:row>
      <xdr:rowOff>441325</xdr:rowOff>
    </xdr:to>
    <xdr:sp macro="[0]!select04">
      <xdr:nvSpPr>
        <xdr:cNvPr id="9" name="圆角矩形 8"/>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95250</xdr:colOff>
      <xdr:row>1</xdr:row>
      <xdr:rowOff>50800</xdr:rowOff>
    </xdr:from>
    <xdr:to>
      <xdr:col>3</xdr:col>
      <xdr:colOff>1162050</xdr:colOff>
      <xdr:row>1</xdr:row>
      <xdr:rowOff>441325</xdr:rowOff>
    </xdr:to>
    <xdr:sp macro="[0]!ruku">
      <xdr:nvSpPr>
        <xdr:cNvPr id="10" name="圆角矩形 9"/>
        <xdr:cNvSpPr/>
      </xdr:nvSpPr>
      <xdr:spPr>
        <a:xfrm>
          <a:off x="19907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入库</a:t>
          </a:r>
          <a:endParaRPr lang="zh-CN" altLang="en-US" sz="1400" b="1">
            <a:latin typeface="等线" panose="02010600030101010101" charset="-122"/>
            <a:ea typeface="等线" panose="02010600030101010101" charset="-122"/>
          </a:endParaRPr>
        </a:p>
      </xdr:txBody>
    </xdr:sp>
    <xdr:clientData/>
  </xdr:twoCellAnchor>
  <xdr:twoCellAnchor editAs="absolute">
    <xdr:from>
      <xdr:col>4</xdr:col>
      <xdr:colOff>190500</xdr:colOff>
      <xdr:row>1</xdr:row>
      <xdr:rowOff>50800</xdr:rowOff>
    </xdr:from>
    <xdr:to>
      <xdr:col>4</xdr:col>
      <xdr:colOff>1257300</xdr:colOff>
      <xdr:row>1</xdr:row>
      <xdr:rowOff>441325</xdr:rowOff>
    </xdr:to>
    <xdr:sp macro="[0]!query_04_show">
      <xdr:nvSpPr>
        <xdr:cNvPr id="5" name="圆角矩形 4"/>
        <xdr:cNvSpPr/>
      </xdr:nvSpPr>
      <xdr:spPr>
        <a:xfrm>
          <a:off x="33718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2</xdr:col>
      <xdr:colOff>508635</xdr:colOff>
      <xdr:row>0</xdr:row>
      <xdr:rowOff>127000</xdr:rowOff>
    </xdr:from>
    <xdr:to>
      <xdr:col>17</xdr:col>
      <xdr:colOff>560705</xdr:colOff>
      <xdr:row>0</xdr:row>
      <xdr:rowOff>624205</xdr:rowOff>
    </xdr:to>
    <xdr:sp>
      <xdr:nvSpPr>
        <xdr:cNvPr id="6"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3</xdr:col>
      <xdr:colOff>95250</xdr:colOff>
      <xdr:row>0</xdr:row>
      <xdr:rowOff>557530</xdr:rowOff>
    </xdr:to>
    <xdr:sp macro="[0]!asht1">
      <xdr:nvSpPr>
        <xdr:cNvPr id="7"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134620</xdr:colOff>
      <xdr:row>0</xdr:row>
      <xdr:rowOff>203200</xdr:rowOff>
    </xdr:from>
    <xdr:to>
      <xdr:col>3</xdr:col>
      <xdr:colOff>949960</xdr:colOff>
      <xdr:row>0</xdr:row>
      <xdr:rowOff>557530</xdr:rowOff>
    </xdr:to>
    <xdr:sp macro="[0]!asht2">
      <xdr:nvSpPr>
        <xdr:cNvPr id="8"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989330</xdr:colOff>
      <xdr:row>0</xdr:row>
      <xdr:rowOff>203200</xdr:rowOff>
    </xdr:from>
    <xdr:to>
      <xdr:col>4</xdr:col>
      <xdr:colOff>518795</xdr:colOff>
      <xdr:row>0</xdr:row>
      <xdr:rowOff>557530</xdr:rowOff>
    </xdr:to>
    <xdr:sp macro="[0]!asht4">
      <xdr:nvSpPr>
        <xdr:cNvPr id="11" name="3"/>
        <xdr:cNvSpPr/>
      </xdr:nvSpPr>
      <xdr:spPr>
        <a:xfrm>
          <a:off x="2884805" y="203200"/>
          <a:ext cx="81534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入库</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558165</xdr:colOff>
      <xdr:row>0</xdr:row>
      <xdr:rowOff>203200</xdr:rowOff>
    </xdr:from>
    <xdr:to>
      <xdr:col>5</xdr:col>
      <xdr:colOff>87630</xdr:colOff>
      <xdr:row>0</xdr:row>
      <xdr:rowOff>557530</xdr:rowOff>
    </xdr:to>
    <xdr:sp macro="[0]!asht16">
      <xdr:nvSpPr>
        <xdr:cNvPr id="12"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127000</xdr:colOff>
      <xdr:row>0</xdr:row>
      <xdr:rowOff>203200</xdr:rowOff>
    </xdr:from>
    <xdr:to>
      <xdr:col>5</xdr:col>
      <xdr:colOff>942975</xdr:colOff>
      <xdr:row>0</xdr:row>
      <xdr:rowOff>557530</xdr:rowOff>
    </xdr:to>
    <xdr:sp macro="[0]!asht14">
      <xdr:nvSpPr>
        <xdr:cNvPr id="13"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982345</xdr:colOff>
      <xdr:row>0</xdr:row>
      <xdr:rowOff>203200</xdr:rowOff>
    </xdr:from>
    <xdr:to>
      <xdr:col>6</xdr:col>
      <xdr:colOff>511175</xdr:colOff>
      <xdr:row>0</xdr:row>
      <xdr:rowOff>557530</xdr:rowOff>
    </xdr:to>
    <xdr:sp macro="[0]!asht17">
      <xdr:nvSpPr>
        <xdr:cNvPr id="14"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550545</xdr:colOff>
      <xdr:row>0</xdr:row>
      <xdr:rowOff>203200</xdr:rowOff>
    </xdr:from>
    <xdr:to>
      <xdr:col>7</xdr:col>
      <xdr:colOff>80010</xdr:colOff>
      <xdr:row>0</xdr:row>
      <xdr:rowOff>557530</xdr:rowOff>
    </xdr:to>
    <xdr:sp macro="[0]!asht5">
      <xdr:nvSpPr>
        <xdr:cNvPr id="15"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119380</xdr:colOff>
      <xdr:row>0</xdr:row>
      <xdr:rowOff>203200</xdr:rowOff>
    </xdr:from>
    <xdr:to>
      <xdr:col>7</xdr:col>
      <xdr:colOff>934720</xdr:colOff>
      <xdr:row>0</xdr:row>
      <xdr:rowOff>557530</xdr:rowOff>
    </xdr:to>
    <xdr:sp macro="[0]!asht6">
      <xdr:nvSpPr>
        <xdr:cNvPr id="16"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974090</xdr:colOff>
      <xdr:row>0</xdr:row>
      <xdr:rowOff>203200</xdr:rowOff>
    </xdr:from>
    <xdr:to>
      <xdr:col>8</xdr:col>
      <xdr:colOff>504190</xdr:colOff>
      <xdr:row>0</xdr:row>
      <xdr:rowOff>557530</xdr:rowOff>
    </xdr:to>
    <xdr:sp macro="[0]!asht7">
      <xdr:nvSpPr>
        <xdr:cNvPr id="17"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543560</xdr:colOff>
      <xdr:row>0</xdr:row>
      <xdr:rowOff>203200</xdr:rowOff>
    </xdr:from>
    <xdr:to>
      <xdr:col>9</xdr:col>
      <xdr:colOff>73025</xdr:colOff>
      <xdr:row>0</xdr:row>
      <xdr:rowOff>557530</xdr:rowOff>
    </xdr:to>
    <xdr:sp macro="[0]!asht8">
      <xdr:nvSpPr>
        <xdr:cNvPr id="18"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112395</xdr:colOff>
      <xdr:row>0</xdr:row>
      <xdr:rowOff>203200</xdr:rowOff>
    </xdr:from>
    <xdr:to>
      <xdr:col>9</xdr:col>
      <xdr:colOff>927735</xdr:colOff>
      <xdr:row>0</xdr:row>
      <xdr:rowOff>557530</xdr:rowOff>
    </xdr:to>
    <xdr:sp macro="[0]!asht15">
      <xdr:nvSpPr>
        <xdr:cNvPr id="20"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967105</xdr:colOff>
      <xdr:row>0</xdr:row>
      <xdr:rowOff>203200</xdr:rowOff>
    </xdr:from>
    <xdr:to>
      <xdr:col>11</xdr:col>
      <xdr:colOff>241935</xdr:colOff>
      <xdr:row>0</xdr:row>
      <xdr:rowOff>557530</xdr:rowOff>
    </xdr:to>
    <xdr:sp macro="[0]!asht9">
      <xdr:nvSpPr>
        <xdr:cNvPr id="21"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22" name="文本框 21"/>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入库</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281305</xdr:colOff>
      <xdr:row>0</xdr:row>
      <xdr:rowOff>203200</xdr:rowOff>
    </xdr:from>
    <xdr:to>
      <xdr:col>12</xdr:col>
      <xdr:colOff>413385</xdr:colOff>
      <xdr:row>0</xdr:row>
      <xdr:rowOff>557530</xdr:rowOff>
    </xdr:to>
    <xdr:sp macro="[0]!asht10">
      <xdr:nvSpPr>
        <xdr:cNvPr id="23"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452755</xdr:colOff>
      <xdr:row>0</xdr:row>
      <xdr:rowOff>203200</xdr:rowOff>
    </xdr:from>
    <xdr:to>
      <xdr:col>13</xdr:col>
      <xdr:colOff>584835</xdr:colOff>
      <xdr:row>0</xdr:row>
      <xdr:rowOff>557530</xdr:rowOff>
    </xdr:to>
    <xdr:sp macro="[0]!asht11">
      <xdr:nvSpPr>
        <xdr:cNvPr id="24"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624205</xdr:colOff>
      <xdr:row>0</xdr:row>
      <xdr:rowOff>203200</xdr:rowOff>
    </xdr:from>
    <xdr:to>
      <xdr:col>15</xdr:col>
      <xdr:colOff>70485</xdr:colOff>
      <xdr:row>0</xdr:row>
      <xdr:rowOff>557530</xdr:rowOff>
    </xdr:to>
    <xdr:sp macro="[0]!asht12">
      <xdr:nvSpPr>
        <xdr:cNvPr id="25"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109855</xdr:colOff>
      <xdr:row>0</xdr:row>
      <xdr:rowOff>203200</xdr:rowOff>
    </xdr:from>
    <xdr:to>
      <xdr:col>16</xdr:col>
      <xdr:colOff>241935</xdr:colOff>
      <xdr:row>0</xdr:row>
      <xdr:rowOff>557530</xdr:rowOff>
    </xdr:to>
    <xdr:sp macro="[0]!asht13">
      <xdr:nvSpPr>
        <xdr:cNvPr id="26"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281305</xdr:colOff>
      <xdr:row>0</xdr:row>
      <xdr:rowOff>203200</xdr:rowOff>
    </xdr:from>
    <xdr:to>
      <xdr:col>17</xdr:col>
      <xdr:colOff>413385</xdr:colOff>
      <xdr:row>0</xdr:row>
      <xdr:rowOff>557530</xdr:rowOff>
    </xdr:to>
    <xdr:sp macro="[0]!asht18">
      <xdr:nvSpPr>
        <xdr:cNvPr id="27"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4.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2</xdr:col>
      <xdr:colOff>1066800</xdr:colOff>
      <xdr:row>1</xdr:row>
      <xdr:rowOff>441325</xdr:rowOff>
    </xdr:to>
    <xdr:sp macro="[0]!rukudan_select">
      <xdr:nvSpPr>
        <xdr:cNvPr id="20" name="圆角矩形 19"/>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0</xdr:colOff>
      <xdr:row>1</xdr:row>
      <xdr:rowOff>50800</xdr:rowOff>
    </xdr:from>
    <xdr:to>
      <xdr:col>3</xdr:col>
      <xdr:colOff>1066800</xdr:colOff>
      <xdr:row>1</xdr:row>
      <xdr:rowOff>441325</xdr:rowOff>
    </xdr:to>
    <xdr:sp macro="[0]!print_out">
      <xdr:nvSpPr>
        <xdr:cNvPr id="21" name="圆角矩形 20"/>
        <xdr:cNvSpPr/>
      </xdr:nvSpPr>
      <xdr:spPr>
        <a:xfrm>
          <a:off x="2181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打印</a:t>
          </a:r>
          <a:endParaRPr lang="zh-CN" altLang="en-US" sz="1400" b="1">
            <a:latin typeface="等线" panose="02010600030101010101" charset="-122"/>
            <a:ea typeface="等线" panose="02010600030101010101" charset="-122"/>
          </a:endParaRPr>
        </a:p>
      </xdr:txBody>
    </xdr:sp>
    <xdr:clientData/>
  </xdr:twoCellAnchor>
  <xdr:twoCellAnchor editAs="absolute">
    <xdr:from>
      <xdr:col>2</xdr:col>
      <xdr:colOff>508635</xdr:colOff>
      <xdr:row>0</xdr:row>
      <xdr:rowOff>127000</xdr:rowOff>
    </xdr:from>
    <xdr:to>
      <xdr:col>17</xdr:col>
      <xdr:colOff>46355</xdr:colOff>
      <xdr:row>0</xdr:row>
      <xdr:rowOff>624205</xdr:rowOff>
    </xdr:to>
    <xdr:sp>
      <xdr:nvSpPr>
        <xdr:cNvPr id="22"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2</xdr:col>
      <xdr:colOff>1381125</xdr:colOff>
      <xdr:row>0</xdr:row>
      <xdr:rowOff>557530</xdr:rowOff>
    </xdr:to>
    <xdr:sp macro="[0]!asht1">
      <xdr:nvSpPr>
        <xdr:cNvPr id="23"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xdr:col>
      <xdr:colOff>1420495</xdr:colOff>
      <xdr:row>0</xdr:row>
      <xdr:rowOff>203200</xdr:rowOff>
    </xdr:from>
    <xdr:to>
      <xdr:col>3</xdr:col>
      <xdr:colOff>664210</xdr:colOff>
      <xdr:row>0</xdr:row>
      <xdr:rowOff>557530</xdr:rowOff>
    </xdr:to>
    <xdr:sp macro="[0]!asht2">
      <xdr:nvSpPr>
        <xdr:cNvPr id="24"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703580</xdr:colOff>
      <xdr:row>0</xdr:row>
      <xdr:rowOff>203200</xdr:rowOff>
    </xdr:from>
    <xdr:to>
      <xdr:col>3</xdr:col>
      <xdr:colOff>1518920</xdr:colOff>
      <xdr:row>0</xdr:row>
      <xdr:rowOff>557530</xdr:rowOff>
    </xdr:to>
    <xdr:sp macro="[0]!asht4">
      <xdr:nvSpPr>
        <xdr:cNvPr id="25"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1558290</xdr:colOff>
      <xdr:row>0</xdr:row>
      <xdr:rowOff>203200</xdr:rowOff>
    </xdr:from>
    <xdr:to>
      <xdr:col>4</xdr:col>
      <xdr:colOff>802005</xdr:colOff>
      <xdr:row>0</xdr:row>
      <xdr:rowOff>557530</xdr:rowOff>
    </xdr:to>
    <xdr:sp macro="[0]!asht16">
      <xdr:nvSpPr>
        <xdr:cNvPr id="26" name="4"/>
        <xdr:cNvSpPr/>
      </xdr:nvSpPr>
      <xdr:spPr>
        <a:xfrm>
          <a:off x="3739515" y="203200"/>
          <a:ext cx="81534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入库单</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841375</xdr:colOff>
      <xdr:row>0</xdr:row>
      <xdr:rowOff>203200</xdr:rowOff>
    </xdr:from>
    <xdr:to>
      <xdr:col>5</xdr:col>
      <xdr:colOff>85725</xdr:colOff>
      <xdr:row>0</xdr:row>
      <xdr:rowOff>557530</xdr:rowOff>
    </xdr:to>
    <xdr:sp macro="[0]!asht14">
      <xdr:nvSpPr>
        <xdr:cNvPr id="27"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125095</xdr:colOff>
      <xdr:row>0</xdr:row>
      <xdr:rowOff>203200</xdr:rowOff>
    </xdr:from>
    <xdr:to>
      <xdr:col>5</xdr:col>
      <xdr:colOff>939800</xdr:colOff>
      <xdr:row>0</xdr:row>
      <xdr:rowOff>557530</xdr:rowOff>
    </xdr:to>
    <xdr:sp macro="[0]!asht17">
      <xdr:nvSpPr>
        <xdr:cNvPr id="28"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979170</xdr:colOff>
      <xdr:row>0</xdr:row>
      <xdr:rowOff>203200</xdr:rowOff>
    </xdr:from>
    <xdr:to>
      <xdr:col>6</xdr:col>
      <xdr:colOff>222885</xdr:colOff>
      <xdr:row>0</xdr:row>
      <xdr:rowOff>557530</xdr:rowOff>
    </xdr:to>
    <xdr:sp macro="[0]!asht5">
      <xdr:nvSpPr>
        <xdr:cNvPr id="29"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262255</xdr:colOff>
      <xdr:row>0</xdr:row>
      <xdr:rowOff>203200</xdr:rowOff>
    </xdr:from>
    <xdr:to>
      <xdr:col>6</xdr:col>
      <xdr:colOff>1077595</xdr:colOff>
      <xdr:row>0</xdr:row>
      <xdr:rowOff>557530</xdr:rowOff>
    </xdr:to>
    <xdr:sp macro="[0]!asht6">
      <xdr:nvSpPr>
        <xdr:cNvPr id="30"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1116965</xdr:colOff>
      <xdr:row>0</xdr:row>
      <xdr:rowOff>203200</xdr:rowOff>
    </xdr:from>
    <xdr:to>
      <xdr:col>7</xdr:col>
      <xdr:colOff>361315</xdr:colOff>
      <xdr:row>0</xdr:row>
      <xdr:rowOff>557530</xdr:rowOff>
    </xdr:to>
    <xdr:sp macro="[0]!asht7">
      <xdr:nvSpPr>
        <xdr:cNvPr id="31"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400685</xdr:colOff>
      <xdr:row>0</xdr:row>
      <xdr:rowOff>203200</xdr:rowOff>
    </xdr:from>
    <xdr:to>
      <xdr:col>7</xdr:col>
      <xdr:colOff>1216025</xdr:colOff>
      <xdr:row>0</xdr:row>
      <xdr:rowOff>557530</xdr:rowOff>
    </xdr:to>
    <xdr:sp macro="[0]!asht8">
      <xdr:nvSpPr>
        <xdr:cNvPr id="32"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1255395</xdr:colOff>
      <xdr:row>0</xdr:row>
      <xdr:rowOff>203200</xdr:rowOff>
    </xdr:from>
    <xdr:to>
      <xdr:col>9</xdr:col>
      <xdr:colOff>241935</xdr:colOff>
      <xdr:row>0</xdr:row>
      <xdr:rowOff>557530</xdr:rowOff>
    </xdr:to>
    <xdr:sp macro="[0]!asht15">
      <xdr:nvSpPr>
        <xdr:cNvPr id="33"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281305</xdr:colOff>
      <xdr:row>0</xdr:row>
      <xdr:rowOff>203200</xdr:rowOff>
    </xdr:from>
    <xdr:to>
      <xdr:col>10</xdr:col>
      <xdr:colOff>413385</xdr:colOff>
      <xdr:row>0</xdr:row>
      <xdr:rowOff>557530</xdr:rowOff>
    </xdr:to>
    <xdr:sp macro="[0]!asht9">
      <xdr:nvSpPr>
        <xdr:cNvPr id="34"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35" name="文本框 34"/>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入库单</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10</xdr:col>
      <xdr:colOff>452755</xdr:colOff>
      <xdr:row>0</xdr:row>
      <xdr:rowOff>203200</xdr:rowOff>
    </xdr:from>
    <xdr:to>
      <xdr:col>11</xdr:col>
      <xdr:colOff>584835</xdr:colOff>
      <xdr:row>0</xdr:row>
      <xdr:rowOff>557530</xdr:rowOff>
    </xdr:to>
    <xdr:sp macro="[0]!asht10">
      <xdr:nvSpPr>
        <xdr:cNvPr id="36"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624205</xdr:colOff>
      <xdr:row>0</xdr:row>
      <xdr:rowOff>203200</xdr:rowOff>
    </xdr:from>
    <xdr:to>
      <xdr:col>13</xdr:col>
      <xdr:colOff>70485</xdr:colOff>
      <xdr:row>0</xdr:row>
      <xdr:rowOff>557530</xdr:rowOff>
    </xdr:to>
    <xdr:sp macro="[0]!asht11">
      <xdr:nvSpPr>
        <xdr:cNvPr id="37"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109855</xdr:colOff>
      <xdr:row>0</xdr:row>
      <xdr:rowOff>203200</xdr:rowOff>
    </xdr:from>
    <xdr:to>
      <xdr:col>14</xdr:col>
      <xdr:colOff>241935</xdr:colOff>
      <xdr:row>0</xdr:row>
      <xdr:rowOff>557530</xdr:rowOff>
    </xdr:to>
    <xdr:sp macro="[0]!asht12">
      <xdr:nvSpPr>
        <xdr:cNvPr id="38"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281305</xdr:colOff>
      <xdr:row>0</xdr:row>
      <xdr:rowOff>203200</xdr:rowOff>
    </xdr:from>
    <xdr:to>
      <xdr:col>15</xdr:col>
      <xdr:colOff>413385</xdr:colOff>
      <xdr:row>0</xdr:row>
      <xdr:rowOff>557530</xdr:rowOff>
    </xdr:to>
    <xdr:sp macro="[0]!asht13">
      <xdr:nvSpPr>
        <xdr:cNvPr id="39"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452755</xdr:colOff>
      <xdr:row>0</xdr:row>
      <xdr:rowOff>203200</xdr:rowOff>
    </xdr:from>
    <xdr:to>
      <xdr:col>16</xdr:col>
      <xdr:colOff>584835</xdr:colOff>
      <xdr:row>0</xdr:row>
      <xdr:rowOff>557530</xdr:rowOff>
    </xdr:to>
    <xdr:sp macro="[0]!asht18">
      <xdr:nvSpPr>
        <xdr:cNvPr id="40"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5.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2</xdr:col>
      <xdr:colOff>1066800</xdr:colOff>
      <xdr:row>1</xdr:row>
      <xdr:rowOff>441325</xdr:rowOff>
    </xdr:to>
    <xdr:sp macro="[0]!select14">
      <xdr:nvSpPr>
        <xdr:cNvPr id="22" name="圆角矩形 21"/>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95250</xdr:colOff>
      <xdr:row>1</xdr:row>
      <xdr:rowOff>50800</xdr:rowOff>
    </xdr:from>
    <xdr:to>
      <xdr:col>3</xdr:col>
      <xdr:colOff>1162050</xdr:colOff>
      <xdr:row>1</xdr:row>
      <xdr:rowOff>441325</xdr:rowOff>
    </xdr:to>
    <xdr:sp macro="[0]!chuku">
      <xdr:nvSpPr>
        <xdr:cNvPr id="23" name="圆角矩形 22"/>
        <xdr:cNvSpPr/>
      </xdr:nvSpPr>
      <xdr:spPr>
        <a:xfrm>
          <a:off x="19907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出库</a:t>
          </a:r>
          <a:endParaRPr lang="zh-CN" altLang="en-US" sz="1400" b="1">
            <a:latin typeface="等线" panose="02010600030101010101" charset="-122"/>
            <a:ea typeface="等线" panose="02010600030101010101" charset="-122"/>
          </a:endParaRPr>
        </a:p>
      </xdr:txBody>
    </xdr:sp>
    <xdr:clientData/>
  </xdr:twoCellAnchor>
  <xdr:twoCellAnchor editAs="absolute">
    <xdr:from>
      <xdr:col>4</xdr:col>
      <xdr:colOff>190500</xdr:colOff>
      <xdr:row>1</xdr:row>
      <xdr:rowOff>50800</xdr:rowOff>
    </xdr:from>
    <xdr:to>
      <xdr:col>4</xdr:col>
      <xdr:colOff>1257300</xdr:colOff>
      <xdr:row>1</xdr:row>
      <xdr:rowOff>441325</xdr:rowOff>
    </xdr:to>
    <xdr:sp macro="[0]!query_14_show">
      <xdr:nvSpPr>
        <xdr:cNvPr id="2" name="圆角矩形 1"/>
        <xdr:cNvSpPr/>
      </xdr:nvSpPr>
      <xdr:spPr>
        <a:xfrm>
          <a:off x="33718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2</xdr:col>
      <xdr:colOff>508635</xdr:colOff>
      <xdr:row>0</xdr:row>
      <xdr:rowOff>127000</xdr:rowOff>
    </xdr:from>
    <xdr:to>
      <xdr:col>17</xdr:col>
      <xdr:colOff>560705</xdr:colOff>
      <xdr:row>0</xdr:row>
      <xdr:rowOff>624205</xdr:rowOff>
    </xdr:to>
    <xdr:sp>
      <xdr:nvSpPr>
        <xdr:cNvPr id="3"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3</xdr:col>
      <xdr:colOff>95250</xdr:colOff>
      <xdr:row>0</xdr:row>
      <xdr:rowOff>557530</xdr:rowOff>
    </xdr:to>
    <xdr:sp macro="[0]!asht1">
      <xdr:nvSpPr>
        <xdr:cNvPr id="24"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134620</xdr:colOff>
      <xdr:row>0</xdr:row>
      <xdr:rowOff>203200</xdr:rowOff>
    </xdr:from>
    <xdr:to>
      <xdr:col>3</xdr:col>
      <xdr:colOff>949960</xdr:colOff>
      <xdr:row>0</xdr:row>
      <xdr:rowOff>557530</xdr:rowOff>
    </xdr:to>
    <xdr:sp macro="[0]!asht2">
      <xdr:nvSpPr>
        <xdr:cNvPr id="25"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989330</xdr:colOff>
      <xdr:row>0</xdr:row>
      <xdr:rowOff>203200</xdr:rowOff>
    </xdr:from>
    <xdr:to>
      <xdr:col>4</xdr:col>
      <xdr:colOff>518795</xdr:colOff>
      <xdr:row>0</xdr:row>
      <xdr:rowOff>557530</xdr:rowOff>
    </xdr:to>
    <xdr:sp macro="[0]!asht4">
      <xdr:nvSpPr>
        <xdr:cNvPr id="26"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558165</xdr:colOff>
      <xdr:row>0</xdr:row>
      <xdr:rowOff>203200</xdr:rowOff>
    </xdr:from>
    <xdr:to>
      <xdr:col>5</xdr:col>
      <xdr:colOff>87630</xdr:colOff>
      <xdr:row>0</xdr:row>
      <xdr:rowOff>557530</xdr:rowOff>
    </xdr:to>
    <xdr:sp macro="[0]!asht16">
      <xdr:nvSpPr>
        <xdr:cNvPr id="27"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127000</xdr:colOff>
      <xdr:row>0</xdr:row>
      <xdr:rowOff>203200</xdr:rowOff>
    </xdr:from>
    <xdr:to>
      <xdr:col>5</xdr:col>
      <xdr:colOff>942975</xdr:colOff>
      <xdr:row>0</xdr:row>
      <xdr:rowOff>557530</xdr:rowOff>
    </xdr:to>
    <xdr:sp macro="[0]!asht14">
      <xdr:nvSpPr>
        <xdr:cNvPr id="28" name="5"/>
        <xdr:cNvSpPr/>
      </xdr:nvSpPr>
      <xdr:spPr>
        <a:xfrm>
          <a:off x="4594225" y="203200"/>
          <a:ext cx="815975"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出库</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5</xdr:col>
      <xdr:colOff>982345</xdr:colOff>
      <xdr:row>0</xdr:row>
      <xdr:rowOff>203200</xdr:rowOff>
    </xdr:from>
    <xdr:to>
      <xdr:col>6</xdr:col>
      <xdr:colOff>511175</xdr:colOff>
      <xdr:row>0</xdr:row>
      <xdr:rowOff>557530</xdr:rowOff>
    </xdr:to>
    <xdr:sp macro="[0]!asht17">
      <xdr:nvSpPr>
        <xdr:cNvPr id="29"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550545</xdr:colOff>
      <xdr:row>0</xdr:row>
      <xdr:rowOff>203200</xdr:rowOff>
    </xdr:from>
    <xdr:to>
      <xdr:col>7</xdr:col>
      <xdr:colOff>80010</xdr:colOff>
      <xdr:row>0</xdr:row>
      <xdr:rowOff>557530</xdr:rowOff>
    </xdr:to>
    <xdr:sp macro="[0]!asht5">
      <xdr:nvSpPr>
        <xdr:cNvPr id="30"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119380</xdr:colOff>
      <xdr:row>0</xdr:row>
      <xdr:rowOff>203200</xdr:rowOff>
    </xdr:from>
    <xdr:to>
      <xdr:col>7</xdr:col>
      <xdr:colOff>934720</xdr:colOff>
      <xdr:row>0</xdr:row>
      <xdr:rowOff>557530</xdr:rowOff>
    </xdr:to>
    <xdr:sp macro="[0]!asht6">
      <xdr:nvSpPr>
        <xdr:cNvPr id="31"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974090</xdr:colOff>
      <xdr:row>0</xdr:row>
      <xdr:rowOff>203200</xdr:rowOff>
    </xdr:from>
    <xdr:to>
      <xdr:col>8</xdr:col>
      <xdr:colOff>504190</xdr:colOff>
      <xdr:row>0</xdr:row>
      <xdr:rowOff>557530</xdr:rowOff>
    </xdr:to>
    <xdr:sp macro="[0]!asht7">
      <xdr:nvSpPr>
        <xdr:cNvPr id="32"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543560</xdr:colOff>
      <xdr:row>0</xdr:row>
      <xdr:rowOff>203200</xdr:rowOff>
    </xdr:from>
    <xdr:to>
      <xdr:col>9</xdr:col>
      <xdr:colOff>73025</xdr:colOff>
      <xdr:row>0</xdr:row>
      <xdr:rowOff>557530</xdr:rowOff>
    </xdr:to>
    <xdr:sp macro="[0]!asht8">
      <xdr:nvSpPr>
        <xdr:cNvPr id="33"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112395</xdr:colOff>
      <xdr:row>0</xdr:row>
      <xdr:rowOff>203200</xdr:rowOff>
    </xdr:from>
    <xdr:to>
      <xdr:col>9</xdr:col>
      <xdr:colOff>927735</xdr:colOff>
      <xdr:row>0</xdr:row>
      <xdr:rowOff>557530</xdr:rowOff>
    </xdr:to>
    <xdr:sp macro="[0]!asht15">
      <xdr:nvSpPr>
        <xdr:cNvPr id="34"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967105</xdr:colOff>
      <xdr:row>0</xdr:row>
      <xdr:rowOff>203200</xdr:rowOff>
    </xdr:from>
    <xdr:to>
      <xdr:col>11</xdr:col>
      <xdr:colOff>241935</xdr:colOff>
      <xdr:row>0</xdr:row>
      <xdr:rowOff>557530</xdr:rowOff>
    </xdr:to>
    <xdr:sp macro="[0]!asht9">
      <xdr:nvSpPr>
        <xdr:cNvPr id="35"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36" name="文本框 35"/>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出库</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281305</xdr:colOff>
      <xdr:row>0</xdr:row>
      <xdr:rowOff>203200</xdr:rowOff>
    </xdr:from>
    <xdr:to>
      <xdr:col>12</xdr:col>
      <xdr:colOff>413385</xdr:colOff>
      <xdr:row>0</xdr:row>
      <xdr:rowOff>557530</xdr:rowOff>
    </xdr:to>
    <xdr:sp macro="[0]!asht10">
      <xdr:nvSpPr>
        <xdr:cNvPr id="37"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452755</xdr:colOff>
      <xdr:row>0</xdr:row>
      <xdr:rowOff>203200</xdr:rowOff>
    </xdr:from>
    <xdr:to>
      <xdr:col>13</xdr:col>
      <xdr:colOff>584835</xdr:colOff>
      <xdr:row>0</xdr:row>
      <xdr:rowOff>557530</xdr:rowOff>
    </xdr:to>
    <xdr:sp macro="[0]!asht11">
      <xdr:nvSpPr>
        <xdr:cNvPr id="38"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624205</xdr:colOff>
      <xdr:row>0</xdr:row>
      <xdr:rowOff>203200</xdr:rowOff>
    </xdr:from>
    <xdr:to>
      <xdr:col>15</xdr:col>
      <xdr:colOff>70485</xdr:colOff>
      <xdr:row>0</xdr:row>
      <xdr:rowOff>557530</xdr:rowOff>
    </xdr:to>
    <xdr:sp macro="[0]!asht12">
      <xdr:nvSpPr>
        <xdr:cNvPr id="39"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109855</xdr:colOff>
      <xdr:row>0</xdr:row>
      <xdr:rowOff>203200</xdr:rowOff>
    </xdr:from>
    <xdr:to>
      <xdr:col>16</xdr:col>
      <xdr:colOff>241935</xdr:colOff>
      <xdr:row>0</xdr:row>
      <xdr:rowOff>557530</xdr:rowOff>
    </xdr:to>
    <xdr:sp macro="[0]!asht13">
      <xdr:nvSpPr>
        <xdr:cNvPr id="40"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281305</xdr:colOff>
      <xdr:row>0</xdr:row>
      <xdr:rowOff>203200</xdr:rowOff>
    </xdr:from>
    <xdr:to>
      <xdr:col>17</xdr:col>
      <xdr:colOff>413385</xdr:colOff>
      <xdr:row>0</xdr:row>
      <xdr:rowOff>557530</xdr:rowOff>
    </xdr:to>
    <xdr:sp macro="[0]!asht18">
      <xdr:nvSpPr>
        <xdr:cNvPr id="41"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6.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2</xdr:col>
      <xdr:colOff>1066800</xdr:colOff>
      <xdr:row>1</xdr:row>
      <xdr:rowOff>441325</xdr:rowOff>
    </xdr:to>
    <xdr:sp macro="[0]!chukudan_select">
      <xdr:nvSpPr>
        <xdr:cNvPr id="20" name="圆角矩形 19"/>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0</xdr:colOff>
      <xdr:row>1</xdr:row>
      <xdr:rowOff>50800</xdr:rowOff>
    </xdr:from>
    <xdr:to>
      <xdr:col>3</xdr:col>
      <xdr:colOff>1066800</xdr:colOff>
      <xdr:row>1</xdr:row>
      <xdr:rowOff>441325</xdr:rowOff>
    </xdr:to>
    <xdr:sp macro="[0]!print_out">
      <xdr:nvSpPr>
        <xdr:cNvPr id="21" name="圆角矩形 20"/>
        <xdr:cNvSpPr/>
      </xdr:nvSpPr>
      <xdr:spPr>
        <a:xfrm>
          <a:off x="2181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打印</a:t>
          </a:r>
          <a:endParaRPr lang="zh-CN" altLang="en-US" sz="1400" b="1">
            <a:latin typeface="等线" panose="02010600030101010101" charset="-122"/>
            <a:ea typeface="等线" panose="02010600030101010101" charset="-122"/>
          </a:endParaRPr>
        </a:p>
      </xdr:txBody>
    </xdr:sp>
    <xdr:clientData/>
  </xdr:twoCellAnchor>
  <xdr:twoCellAnchor editAs="absolute">
    <xdr:from>
      <xdr:col>2</xdr:col>
      <xdr:colOff>508635</xdr:colOff>
      <xdr:row>0</xdr:row>
      <xdr:rowOff>127000</xdr:rowOff>
    </xdr:from>
    <xdr:to>
      <xdr:col>17</xdr:col>
      <xdr:colOff>46355</xdr:colOff>
      <xdr:row>0</xdr:row>
      <xdr:rowOff>624205</xdr:rowOff>
    </xdr:to>
    <xdr:sp>
      <xdr:nvSpPr>
        <xdr:cNvPr id="22"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2</xdr:col>
      <xdr:colOff>1381125</xdr:colOff>
      <xdr:row>0</xdr:row>
      <xdr:rowOff>557530</xdr:rowOff>
    </xdr:to>
    <xdr:sp macro="[0]!asht1">
      <xdr:nvSpPr>
        <xdr:cNvPr id="23"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xdr:col>
      <xdr:colOff>1420495</xdr:colOff>
      <xdr:row>0</xdr:row>
      <xdr:rowOff>203200</xdr:rowOff>
    </xdr:from>
    <xdr:to>
      <xdr:col>3</xdr:col>
      <xdr:colOff>664210</xdr:colOff>
      <xdr:row>0</xdr:row>
      <xdr:rowOff>557530</xdr:rowOff>
    </xdr:to>
    <xdr:sp macro="[0]!asht2">
      <xdr:nvSpPr>
        <xdr:cNvPr id="24"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703580</xdr:colOff>
      <xdr:row>0</xdr:row>
      <xdr:rowOff>203200</xdr:rowOff>
    </xdr:from>
    <xdr:to>
      <xdr:col>3</xdr:col>
      <xdr:colOff>1518920</xdr:colOff>
      <xdr:row>0</xdr:row>
      <xdr:rowOff>557530</xdr:rowOff>
    </xdr:to>
    <xdr:sp macro="[0]!asht4">
      <xdr:nvSpPr>
        <xdr:cNvPr id="25"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1558290</xdr:colOff>
      <xdr:row>0</xdr:row>
      <xdr:rowOff>203200</xdr:rowOff>
    </xdr:from>
    <xdr:to>
      <xdr:col>4</xdr:col>
      <xdr:colOff>802005</xdr:colOff>
      <xdr:row>0</xdr:row>
      <xdr:rowOff>557530</xdr:rowOff>
    </xdr:to>
    <xdr:sp macro="[0]!asht16">
      <xdr:nvSpPr>
        <xdr:cNvPr id="26"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841375</xdr:colOff>
      <xdr:row>0</xdr:row>
      <xdr:rowOff>203200</xdr:rowOff>
    </xdr:from>
    <xdr:to>
      <xdr:col>5</xdr:col>
      <xdr:colOff>85725</xdr:colOff>
      <xdr:row>0</xdr:row>
      <xdr:rowOff>557530</xdr:rowOff>
    </xdr:to>
    <xdr:sp macro="[0]!asht14">
      <xdr:nvSpPr>
        <xdr:cNvPr id="27"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125095</xdr:colOff>
      <xdr:row>0</xdr:row>
      <xdr:rowOff>203200</xdr:rowOff>
    </xdr:from>
    <xdr:to>
      <xdr:col>5</xdr:col>
      <xdr:colOff>939800</xdr:colOff>
      <xdr:row>0</xdr:row>
      <xdr:rowOff>557530</xdr:rowOff>
    </xdr:to>
    <xdr:sp macro="[0]!asht17">
      <xdr:nvSpPr>
        <xdr:cNvPr id="28" name="6"/>
        <xdr:cNvSpPr/>
      </xdr:nvSpPr>
      <xdr:spPr>
        <a:xfrm>
          <a:off x="5449570" y="203200"/>
          <a:ext cx="814705"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出库单</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5</xdr:col>
      <xdr:colOff>979170</xdr:colOff>
      <xdr:row>0</xdr:row>
      <xdr:rowOff>203200</xdr:rowOff>
    </xdr:from>
    <xdr:to>
      <xdr:col>6</xdr:col>
      <xdr:colOff>222885</xdr:colOff>
      <xdr:row>0</xdr:row>
      <xdr:rowOff>557530</xdr:rowOff>
    </xdr:to>
    <xdr:sp macro="[0]!asht5">
      <xdr:nvSpPr>
        <xdr:cNvPr id="29"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262255</xdr:colOff>
      <xdr:row>0</xdr:row>
      <xdr:rowOff>203200</xdr:rowOff>
    </xdr:from>
    <xdr:to>
      <xdr:col>6</xdr:col>
      <xdr:colOff>1077595</xdr:colOff>
      <xdr:row>0</xdr:row>
      <xdr:rowOff>557530</xdr:rowOff>
    </xdr:to>
    <xdr:sp macro="[0]!asht6">
      <xdr:nvSpPr>
        <xdr:cNvPr id="30"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1116965</xdr:colOff>
      <xdr:row>0</xdr:row>
      <xdr:rowOff>203200</xdr:rowOff>
    </xdr:from>
    <xdr:to>
      <xdr:col>7</xdr:col>
      <xdr:colOff>361315</xdr:colOff>
      <xdr:row>0</xdr:row>
      <xdr:rowOff>557530</xdr:rowOff>
    </xdr:to>
    <xdr:sp macro="[0]!asht7">
      <xdr:nvSpPr>
        <xdr:cNvPr id="31"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400685</xdr:colOff>
      <xdr:row>0</xdr:row>
      <xdr:rowOff>203200</xdr:rowOff>
    </xdr:from>
    <xdr:to>
      <xdr:col>7</xdr:col>
      <xdr:colOff>1216025</xdr:colOff>
      <xdr:row>0</xdr:row>
      <xdr:rowOff>557530</xdr:rowOff>
    </xdr:to>
    <xdr:sp macro="[0]!asht8">
      <xdr:nvSpPr>
        <xdr:cNvPr id="32"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1255395</xdr:colOff>
      <xdr:row>0</xdr:row>
      <xdr:rowOff>203200</xdr:rowOff>
    </xdr:from>
    <xdr:to>
      <xdr:col>9</xdr:col>
      <xdr:colOff>241935</xdr:colOff>
      <xdr:row>0</xdr:row>
      <xdr:rowOff>557530</xdr:rowOff>
    </xdr:to>
    <xdr:sp macro="[0]!asht15">
      <xdr:nvSpPr>
        <xdr:cNvPr id="33"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281305</xdr:colOff>
      <xdr:row>0</xdr:row>
      <xdr:rowOff>203200</xdr:rowOff>
    </xdr:from>
    <xdr:to>
      <xdr:col>10</xdr:col>
      <xdr:colOff>413385</xdr:colOff>
      <xdr:row>0</xdr:row>
      <xdr:rowOff>557530</xdr:rowOff>
    </xdr:to>
    <xdr:sp macro="[0]!asht9">
      <xdr:nvSpPr>
        <xdr:cNvPr id="34"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35" name="文本框 34"/>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出库单</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10</xdr:col>
      <xdr:colOff>452755</xdr:colOff>
      <xdr:row>0</xdr:row>
      <xdr:rowOff>203200</xdr:rowOff>
    </xdr:from>
    <xdr:to>
      <xdr:col>11</xdr:col>
      <xdr:colOff>584835</xdr:colOff>
      <xdr:row>0</xdr:row>
      <xdr:rowOff>557530</xdr:rowOff>
    </xdr:to>
    <xdr:sp macro="[0]!asht10">
      <xdr:nvSpPr>
        <xdr:cNvPr id="36"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624205</xdr:colOff>
      <xdr:row>0</xdr:row>
      <xdr:rowOff>203200</xdr:rowOff>
    </xdr:from>
    <xdr:to>
      <xdr:col>13</xdr:col>
      <xdr:colOff>70485</xdr:colOff>
      <xdr:row>0</xdr:row>
      <xdr:rowOff>557530</xdr:rowOff>
    </xdr:to>
    <xdr:sp macro="[0]!asht11">
      <xdr:nvSpPr>
        <xdr:cNvPr id="37"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109855</xdr:colOff>
      <xdr:row>0</xdr:row>
      <xdr:rowOff>203200</xdr:rowOff>
    </xdr:from>
    <xdr:to>
      <xdr:col>14</xdr:col>
      <xdr:colOff>241935</xdr:colOff>
      <xdr:row>0</xdr:row>
      <xdr:rowOff>557530</xdr:rowOff>
    </xdr:to>
    <xdr:sp macro="[0]!asht12">
      <xdr:nvSpPr>
        <xdr:cNvPr id="38"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281305</xdr:colOff>
      <xdr:row>0</xdr:row>
      <xdr:rowOff>203200</xdr:rowOff>
    </xdr:from>
    <xdr:to>
      <xdr:col>15</xdr:col>
      <xdr:colOff>413385</xdr:colOff>
      <xdr:row>0</xdr:row>
      <xdr:rowOff>557530</xdr:rowOff>
    </xdr:to>
    <xdr:sp macro="[0]!asht13">
      <xdr:nvSpPr>
        <xdr:cNvPr id="39"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452755</xdr:colOff>
      <xdr:row>0</xdr:row>
      <xdr:rowOff>203200</xdr:rowOff>
    </xdr:from>
    <xdr:to>
      <xdr:col>16</xdr:col>
      <xdr:colOff>584835</xdr:colOff>
      <xdr:row>0</xdr:row>
      <xdr:rowOff>557530</xdr:rowOff>
    </xdr:to>
    <xdr:sp macro="[0]!asht18">
      <xdr:nvSpPr>
        <xdr:cNvPr id="40"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7.xml><?xml version="1.0" encoding="utf-8"?>
<xdr:wsDr xmlns:xdr="http://schemas.openxmlformats.org/drawingml/2006/spreadsheetDrawing" xmlns:r="http://schemas.openxmlformats.org/officeDocument/2006/relationships" xmlns:a="http://schemas.openxmlformats.org/drawingml/2006/main">
  <xdr:twoCellAnchor editAs="absolute">
    <xdr:from>
      <xdr:col>3</xdr:col>
      <xdr:colOff>238125</xdr:colOff>
      <xdr:row>1</xdr:row>
      <xdr:rowOff>50800</xdr:rowOff>
    </xdr:from>
    <xdr:to>
      <xdr:col>4</xdr:col>
      <xdr:colOff>19050</xdr:colOff>
      <xdr:row>1</xdr:row>
      <xdr:rowOff>441325</xdr:rowOff>
    </xdr:to>
    <xdr:sp macro="[0]!select19">
      <xdr:nvSpPr>
        <xdr:cNvPr id="2" name="圆角矩形 1"/>
        <xdr:cNvSpPr/>
      </xdr:nvSpPr>
      <xdr:spPr>
        <a:xfrm>
          <a:off x="2133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4</xdr:col>
      <xdr:colOff>333375</xdr:colOff>
      <xdr:row>1</xdr:row>
      <xdr:rowOff>50800</xdr:rowOff>
    </xdr:from>
    <xdr:to>
      <xdr:col>5</xdr:col>
      <xdr:colOff>114300</xdr:colOff>
      <xdr:row>1</xdr:row>
      <xdr:rowOff>441325</xdr:rowOff>
    </xdr:to>
    <xdr:sp macro="[0]!diaobo">
      <xdr:nvSpPr>
        <xdr:cNvPr id="3" name="圆角矩形 2"/>
        <xdr:cNvSpPr/>
      </xdr:nvSpPr>
      <xdr:spPr>
        <a:xfrm>
          <a:off x="35147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调拨</a:t>
          </a:r>
          <a:endParaRPr lang="zh-CN" altLang="en-US" sz="1400" b="1">
            <a:latin typeface="等线" panose="02010600030101010101" charset="-122"/>
            <a:ea typeface="等线" panose="02010600030101010101" charset="-122"/>
          </a:endParaRPr>
        </a:p>
      </xdr:txBody>
    </xdr:sp>
    <xdr:clientData/>
  </xdr:twoCellAnchor>
  <xdr:twoCellAnchor editAs="absolute">
    <xdr:from>
      <xdr:col>2</xdr:col>
      <xdr:colOff>508635</xdr:colOff>
      <xdr:row>0</xdr:row>
      <xdr:rowOff>127000</xdr:rowOff>
    </xdr:from>
    <xdr:to>
      <xdr:col>32</xdr:col>
      <xdr:colOff>445770</xdr:colOff>
      <xdr:row>0</xdr:row>
      <xdr:rowOff>624205</xdr:rowOff>
    </xdr:to>
    <xdr:sp>
      <xdr:nvSpPr>
        <xdr:cNvPr id="4" name="圆角矩形 14"/>
        <xdr:cNvSpPr/>
      </xdr:nvSpPr>
      <xdr:spPr>
        <a:xfrm>
          <a:off x="1118235" y="127000"/>
          <a:ext cx="2488311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3</xdr:col>
      <xdr:colOff>95250</xdr:colOff>
      <xdr:row>0</xdr:row>
      <xdr:rowOff>557530</xdr:rowOff>
    </xdr:to>
    <xdr:sp macro="[1]!asht1">
      <xdr:nvSpPr>
        <xdr:cNvPr id="5"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134620</xdr:colOff>
      <xdr:row>0</xdr:row>
      <xdr:rowOff>203200</xdr:rowOff>
    </xdr:from>
    <xdr:to>
      <xdr:col>3</xdr:col>
      <xdr:colOff>949960</xdr:colOff>
      <xdr:row>0</xdr:row>
      <xdr:rowOff>557530</xdr:rowOff>
    </xdr:to>
    <xdr:sp macro="[1]!asht2">
      <xdr:nvSpPr>
        <xdr:cNvPr id="6"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989330</xdr:colOff>
      <xdr:row>0</xdr:row>
      <xdr:rowOff>203200</xdr:rowOff>
    </xdr:from>
    <xdr:to>
      <xdr:col>4</xdr:col>
      <xdr:colOff>518795</xdr:colOff>
      <xdr:row>0</xdr:row>
      <xdr:rowOff>557530</xdr:rowOff>
    </xdr:to>
    <xdr:sp macro="[1]!asht4">
      <xdr:nvSpPr>
        <xdr:cNvPr id="7" name="3"/>
        <xdr:cNvSpPr/>
      </xdr:nvSpPr>
      <xdr:spPr>
        <a:xfrm>
          <a:off x="2884805" y="203200"/>
          <a:ext cx="815340" cy="354330"/>
        </a:xfrm>
        <a:prstGeom prst="rect">
          <a:avLst/>
        </a:prstGeom>
        <a:ln>
          <a:noFill/>
        </a:ln>
      </xdr:spPr>
      <xdr:style>
        <a:lnRef idx="3">
          <a:schemeClr val="accent1"/>
        </a:lnRef>
        <a:fillRef idx="0">
          <a:srgbClr val="FFFFFF"/>
        </a:fillRef>
        <a:effectRef idx="0">
          <a:srgbClr val="FFFFFF"/>
        </a:effectRef>
        <a:fontRef idx="minor">
          <a:schemeClr val="tx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558165</xdr:colOff>
      <xdr:row>0</xdr:row>
      <xdr:rowOff>203200</xdr:rowOff>
    </xdr:from>
    <xdr:to>
      <xdr:col>5</xdr:col>
      <xdr:colOff>87630</xdr:colOff>
      <xdr:row>0</xdr:row>
      <xdr:rowOff>557530</xdr:rowOff>
    </xdr:to>
    <xdr:sp macro="[1]!asht16">
      <xdr:nvSpPr>
        <xdr:cNvPr id="8"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127000</xdr:colOff>
      <xdr:row>0</xdr:row>
      <xdr:rowOff>203200</xdr:rowOff>
    </xdr:from>
    <xdr:to>
      <xdr:col>5</xdr:col>
      <xdr:colOff>942975</xdr:colOff>
      <xdr:row>0</xdr:row>
      <xdr:rowOff>557530</xdr:rowOff>
    </xdr:to>
    <xdr:sp macro="[1]!asht14">
      <xdr:nvSpPr>
        <xdr:cNvPr id="9"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982345</xdr:colOff>
      <xdr:row>0</xdr:row>
      <xdr:rowOff>203200</xdr:rowOff>
    </xdr:from>
    <xdr:to>
      <xdr:col>6</xdr:col>
      <xdr:colOff>511175</xdr:colOff>
      <xdr:row>0</xdr:row>
      <xdr:rowOff>557530</xdr:rowOff>
    </xdr:to>
    <xdr:sp macro="[1]!asht17">
      <xdr:nvSpPr>
        <xdr:cNvPr id="10"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550545</xdr:colOff>
      <xdr:row>0</xdr:row>
      <xdr:rowOff>203200</xdr:rowOff>
    </xdr:from>
    <xdr:to>
      <xdr:col>7</xdr:col>
      <xdr:colOff>80010</xdr:colOff>
      <xdr:row>0</xdr:row>
      <xdr:rowOff>557530</xdr:rowOff>
    </xdr:to>
    <xdr:sp macro="[1]!asht5">
      <xdr:nvSpPr>
        <xdr:cNvPr id="11"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119380</xdr:colOff>
      <xdr:row>0</xdr:row>
      <xdr:rowOff>203200</xdr:rowOff>
    </xdr:from>
    <xdr:to>
      <xdr:col>7</xdr:col>
      <xdr:colOff>934720</xdr:colOff>
      <xdr:row>0</xdr:row>
      <xdr:rowOff>557530</xdr:rowOff>
    </xdr:to>
    <xdr:sp macro="[1]!asht6">
      <xdr:nvSpPr>
        <xdr:cNvPr id="12"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974090</xdr:colOff>
      <xdr:row>0</xdr:row>
      <xdr:rowOff>203200</xdr:rowOff>
    </xdr:from>
    <xdr:to>
      <xdr:col>8</xdr:col>
      <xdr:colOff>504190</xdr:colOff>
      <xdr:row>0</xdr:row>
      <xdr:rowOff>557530</xdr:rowOff>
    </xdr:to>
    <xdr:sp macro="[1]!asht7">
      <xdr:nvSpPr>
        <xdr:cNvPr id="13"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543560</xdr:colOff>
      <xdr:row>0</xdr:row>
      <xdr:rowOff>203200</xdr:rowOff>
    </xdr:from>
    <xdr:to>
      <xdr:col>9</xdr:col>
      <xdr:colOff>73025</xdr:colOff>
      <xdr:row>0</xdr:row>
      <xdr:rowOff>557530</xdr:rowOff>
    </xdr:to>
    <xdr:sp macro="[1]!asht8">
      <xdr:nvSpPr>
        <xdr:cNvPr id="14"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112395</xdr:colOff>
      <xdr:row>0</xdr:row>
      <xdr:rowOff>203200</xdr:rowOff>
    </xdr:from>
    <xdr:to>
      <xdr:col>9</xdr:col>
      <xdr:colOff>927735</xdr:colOff>
      <xdr:row>0</xdr:row>
      <xdr:rowOff>557530</xdr:rowOff>
    </xdr:to>
    <xdr:sp macro="[1]!asht15">
      <xdr:nvSpPr>
        <xdr:cNvPr id="15"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967105</xdr:colOff>
      <xdr:row>0</xdr:row>
      <xdr:rowOff>203200</xdr:rowOff>
    </xdr:from>
    <xdr:to>
      <xdr:col>11</xdr:col>
      <xdr:colOff>241935</xdr:colOff>
      <xdr:row>0</xdr:row>
      <xdr:rowOff>557530</xdr:rowOff>
    </xdr:to>
    <xdr:sp macro="[1]!asht9">
      <xdr:nvSpPr>
        <xdr:cNvPr id="16"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17" name="文本框 16"/>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库存调拨</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281305</xdr:colOff>
      <xdr:row>0</xdr:row>
      <xdr:rowOff>203200</xdr:rowOff>
    </xdr:from>
    <xdr:to>
      <xdr:col>12</xdr:col>
      <xdr:colOff>413385</xdr:colOff>
      <xdr:row>0</xdr:row>
      <xdr:rowOff>557530</xdr:rowOff>
    </xdr:to>
    <xdr:sp macro="[1]!asht10">
      <xdr:nvSpPr>
        <xdr:cNvPr id="18"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452755</xdr:colOff>
      <xdr:row>0</xdr:row>
      <xdr:rowOff>203200</xdr:rowOff>
    </xdr:from>
    <xdr:to>
      <xdr:col>13</xdr:col>
      <xdr:colOff>584835</xdr:colOff>
      <xdr:row>0</xdr:row>
      <xdr:rowOff>557530</xdr:rowOff>
    </xdr:to>
    <xdr:sp macro="[1]!asht11">
      <xdr:nvSpPr>
        <xdr:cNvPr id="19"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624205</xdr:colOff>
      <xdr:row>0</xdr:row>
      <xdr:rowOff>203200</xdr:rowOff>
    </xdr:from>
    <xdr:to>
      <xdr:col>15</xdr:col>
      <xdr:colOff>70485</xdr:colOff>
      <xdr:row>0</xdr:row>
      <xdr:rowOff>557530</xdr:rowOff>
    </xdr:to>
    <xdr:sp macro="[1]!asht12">
      <xdr:nvSpPr>
        <xdr:cNvPr id="20"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109855</xdr:colOff>
      <xdr:row>0</xdr:row>
      <xdr:rowOff>203200</xdr:rowOff>
    </xdr:from>
    <xdr:to>
      <xdr:col>16</xdr:col>
      <xdr:colOff>241935</xdr:colOff>
      <xdr:row>0</xdr:row>
      <xdr:rowOff>557530</xdr:rowOff>
    </xdr:to>
    <xdr:sp macro="[1]!asht13">
      <xdr:nvSpPr>
        <xdr:cNvPr id="21"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281305</xdr:colOff>
      <xdr:row>0</xdr:row>
      <xdr:rowOff>203200</xdr:rowOff>
    </xdr:from>
    <xdr:to>
      <xdr:col>17</xdr:col>
      <xdr:colOff>413385</xdr:colOff>
      <xdr:row>0</xdr:row>
      <xdr:rowOff>557530</xdr:rowOff>
    </xdr:to>
    <xdr:sp macro="[1]!asht18">
      <xdr:nvSpPr>
        <xdr:cNvPr id="22"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17</xdr:col>
      <xdr:colOff>447675</xdr:colOff>
      <xdr:row>0</xdr:row>
      <xdr:rowOff>207645</xdr:rowOff>
    </xdr:from>
    <xdr:to>
      <xdr:col>18</xdr:col>
      <xdr:colOff>579755</xdr:colOff>
      <xdr:row>0</xdr:row>
      <xdr:rowOff>561975</xdr:rowOff>
    </xdr:to>
    <xdr:sp macro="[1]!asht18">
      <xdr:nvSpPr>
        <xdr:cNvPr id="23" name="12">
          <a:hlinkClick xmlns:r="http://schemas.openxmlformats.org/officeDocument/2006/relationships" r:id="rId1"/>
        </xdr:cNvPr>
        <xdr:cNvSpPr/>
      </xdr:nvSpPr>
      <xdr:spPr>
        <a:xfrm>
          <a:off x="15716250" y="207645"/>
          <a:ext cx="817880" cy="354330"/>
        </a:xfrm>
        <a:prstGeom prst="rect">
          <a:avLst/>
        </a:prstGeom>
      </xdr:spPr>
      <xdr:style>
        <a:lnRef idx="2">
          <a:schemeClr val="lt1"/>
        </a:lnRef>
        <a:fillRef idx="1">
          <a:schemeClr val="accent1"/>
        </a:fillRef>
        <a:effectRef idx="1">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库存调拨</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18</xdr:col>
      <xdr:colOff>553720</xdr:colOff>
      <xdr:row>0</xdr:row>
      <xdr:rowOff>207645</xdr:rowOff>
    </xdr:from>
    <xdr:to>
      <xdr:col>20</xdr:col>
      <xdr:colOff>0</xdr:colOff>
      <xdr:row>0</xdr:row>
      <xdr:rowOff>561975</xdr:rowOff>
    </xdr:to>
    <xdr:sp macro="[1]!asht18">
      <xdr:nvSpPr>
        <xdr:cNvPr id="24" name="12">
          <a:hlinkClick xmlns:r="http://schemas.openxmlformats.org/officeDocument/2006/relationships" r:id="rId2"/>
        </xdr:cNvPr>
        <xdr:cNvSpPr/>
      </xdr:nvSpPr>
      <xdr:spPr>
        <a:xfrm>
          <a:off x="165080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1270</xdr:colOff>
      <xdr:row>0</xdr:row>
      <xdr:rowOff>207645</xdr:rowOff>
    </xdr:from>
    <xdr:to>
      <xdr:col>21</xdr:col>
      <xdr:colOff>133350</xdr:colOff>
      <xdr:row>0</xdr:row>
      <xdr:rowOff>561975</xdr:rowOff>
    </xdr:to>
    <xdr:sp macro="[1]!asht18">
      <xdr:nvSpPr>
        <xdr:cNvPr id="25" name="12">
          <a:hlinkClick xmlns:r="http://schemas.openxmlformats.org/officeDocument/2006/relationships" r:id="rId3"/>
        </xdr:cNvPr>
        <xdr:cNvSpPr/>
      </xdr:nvSpPr>
      <xdr:spPr>
        <a:xfrm>
          <a:off x="1732724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86995</xdr:colOff>
      <xdr:row>0</xdr:row>
      <xdr:rowOff>207645</xdr:rowOff>
    </xdr:from>
    <xdr:to>
      <xdr:col>22</xdr:col>
      <xdr:colOff>219075</xdr:colOff>
      <xdr:row>0</xdr:row>
      <xdr:rowOff>561975</xdr:rowOff>
    </xdr:to>
    <xdr:sp macro="[1]!asht18">
      <xdr:nvSpPr>
        <xdr:cNvPr id="26" name="12">
          <a:hlinkClick xmlns:r="http://schemas.openxmlformats.org/officeDocument/2006/relationships" r:id="rId4"/>
        </xdr:cNvPr>
        <xdr:cNvSpPr/>
      </xdr:nvSpPr>
      <xdr:spPr>
        <a:xfrm>
          <a:off x="1809877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191770</xdr:colOff>
      <xdr:row>0</xdr:row>
      <xdr:rowOff>207645</xdr:rowOff>
    </xdr:from>
    <xdr:to>
      <xdr:col>23</xdr:col>
      <xdr:colOff>323850</xdr:colOff>
      <xdr:row>0</xdr:row>
      <xdr:rowOff>561975</xdr:rowOff>
    </xdr:to>
    <xdr:sp macro="[1]!asht18">
      <xdr:nvSpPr>
        <xdr:cNvPr id="27" name="12">
          <a:hlinkClick xmlns:r="http://schemas.openxmlformats.org/officeDocument/2006/relationships" r:id="rId5"/>
        </xdr:cNvPr>
        <xdr:cNvSpPr/>
      </xdr:nvSpPr>
      <xdr:spPr>
        <a:xfrm>
          <a:off x="1888934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382270</xdr:colOff>
      <xdr:row>0</xdr:row>
      <xdr:rowOff>207645</xdr:rowOff>
    </xdr:from>
    <xdr:to>
      <xdr:col>24</xdr:col>
      <xdr:colOff>514350</xdr:colOff>
      <xdr:row>0</xdr:row>
      <xdr:rowOff>561975</xdr:rowOff>
    </xdr:to>
    <xdr:sp macro="[1]!asht18">
      <xdr:nvSpPr>
        <xdr:cNvPr id="28" name="12">
          <a:hlinkClick xmlns:r="http://schemas.openxmlformats.org/officeDocument/2006/relationships" r:id="rId6"/>
        </xdr:cNvPr>
        <xdr:cNvSpPr/>
      </xdr:nvSpPr>
      <xdr:spPr>
        <a:xfrm>
          <a:off x="1976564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553720</xdr:colOff>
      <xdr:row>0</xdr:row>
      <xdr:rowOff>207645</xdr:rowOff>
    </xdr:from>
    <xdr:to>
      <xdr:col>26</xdr:col>
      <xdr:colOff>0</xdr:colOff>
      <xdr:row>0</xdr:row>
      <xdr:rowOff>561975</xdr:rowOff>
    </xdr:to>
    <xdr:sp macro="[1]!asht18">
      <xdr:nvSpPr>
        <xdr:cNvPr id="29" name="12">
          <a:hlinkClick xmlns:r="http://schemas.openxmlformats.org/officeDocument/2006/relationships" r:id="rId7"/>
        </xdr:cNvPr>
        <xdr:cNvSpPr/>
      </xdr:nvSpPr>
      <xdr:spPr>
        <a:xfrm>
          <a:off x="206228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26</xdr:col>
      <xdr:colOff>86995</xdr:colOff>
      <xdr:row>0</xdr:row>
      <xdr:rowOff>207645</xdr:rowOff>
    </xdr:from>
    <xdr:to>
      <xdr:col>27</xdr:col>
      <xdr:colOff>219075</xdr:colOff>
      <xdr:row>0</xdr:row>
      <xdr:rowOff>561975</xdr:rowOff>
    </xdr:to>
    <xdr:sp macro="[1]!asht18">
      <xdr:nvSpPr>
        <xdr:cNvPr id="30" name="12">
          <a:hlinkClick xmlns:r="http://schemas.openxmlformats.org/officeDocument/2006/relationships" r:id="rId8"/>
        </xdr:cNvPr>
        <xdr:cNvSpPr/>
      </xdr:nvSpPr>
      <xdr:spPr>
        <a:xfrm>
          <a:off x="2152777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191770</xdr:colOff>
      <xdr:row>0</xdr:row>
      <xdr:rowOff>207645</xdr:rowOff>
    </xdr:from>
    <xdr:to>
      <xdr:col>28</xdr:col>
      <xdr:colOff>323850</xdr:colOff>
      <xdr:row>0</xdr:row>
      <xdr:rowOff>561975</xdr:rowOff>
    </xdr:to>
    <xdr:sp macro="[1]!asht18">
      <xdr:nvSpPr>
        <xdr:cNvPr id="31" name="12">
          <a:hlinkClick xmlns:r="http://schemas.openxmlformats.org/officeDocument/2006/relationships" r:id="rId9"/>
        </xdr:cNvPr>
        <xdr:cNvSpPr/>
      </xdr:nvSpPr>
      <xdr:spPr>
        <a:xfrm>
          <a:off x="2231834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28</xdr:col>
      <xdr:colOff>429895</xdr:colOff>
      <xdr:row>0</xdr:row>
      <xdr:rowOff>207645</xdr:rowOff>
    </xdr:from>
    <xdr:to>
      <xdr:col>29</xdr:col>
      <xdr:colOff>561975</xdr:colOff>
      <xdr:row>0</xdr:row>
      <xdr:rowOff>561975</xdr:rowOff>
    </xdr:to>
    <xdr:sp macro="[1]!asht18">
      <xdr:nvSpPr>
        <xdr:cNvPr id="32" name="12">
          <a:hlinkClick xmlns:r="http://schemas.openxmlformats.org/officeDocument/2006/relationships" r:id="rId10"/>
        </xdr:cNvPr>
        <xdr:cNvSpPr/>
      </xdr:nvSpPr>
      <xdr:spPr>
        <a:xfrm>
          <a:off x="2324227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563245</xdr:colOff>
      <xdr:row>0</xdr:row>
      <xdr:rowOff>207645</xdr:rowOff>
    </xdr:from>
    <xdr:to>
      <xdr:col>31</xdr:col>
      <xdr:colOff>9525</xdr:colOff>
      <xdr:row>0</xdr:row>
      <xdr:rowOff>561975</xdr:rowOff>
    </xdr:to>
    <xdr:sp macro="[1]!asht18">
      <xdr:nvSpPr>
        <xdr:cNvPr id="33" name="12">
          <a:hlinkClick xmlns:r="http://schemas.openxmlformats.org/officeDocument/2006/relationships" r:id="rId11"/>
        </xdr:cNvPr>
        <xdr:cNvSpPr/>
      </xdr:nvSpPr>
      <xdr:spPr>
        <a:xfrm>
          <a:off x="2406142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31</xdr:col>
      <xdr:colOff>13970</xdr:colOff>
      <xdr:row>0</xdr:row>
      <xdr:rowOff>207645</xdr:rowOff>
    </xdr:from>
    <xdr:to>
      <xdr:col>32</xdr:col>
      <xdr:colOff>146050</xdr:colOff>
      <xdr:row>0</xdr:row>
      <xdr:rowOff>561975</xdr:rowOff>
    </xdr:to>
    <xdr:sp macro="[1]!asht18">
      <xdr:nvSpPr>
        <xdr:cNvPr id="34" name="12">
          <a:hlinkClick xmlns:r="http://schemas.openxmlformats.org/officeDocument/2006/relationships" r:id="rId12"/>
        </xdr:cNvPr>
        <xdr:cNvSpPr/>
      </xdr:nvSpPr>
      <xdr:spPr>
        <a:xfrm>
          <a:off x="2488374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8.xml><?xml version="1.0" encoding="utf-8"?>
<xdr:wsDr xmlns:xdr="http://schemas.openxmlformats.org/drawingml/2006/spreadsheetDrawing" xmlns:r="http://schemas.openxmlformats.org/officeDocument/2006/relationships" xmlns:a="http://schemas.openxmlformats.org/drawingml/2006/main">
  <xdr:twoCellAnchor editAs="absolute">
    <xdr:from>
      <xdr:col>3</xdr:col>
      <xdr:colOff>238125</xdr:colOff>
      <xdr:row>1</xdr:row>
      <xdr:rowOff>50800</xdr:rowOff>
    </xdr:from>
    <xdr:to>
      <xdr:col>4</xdr:col>
      <xdr:colOff>19050</xdr:colOff>
      <xdr:row>1</xdr:row>
      <xdr:rowOff>441325</xdr:rowOff>
    </xdr:to>
    <xdr:sp macro="[0]!select20">
      <xdr:nvSpPr>
        <xdr:cNvPr id="2" name="圆角矩形 1"/>
        <xdr:cNvSpPr/>
      </xdr:nvSpPr>
      <xdr:spPr>
        <a:xfrm>
          <a:off x="2133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4</xdr:col>
      <xdr:colOff>333375</xdr:colOff>
      <xdr:row>1</xdr:row>
      <xdr:rowOff>50800</xdr:rowOff>
    </xdr:from>
    <xdr:to>
      <xdr:col>5</xdr:col>
      <xdr:colOff>114300</xdr:colOff>
      <xdr:row>1</xdr:row>
      <xdr:rowOff>441325</xdr:rowOff>
    </xdr:to>
    <xdr:sp macro="[0]!pandian">
      <xdr:nvSpPr>
        <xdr:cNvPr id="3" name="圆角矩形 2"/>
        <xdr:cNvSpPr/>
      </xdr:nvSpPr>
      <xdr:spPr>
        <a:xfrm>
          <a:off x="35147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盘点</a:t>
          </a:r>
          <a:endParaRPr lang="zh-CN" altLang="en-US" sz="1400" b="1">
            <a:latin typeface="等线" panose="02010600030101010101" charset="-122"/>
            <a:ea typeface="等线" panose="02010600030101010101" charset="-122"/>
          </a:endParaRPr>
        </a:p>
      </xdr:txBody>
    </xdr:sp>
    <xdr:clientData/>
  </xdr:twoCellAnchor>
  <xdr:twoCellAnchor editAs="absolute">
    <xdr:from>
      <xdr:col>2</xdr:col>
      <xdr:colOff>508635</xdr:colOff>
      <xdr:row>0</xdr:row>
      <xdr:rowOff>127000</xdr:rowOff>
    </xdr:from>
    <xdr:to>
      <xdr:col>33</xdr:col>
      <xdr:colOff>455295</xdr:colOff>
      <xdr:row>0</xdr:row>
      <xdr:rowOff>624205</xdr:rowOff>
    </xdr:to>
    <xdr:sp>
      <xdr:nvSpPr>
        <xdr:cNvPr id="4" name="圆角矩形 14"/>
        <xdr:cNvSpPr/>
      </xdr:nvSpPr>
      <xdr:spPr>
        <a:xfrm>
          <a:off x="1118235" y="127000"/>
          <a:ext cx="2497836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3</xdr:col>
      <xdr:colOff>95250</xdr:colOff>
      <xdr:row>0</xdr:row>
      <xdr:rowOff>557530</xdr:rowOff>
    </xdr:to>
    <xdr:sp macro="[1]!asht1">
      <xdr:nvSpPr>
        <xdr:cNvPr id="5"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134620</xdr:colOff>
      <xdr:row>0</xdr:row>
      <xdr:rowOff>203200</xdr:rowOff>
    </xdr:from>
    <xdr:to>
      <xdr:col>3</xdr:col>
      <xdr:colOff>949960</xdr:colOff>
      <xdr:row>0</xdr:row>
      <xdr:rowOff>557530</xdr:rowOff>
    </xdr:to>
    <xdr:sp macro="[1]!asht2">
      <xdr:nvSpPr>
        <xdr:cNvPr id="6"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989330</xdr:colOff>
      <xdr:row>0</xdr:row>
      <xdr:rowOff>203200</xdr:rowOff>
    </xdr:from>
    <xdr:to>
      <xdr:col>4</xdr:col>
      <xdr:colOff>518795</xdr:colOff>
      <xdr:row>0</xdr:row>
      <xdr:rowOff>557530</xdr:rowOff>
    </xdr:to>
    <xdr:sp macro="[1]!asht4">
      <xdr:nvSpPr>
        <xdr:cNvPr id="7" name="3"/>
        <xdr:cNvSpPr/>
      </xdr:nvSpPr>
      <xdr:spPr>
        <a:xfrm>
          <a:off x="2884805" y="203200"/>
          <a:ext cx="815340" cy="354330"/>
        </a:xfrm>
        <a:prstGeom prst="rect">
          <a:avLst/>
        </a:prstGeom>
        <a:ln>
          <a:noFill/>
        </a:ln>
      </xdr:spPr>
      <xdr:style>
        <a:lnRef idx="3">
          <a:schemeClr val="accent1"/>
        </a:lnRef>
        <a:fillRef idx="0">
          <a:srgbClr val="FFFFFF"/>
        </a:fillRef>
        <a:effectRef idx="0">
          <a:srgbClr val="FFFFFF"/>
        </a:effectRef>
        <a:fontRef idx="minor">
          <a:schemeClr val="tx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558165</xdr:colOff>
      <xdr:row>0</xdr:row>
      <xdr:rowOff>203200</xdr:rowOff>
    </xdr:from>
    <xdr:to>
      <xdr:col>5</xdr:col>
      <xdr:colOff>87630</xdr:colOff>
      <xdr:row>0</xdr:row>
      <xdr:rowOff>557530</xdr:rowOff>
    </xdr:to>
    <xdr:sp macro="[1]!asht16">
      <xdr:nvSpPr>
        <xdr:cNvPr id="8"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127000</xdr:colOff>
      <xdr:row>0</xdr:row>
      <xdr:rowOff>203200</xdr:rowOff>
    </xdr:from>
    <xdr:to>
      <xdr:col>5</xdr:col>
      <xdr:colOff>942975</xdr:colOff>
      <xdr:row>0</xdr:row>
      <xdr:rowOff>557530</xdr:rowOff>
    </xdr:to>
    <xdr:sp macro="[1]!asht14">
      <xdr:nvSpPr>
        <xdr:cNvPr id="9"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982345</xdr:colOff>
      <xdr:row>0</xdr:row>
      <xdr:rowOff>203200</xdr:rowOff>
    </xdr:from>
    <xdr:to>
      <xdr:col>6</xdr:col>
      <xdr:colOff>511175</xdr:colOff>
      <xdr:row>0</xdr:row>
      <xdr:rowOff>557530</xdr:rowOff>
    </xdr:to>
    <xdr:sp macro="[1]!asht17">
      <xdr:nvSpPr>
        <xdr:cNvPr id="10"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550545</xdr:colOff>
      <xdr:row>0</xdr:row>
      <xdr:rowOff>203200</xdr:rowOff>
    </xdr:from>
    <xdr:to>
      <xdr:col>7</xdr:col>
      <xdr:colOff>80010</xdr:colOff>
      <xdr:row>0</xdr:row>
      <xdr:rowOff>557530</xdr:rowOff>
    </xdr:to>
    <xdr:sp macro="[1]!asht5">
      <xdr:nvSpPr>
        <xdr:cNvPr id="11"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119380</xdr:colOff>
      <xdr:row>0</xdr:row>
      <xdr:rowOff>203200</xdr:rowOff>
    </xdr:from>
    <xdr:to>
      <xdr:col>7</xdr:col>
      <xdr:colOff>934720</xdr:colOff>
      <xdr:row>0</xdr:row>
      <xdr:rowOff>557530</xdr:rowOff>
    </xdr:to>
    <xdr:sp macro="[1]!asht6">
      <xdr:nvSpPr>
        <xdr:cNvPr id="12"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974090</xdr:colOff>
      <xdr:row>0</xdr:row>
      <xdr:rowOff>203200</xdr:rowOff>
    </xdr:from>
    <xdr:to>
      <xdr:col>8</xdr:col>
      <xdr:colOff>504190</xdr:colOff>
      <xdr:row>0</xdr:row>
      <xdr:rowOff>557530</xdr:rowOff>
    </xdr:to>
    <xdr:sp macro="[1]!asht7">
      <xdr:nvSpPr>
        <xdr:cNvPr id="13"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543560</xdr:colOff>
      <xdr:row>0</xdr:row>
      <xdr:rowOff>203200</xdr:rowOff>
    </xdr:from>
    <xdr:to>
      <xdr:col>9</xdr:col>
      <xdr:colOff>73025</xdr:colOff>
      <xdr:row>0</xdr:row>
      <xdr:rowOff>557530</xdr:rowOff>
    </xdr:to>
    <xdr:sp macro="[1]!asht8">
      <xdr:nvSpPr>
        <xdr:cNvPr id="14"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112395</xdr:colOff>
      <xdr:row>0</xdr:row>
      <xdr:rowOff>203200</xdr:rowOff>
    </xdr:from>
    <xdr:to>
      <xdr:col>10</xdr:col>
      <xdr:colOff>670560</xdr:colOff>
      <xdr:row>0</xdr:row>
      <xdr:rowOff>557530</xdr:rowOff>
    </xdr:to>
    <xdr:sp macro="[1]!asht15">
      <xdr:nvSpPr>
        <xdr:cNvPr id="15"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24130</xdr:colOff>
      <xdr:row>0</xdr:row>
      <xdr:rowOff>203200</xdr:rowOff>
    </xdr:from>
    <xdr:to>
      <xdr:col>12</xdr:col>
      <xdr:colOff>156210</xdr:colOff>
      <xdr:row>0</xdr:row>
      <xdr:rowOff>557530</xdr:rowOff>
    </xdr:to>
    <xdr:sp macro="[1]!asht9">
      <xdr:nvSpPr>
        <xdr:cNvPr id="16"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17" name="文本框 16"/>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库存盘点</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12</xdr:col>
      <xdr:colOff>195580</xdr:colOff>
      <xdr:row>0</xdr:row>
      <xdr:rowOff>203200</xdr:rowOff>
    </xdr:from>
    <xdr:to>
      <xdr:col>13</xdr:col>
      <xdr:colOff>327660</xdr:colOff>
      <xdr:row>0</xdr:row>
      <xdr:rowOff>557530</xdr:rowOff>
    </xdr:to>
    <xdr:sp macro="[1]!asht10">
      <xdr:nvSpPr>
        <xdr:cNvPr id="18"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367030</xdr:colOff>
      <xdr:row>0</xdr:row>
      <xdr:rowOff>203200</xdr:rowOff>
    </xdr:from>
    <xdr:to>
      <xdr:col>14</xdr:col>
      <xdr:colOff>499110</xdr:colOff>
      <xdr:row>0</xdr:row>
      <xdr:rowOff>557530</xdr:rowOff>
    </xdr:to>
    <xdr:sp macro="[1]!asht11">
      <xdr:nvSpPr>
        <xdr:cNvPr id="19"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538480</xdr:colOff>
      <xdr:row>0</xdr:row>
      <xdr:rowOff>203200</xdr:rowOff>
    </xdr:from>
    <xdr:to>
      <xdr:col>15</xdr:col>
      <xdr:colOff>670560</xdr:colOff>
      <xdr:row>0</xdr:row>
      <xdr:rowOff>557530</xdr:rowOff>
    </xdr:to>
    <xdr:sp macro="[1]!asht12">
      <xdr:nvSpPr>
        <xdr:cNvPr id="20"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24130</xdr:colOff>
      <xdr:row>0</xdr:row>
      <xdr:rowOff>203200</xdr:rowOff>
    </xdr:from>
    <xdr:to>
      <xdr:col>17</xdr:col>
      <xdr:colOff>156210</xdr:colOff>
      <xdr:row>0</xdr:row>
      <xdr:rowOff>557530</xdr:rowOff>
    </xdr:to>
    <xdr:sp macro="[1]!asht13">
      <xdr:nvSpPr>
        <xdr:cNvPr id="21"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17</xdr:col>
      <xdr:colOff>195580</xdr:colOff>
      <xdr:row>0</xdr:row>
      <xdr:rowOff>203200</xdr:rowOff>
    </xdr:from>
    <xdr:to>
      <xdr:col>18</xdr:col>
      <xdr:colOff>327660</xdr:colOff>
      <xdr:row>0</xdr:row>
      <xdr:rowOff>557530</xdr:rowOff>
    </xdr:to>
    <xdr:sp macro="[1]!asht18">
      <xdr:nvSpPr>
        <xdr:cNvPr id="22"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400050</xdr:colOff>
      <xdr:row>0</xdr:row>
      <xdr:rowOff>228600</xdr:rowOff>
    </xdr:from>
    <xdr:to>
      <xdr:col>19</xdr:col>
      <xdr:colOff>532130</xdr:colOff>
      <xdr:row>0</xdr:row>
      <xdr:rowOff>582930</xdr:rowOff>
    </xdr:to>
    <xdr:sp macro="[1]!asht18">
      <xdr:nvSpPr>
        <xdr:cNvPr id="23" name="12">
          <a:hlinkClick xmlns:r="http://schemas.openxmlformats.org/officeDocument/2006/relationships" r:id="rId1"/>
        </xdr:cNvPr>
        <xdr:cNvSpPr/>
      </xdr:nvSpPr>
      <xdr:spPr>
        <a:xfrm>
          <a:off x="15754350" y="2286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506095</xdr:colOff>
      <xdr:row>0</xdr:row>
      <xdr:rowOff>228600</xdr:rowOff>
    </xdr:from>
    <xdr:to>
      <xdr:col>20</xdr:col>
      <xdr:colOff>638175</xdr:colOff>
      <xdr:row>0</xdr:row>
      <xdr:rowOff>582930</xdr:rowOff>
    </xdr:to>
    <xdr:sp macro="[1]!asht18">
      <xdr:nvSpPr>
        <xdr:cNvPr id="24" name="12">
          <a:hlinkClick xmlns:r="http://schemas.openxmlformats.org/officeDocument/2006/relationships" r:id="rId2"/>
        </xdr:cNvPr>
        <xdr:cNvSpPr/>
      </xdr:nvSpPr>
      <xdr:spPr>
        <a:xfrm>
          <a:off x="16546195" y="228600"/>
          <a:ext cx="817880" cy="354330"/>
        </a:xfrm>
        <a:prstGeom prst="rect">
          <a:avLst/>
        </a:prstGeom>
      </xdr:spPr>
      <xdr:style>
        <a:lnRef idx="2">
          <a:schemeClr val="lt1"/>
        </a:lnRef>
        <a:fillRef idx="1">
          <a:schemeClr val="accent1"/>
        </a:fillRef>
        <a:effectRef idx="1">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库存盘点</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20</xdr:col>
      <xdr:colOff>639445</xdr:colOff>
      <xdr:row>0</xdr:row>
      <xdr:rowOff>228600</xdr:rowOff>
    </xdr:from>
    <xdr:to>
      <xdr:col>22</xdr:col>
      <xdr:colOff>85725</xdr:colOff>
      <xdr:row>0</xdr:row>
      <xdr:rowOff>582930</xdr:rowOff>
    </xdr:to>
    <xdr:sp macro="[1]!asht18">
      <xdr:nvSpPr>
        <xdr:cNvPr id="25" name="12">
          <a:hlinkClick xmlns:r="http://schemas.openxmlformats.org/officeDocument/2006/relationships" r:id="rId3"/>
        </xdr:cNvPr>
        <xdr:cNvSpPr/>
      </xdr:nvSpPr>
      <xdr:spPr>
        <a:xfrm>
          <a:off x="17365345" y="2286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39370</xdr:colOff>
      <xdr:row>0</xdr:row>
      <xdr:rowOff>228600</xdr:rowOff>
    </xdr:from>
    <xdr:to>
      <xdr:col>23</xdr:col>
      <xdr:colOff>171450</xdr:colOff>
      <xdr:row>0</xdr:row>
      <xdr:rowOff>582930</xdr:rowOff>
    </xdr:to>
    <xdr:sp macro="[1]!asht18">
      <xdr:nvSpPr>
        <xdr:cNvPr id="26" name="12">
          <a:hlinkClick xmlns:r="http://schemas.openxmlformats.org/officeDocument/2006/relationships" r:id="rId4"/>
        </xdr:cNvPr>
        <xdr:cNvSpPr/>
      </xdr:nvSpPr>
      <xdr:spPr>
        <a:xfrm>
          <a:off x="18136870" y="2286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144145</xdr:colOff>
      <xdr:row>0</xdr:row>
      <xdr:rowOff>228600</xdr:rowOff>
    </xdr:from>
    <xdr:to>
      <xdr:col>24</xdr:col>
      <xdr:colOff>276225</xdr:colOff>
      <xdr:row>0</xdr:row>
      <xdr:rowOff>582930</xdr:rowOff>
    </xdr:to>
    <xdr:sp macro="[1]!asht18">
      <xdr:nvSpPr>
        <xdr:cNvPr id="27" name="12">
          <a:hlinkClick xmlns:r="http://schemas.openxmlformats.org/officeDocument/2006/relationships" r:id="rId5"/>
        </xdr:cNvPr>
        <xdr:cNvSpPr/>
      </xdr:nvSpPr>
      <xdr:spPr>
        <a:xfrm>
          <a:off x="18927445" y="2286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334645</xdr:colOff>
      <xdr:row>0</xdr:row>
      <xdr:rowOff>228600</xdr:rowOff>
    </xdr:from>
    <xdr:to>
      <xdr:col>25</xdr:col>
      <xdr:colOff>466725</xdr:colOff>
      <xdr:row>0</xdr:row>
      <xdr:rowOff>582930</xdr:rowOff>
    </xdr:to>
    <xdr:sp macro="[1]!asht18">
      <xdr:nvSpPr>
        <xdr:cNvPr id="28" name="12">
          <a:hlinkClick xmlns:r="http://schemas.openxmlformats.org/officeDocument/2006/relationships" r:id="rId6"/>
        </xdr:cNvPr>
        <xdr:cNvSpPr/>
      </xdr:nvSpPr>
      <xdr:spPr>
        <a:xfrm>
          <a:off x="19803745" y="2286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25</xdr:col>
      <xdr:colOff>506095</xdr:colOff>
      <xdr:row>0</xdr:row>
      <xdr:rowOff>228600</xdr:rowOff>
    </xdr:from>
    <xdr:to>
      <xdr:col>26</xdr:col>
      <xdr:colOff>638175</xdr:colOff>
      <xdr:row>0</xdr:row>
      <xdr:rowOff>582930</xdr:rowOff>
    </xdr:to>
    <xdr:sp macro="[1]!asht18">
      <xdr:nvSpPr>
        <xdr:cNvPr id="29" name="12">
          <a:hlinkClick xmlns:r="http://schemas.openxmlformats.org/officeDocument/2006/relationships" r:id="rId7"/>
        </xdr:cNvPr>
        <xdr:cNvSpPr/>
      </xdr:nvSpPr>
      <xdr:spPr>
        <a:xfrm>
          <a:off x="20660995" y="2286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39370</xdr:colOff>
      <xdr:row>0</xdr:row>
      <xdr:rowOff>228600</xdr:rowOff>
    </xdr:from>
    <xdr:to>
      <xdr:col>28</xdr:col>
      <xdr:colOff>171450</xdr:colOff>
      <xdr:row>0</xdr:row>
      <xdr:rowOff>582930</xdr:rowOff>
    </xdr:to>
    <xdr:sp macro="[1]!asht18">
      <xdr:nvSpPr>
        <xdr:cNvPr id="30" name="12">
          <a:hlinkClick xmlns:r="http://schemas.openxmlformats.org/officeDocument/2006/relationships" r:id="rId8"/>
        </xdr:cNvPr>
        <xdr:cNvSpPr/>
      </xdr:nvSpPr>
      <xdr:spPr>
        <a:xfrm>
          <a:off x="21565870" y="2286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28</xdr:col>
      <xdr:colOff>144145</xdr:colOff>
      <xdr:row>0</xdr:row>
      <xdr:rowOff>228600</xdr:rowOff>
    </xdr:from>
    <xdr:to>
      <xdr:col>29</xdr:col>
      <xdr:colOff>276225</xdr:colOff>
      <xdr:row>0</xdr:row>
      <xdr:rowOff>582930</xdr:rowOff>
    </xdr:to>
    <xdr:sp macro="[1]!asht18">
      <xdr:nvSpPr>
        <xdr:cNvPr id="31" name="12">
          <a:hlinkClick xmlns:r="http://schemas.openxmlformats.org/officeDocument/2006/relationships" r:id="rId9"/>
        </xdr:cNvPr>
        <xdr:cNvSpPr/>
      </xdr:nvSpPr>
      <xdr:spPr>
        <a:xfrm>
          <a:off x="22356445" y="2286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382270</xdr:colOff>
      <xdr:row>0</xdr:row>
      <xdr:rowOff>228600</xdr:rowOff>
    </xdr:from>
    <xdr:to>
      <xdr:col>30</xdr:col>
      <xdr:colOff>514350</xdr:colOff>
      <xdr:row>0</xdr:row>
      <xdr:rowOff>582930</xdr:rowOff>
    </xdr:to>
    <xdr:sp macro="[1]!asht18">
      <xdr:nvSpPr>
        <xdr:cNvPr id="32" name="12">
          <a:hlinkClick xmlns:r="http://schemas.openxmlformats.org/officeDocument/2006/relationships" r:id="rId10"/>
        </xdr:cNvPr>
        <xdr:cNvSpPr/>
      </xdr:nvSpPr>
      <xdr:spPr>
        <a:xfrm>
          <a:off x="23280370" y="2286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30</xdr:col>
      <xdr:colOff>515620</xdr:colOff>
      <xdr:row>0</xdr:row>
      <xdr:rowOff>228600</xdr:rowOff>
    </xdr:from>
    <xdr:to>
      <xdr:col>31</xdr:col>
      <xdr:colOff>647700</xdr:colOff>
      <xdr:row>0</xdr:row>
      <xdr:rowOff>582930</xdr:rowOff>
    </xdr:to>
    <xdr:sp macro="[1]!asht18">
      <xdr:nvSpPr>
        <xdr:cNvPr id="33" name="12">
          <a:hlinkClick xmlns:r="http://schemas.openxmlformats.org/officeDocument/2006/relationships" r:id="rId11"/>
        </xdr:cNvPr>
        <xdr:cNvSpPr/>
      </xdr:nvSpPr>
      <xdr:spPr>
        <a:xfrm>
          <a:off x="24099520" y="2286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31</xdr:col>
      <xdr:colOff>652145</xdr:colOff>
      <xdr:row>0</xdr:row>
      <xdr:rowOff>219075</xdr:rowOff>
    </xdr:from>
    <xdr:to>
      <xdr:col>33</xdr:col>
      <xdr:colOff>98425</xdr:colOff>
      <xdr:row>0</xdr:row>
      <xdr:rowOff>573405</xdr:rowOff>
    </xdr:to>
    <xdr:sp macro="[1]!asht18">
      <xdr:nvSpPr>
        <xdr:cNvPr id="34" name="12">
          <a:hlinkClick xmlns:r="http://schemas.openxmlformats.org/officeDocument/2006/relationships" r:id="rId12"/>
        </xdr:cNvPr>
        <xdr:cNvSpPr/>
      </xdr:nvSpPr>
      <xdr:spPr>
        <a:xfrm>
          <a:off x="24921845" y="21907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9.xml><?xml version="1.0" encoding="utf-8"?>
<xdr:wsDr xmlns:xdr="http://schemas.openxmlformats.org/drawingml/2006/spreadsheetDrawing" xmlns:r="http://schemas.openxmlformats.org/officeDocument/2006/relationships" xmlns:a="http://schemas.openxmlformats.org/drawingml/2006/main">
  <xdr:twoCellAnchor editAs="absolute">
    <xdr:from>
      <xdr:col>3</xdr:col>
      <xdr:colOff>238125</xdr:colOff>
      <xdr:row>1</xdr:row>
      <xdr:rowOff>50800</xdr:rowOff>
    </xdr:from>
    <xdr:to>
      <xdr:col>4</xdr:col>
      <xdr:colOff>19050</xdr:colOff>
      <xdr:row>1</xdr:row>
      <xdr:rowOff>441325</xdr:rowOff>
    </xdr:to>
    <xdr:sp macro="[0]!select22">
      <xdr:nvSpPr>
        <xdr:cNvPr id="2" name="圆角矩形 1"/>
        <xdr:cNvSpPr/>
      </xdr:nvSpPr>
      <xdr:spPr>
        <a:xfrm>
          <a:off x="2133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4</xdr:col>
      <xdr:colOff>333375</xdr:colOff>
      <xdr:row>1</xdr:row>
      <xdr:rowOff>50800</xdr:rowOff>
    </xdr:from>
    <xdr:to>
      <xdr:col>5</xdr:col>
      <xdr:colOff>114300</xdr:colOff>
      <xdr:row>1</xdr:row>
      <xdr:rowOff>441325</xdr:rowOff>
    </xdr:to>
    <xdr:sp macro="[0]!xiaoshouth">
      <xdr:nvSpPr>
        <xdr:cNvPr id="3" name="圆角矩形 2"/>
        <xdr:cNvSpPr/>
      </xdr:nvSpPr>
      <xdr:spPr>
        <a:xfrm>
          <a:off x="35147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退货入库</a:t>
          </a:r>
          <a:endParaRPr lang="zh-CN" altLang="en-US" sz="1400" b="1">
            <a:latin typeface="等线" panose="02010600030101010101" charset="-122"/>
            <a:ea typeface="等线" panose="02010600030101010101" charset="-122"/>
          </a:endParaRPr>
        </a:p>
      </xdr:txBody>
    </xdr:sp>
    <xdr:clientData/>
  </xdr:twoCellAnchor>
  <xdr:twoCellAnchor editAs="absolute">
    <xdr:from>
      <xdr:col>2</xdr:col>
      <xdr:colOff>508635</xdr:colOff>
      <xdr:row>0</xdr:row>
      <xdr:rowOff>127000</xdr:rowOff>
    </xdr:from>
    <xdr:to>
      <xdr:col>32</xdr:col>
      <xdr:colOff>408305</xdr:colOff>
      <xdr:row>0</xdr:row>
      <xdr:rowOff>624205</xdr:rowOff>
    </xdr:to>
    <xdr:sp>
      <xdr:nvSpPr>
        <xdr:cNvPr id="4" name="圆角矩形 14"/>
        <xdr:cNvSpPr/>
      </xdr:nvSpPr>
      <xdr:spPr>
        <a:xfrm>
          <a:off x="1118235" y="127000"/>
          <a:ext cx="248456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3</xdr:col>
      <xdr:colOff>95250</xdr:colOff>
      <xdr:row>0</xdr:row>
      <xdr:rowOff>557530</xdr:rowOff>
    </xdr:to>
    <xdr:sp macro="[1]!asht1">
      <xdr:nvSpPr>
        <xdr:cNvPr id="5"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134620</xdr:colOff>
      <xdr:row>0</xdr:row>
      <xdr:rowOff>203200</xdr:rowOff>
    </xdr:from>
    <xdr:to>
      <xdr:col>3</xdr:col>
      <xdr:colOff>949960</xdr:colOff>
      <xdr:row>0</xdr:row>
      <xdr:rowOff>557530</xdr:rowOff>
    </xdr:to>
    <xdr:sp macro="[1]!asht2">
      <xdr:nvSpPr>
        <xdr:cNvPr id="6"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989330</xdr:colOff>
      <xdr:row>0</xdr:row>
      <xdr:rowOff>203200</xdr:rowOff>
    </xdr:from>
    <xdr:to>
      <xdr:col>4</xdr:col>
      <xdr:colOff>518795</xdr:colOff>
      <xdr:row>0</xdr:row>
      <xdr:rowOff>557530</xdr:rowOff>
    </xdr:to>
    <xdr:sp macro="[1]!asht4">
      <xdr:nvSpPr>
        <xdr:cNvPr id="7" name="3"/>
        <xdr:cNvSpPr/>
      </xdr:nvSpPr>
      <xdr:spPr>
        <a:xfrm>
          <a:off x="2884805" y="203200"/>
          <a:ext cx="815340" cy="354330"/>
        </a:xfrm>
        <a:prstGeom prst="rect">
          <a:avLst/>
        </a:prstGeom>
        <a:ln>
          <a:noFill/>
        </a:ln>
      </xdr:spPr>
      <xdr:style>
        <a:lnRef idx="3">
          <a:schemeClr val="accent1"/>
        </a:lnRef>
        <a:fillRef idx="0">
          <a:srgbClr val="FFFFFF"/>
        </a:fillRef>
        <a:effectRef idx="0">
          <a:srgbClr val="FFFFFF"/>
        </a:effectRef>
        <a:fontRef idx="minor">
          <a:schemeClr val="tx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入库</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4</xdr:col>
      <xdr:colOff>558165</xdr:colOff>
      <xdr:row>0</xdr:row>
      <xdr:rowOff>203200</xdr:rowOff>
    </xdr:from>
    <xdr:to>
      <xdr:col>5</xdr:col>
      <xdr:colOff>87630</xdr:colOff>
      <xdr:row>0</xdr:row>
      <xdr:rowOff>557530</xdr:rowOff>
    </xdr:to>
    <xdr:sp macro="[1]!asht16">
      <xdr:nvSpPr>
        <xdr:cNvPr id="8"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127000</xdr:colOff>
      <xdr:row>0</xdr:row>
      <xdr:rowOff>203200</xdr:rowOff>
    </xdr:from>
    <xdr:to>
      <xdr:col>5</xdr:col>
      <xdr:colOff>942975</xdr:colOff>
      <xdr:row>0</xdr:row>
      <xdr:rowOff>557530</xdr:rowOff>
    </xdr:to>
    <xdr:sp macro="[1]!asht14">
      <xdr:nvSpPr>
        <xdr:cNvPr id="9"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982345</xdr:colOff>
      <xdr:row>0</xdr:row>
      <xdr:rowOff>203200</xdr:rowOff>
    </xdr:from>
    <xdr:to>
      <xdr:col>6</xdr:col>
      <xdr:colOff>511175</xdr:colOff>
      <xdr:row>0</xdr:row>
      <xdr:rowOff>557530</xdr:rowOff>
    </xdr:to>
    <xdr:sp macro="[1]!asht17">
      <xdr:nvSpPr>
        <xdr:cNvPr id="10"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550545</xdr:colOff>
      <xdr:row>0</xdr:row>
      <xdr:rowOff>203200</xdr:rowOff>
    </xdr:from>
    <xdr:to>
      <xdr:col>7</xdr:col>
      <xdr:colOff>80010</xdr:colOff>
      <xdr:row>0</xdr:row>
      <xdr:rowOff>557530</xdr:rowOff>
    </xdr:to>
    <xdr:sp macro="[1]!asht5">
      <xdr:nvSpPr>
        <xdr:cNvPr id="11"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119380</xdr:colOff>
      <xdr:row>0</xdr:row>
      <xdr:rowOff>203200</xdr:rowOff>
    </xdr:from>
    <xdr:to>
      <xdr:col>7</xdr:col>
      <xdr:colOff>934720</xdr:colOff>
      <xdr:row>0</xdr:row>
      <xdr:rowOff>557530</xdr:rowOff>
    </xdr:to>
    <xdr:sp macro="[1]!asht6">
      <xdr:nvSpPr>
        <xdr:cNvPr id="12"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974090</xdr:colOff>
      <xdr:row>0</xdr:row>
      <xdr:rowOff>203200</xdr:rowOff>
    </xdr:from>
    <xdr:to>
      <xdr:col>8</xdr:col>
      <xdr:colOff>504190</xdr:colOff>
      <xdr:row>0</xdr:row>
      <xdr:rowOff>557530</xdr:rowOff>
    </xdr:to>
    <xdr:sp macro="[1]!asht7">
      <xdr:nvSpPr>
        <xdr:cNvPr id="13"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543560</xdr:colOff>
      <xdr:row>0</xdr:row>
      <xdr:rowOff>203200</xdr:rowOff>
    </xdr:from>
    <xdr:to>
      <xdr:col>9</xdr:col>
      <xdr:colOff>73025</xdr:colOff>
      <xdr:row>0</xdr:row>
      <xdr:rowOff>557530</xdr:rowOff>
    </xdr:to>
    <xdr:sp macro="[1]!asht8">
      <xdr:nvSpPr>
        <xdr:cNvPr id="14"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112395</xdr:colOff>
      <xdr:row>0</xdr:row>
      <xdr:rowOff>203200</xdr:rowOff>
    </xdr:from>
    <xdr:to>
      <xdr:col>9</xdr:col>
      <xdr:colOff>927735</xdr:colOff>
      <xdr:row>0</xdr:row>
      <xdr:rowOff>557530</xdr:rowOff>
    </xdr:to>
    <xdr:sp macro="[1]!asht15">
      <xdr:nvSpPr>
        <xdr:cNvPr id="15"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967105</xdr:colOff>
      <xdr:row>0</xdr:row>
      <xdr:rowOff>203200</xdr:rowOff>
    </xdr:from>
    <xdr:to>
      <xdr:col>11</xdr:col>
      <xdr:colOff>241935</xdr:colOff>
      <xdr:row>0</xdr:row>
      <xdr:rowOff>557530</xdr:rowOff>
    </xdr:to>
    <xdr:sp macro="[1]!asht9">
      <xdr:nvSpPr>
        <xdr:cNvPr id="16"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17" name="文本框 16"/>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销售退货</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281305</xdr:colOff>
      <xdr:row>0</xdr:row>
      <xdr:rowOff>203200</xdr:rowOff>
    </xdr:from>
    <xdr:to>
      <xdr:col>12</xdr:col>
      <xdr:colOff>413385</xdr:colOff>
      <xdr:row>0</xdr:row>
      <xdr:rowOff>557530</xdr:rowOff>
    </xdr:to>
    <xdr:sp macro="[1]!asht10">
      <xdr:nvSpPr>
        <xdr:cNvPr id="18"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452755</xdr:colOff>
      <xdr:row>0</xdr:row>
      <xdr:rowOff>203200</xdr:rowOff>
    </xdr:from>
    <xdr:to>
      <xdr:col>13</xdr:col>
      <xdr:colOff>584835</xdr:colOff>
      <xdr:row>0</xdr:row>
      <xdr:rowOff>557530</xdr:rowOff>
    </xdr:to>
    <xdr:sp macro="[1]!asht11">
      <xdr:nvSpPr>
        <xdr:cNvPr id="19"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624205</xdr:colOff>
      <xdr:row>0</xdr:row>
      <xdr:rowOff>203200</xdr:rowOff>
    </xdr:from>
    <xdr:to>
      <xdr:col>15</xdr:col>
      <xdr:colOff>70485</xdr:colOff>
      <xdr:row>0</xdr:row>
      <xdr:rowOff>557530</xdr:rowOff>
    </xdr:to>
    <xdr:sp macro="[1]!asht12">
      <xdr:nvSpPr>
        <xdr:cNvPr id="20"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109855</xdr:colOff>
      <xdr:row>0</xdr:row>
      <xdr:rowOff>203200</xdr:rowOff>
    </xdr:from>
    <xdr:to>
      <xdr:col>16</xdr:col>
      <xdr:colOff>241935</xdr:colOff>
      <xdr:row>0</xdr:row>
      <xdr:rowOff>557530</xdr:rowOff>
    </xdr:to>
    <xdr:sp macro="[1]!asht13">
      <xdr:nvSpPr>
        <xdr:cNvPr id="21"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281305</xdr:colOff>
      <xdr:row>0</xdr:row>
      <xdr:rowOff>203200</xdr:rowOff>
    </xdr:from>
    <xdr:to>
      <xdr:col>17</xdr:col>
      <xdr:colOff>413385</xdr:colOff>
      <xdr:row>0</xdr:row>
      <xdr:rowOff>557530</xdr:rowOff>
    </xdr:to>
    <xdr:sp macro="[1]!asht18">
      <xdr:nvSpPr>
        <xdr:cNvPr id="22"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400050</xdr:colOff>
      <xdr:row>1</xdr:row>
      <xdr:rowOff>47625</xdr:rowOff>
    </xdr:from>
    <xdr:to>
      <xdr:col>6</xdr:col>
      <xdr:colOff>180975</xdr:colOff>
      <xdr:row>1</xdr:row>
      <xdr:rowOff>438150</xdr:rowOff>
    </xdr:to>
    <xdr:sp macro="[0]!tuihuodan_22">
      <xdr:nvSpPr>
        <xdr:cNvPr id="23" name="圆角矩形 22"/>
        <xdr:cNvSpPr/>
      </xdr:nvSpPr>
      <xdr:spPr>
        <a:xfrm>
          <a:off x="4867275" y="809625"/>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退货单</a:t>
          </a:r>
          <a:endParaRPr lang="zh-CN" altLang="en-US" sz="1400" b="1">
            <a:latin typeface="等线" panose="02010600030101010101" charset="-122"/>
            <a:ea typeface="等线" panose="02010600030101010101" charset="-122"/>
          </a:endParaRPr>
        </a:p>
      </xdr:txBody>
    </xdr:sp>
    <xdr:clientData/>
  </xdr:twoCellAnchor>
  <xdr:twoCellAnchor editAs="absolute">
    <xdr:from>
      <xdr:col>17</xdr:col>
      <xdr:colOff>419100</xdr:colOff>
      <xdr:row>0</xdr:row>
      <xdr:rowOff>207645</xdr:rowOff>
    </xdr:from>
    <xdr:to>
      <xdr:col>18</xdr:col>
      <xdr:colOff>551180</xdr:colOff>
      <xdr:row>0</xdr:row>
      <xdr:rowOff>561975</xdr:rowOff>
    </xdr:to>
    <xdr:sp macro="[1]!asht18">
      <xdr:nvSpPr>
        <xdr:cNvPr id="24" name="12">
          <a:hlinkClick xmlns:r="http://schemas.openxmlformats.org/officeDocument/2006/relationships" r:id="rId1"/>
        </xdr:cNvPr>
        <xdr:cNvSpPr/>
      </xdr:nvSpPr>
      <xdr:spPr>
        <a:xfrm>
          <a:off x="1568767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525145</xdr:colOff>
      <xdr:row>0</xdr:row>
      <xdr:rowOff>207645</xdr:rowOff>
    </xdr:from>
    <xdr:to>
      <xdr:col>19</xdr:col>
      <xdr:colOff>657225</xdr:colOff>
      <xdr:row>0</xdr:row>
      <xdr:rowOff>561975</xdr:rowOff>
    </xdr:to>
    <xdr:sp macro="[1]!asht18">
      <xdr:nvSpPr>
        <xdr:cNvPr id="25" name="12">
          <a:hlinkClick xmlns:r="http://schemas.openxmlformats.org/officeDocument/2006/relationships" r:id="rId2"/>
        </xdr:cNvPr>
        <xdr:cNvSpPr/>
      </xdr:nvSpPr>
      <xdr:spPr>
        <a:xfrm>
          <a:off x="1647952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658495</xdr:colOff>
      <xdr:row>0</xdr:row>
      <xdr:rowOff>207645</xdr:rowOff>
    </xdr:from>
    <xdr:to>
      <xdr:col>21</xdr:col>
      <xdr:colOff>104775</xdr:colOff>
      <xdr:row>0</xdr:row>
      <xdr:rowOff>561975</xdr:rowOff>
    </xdr:to>
    <xdr:sp macro="[1]!asht18">
      <xdr:nvSpPr>
        <xdr:cNvPr id="26" name="12">
          <a:hlinkClick xmlns:r="http://schemas.openxmlformats.org/officeDocument/2006/relationships" r:id="rId3"/>
        </xdr:cNvPr>
        <xdr:cNvSpPr/>
      </xdr:nvSpPr>
      <xdr:spPr>
        <a:xfrm>
          <a:off x="17298670" y="207645"/>
          <a:ext cx="817880" cy="354330"/>
        </a:xfrm>
        <a:prstGeom prst="rect">
          <a:avLst/>
        </a:prstGeom>
      </xdr:spPr>
      <xdr:style>
        <a:lnRef idx="2">
          <a:schemeClr val="lt1"/>
        </a:lnRef>
        <a:fillRef idx="1">
          <a:schemeClr val="accent1"/>
        </a:fillRef>
        <a:effectRef idx="1">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销售退货</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21</xdr:col>
      <xdr:colOff>58420</xdr:colOff>
      <xdr:row>0</xdr:row>
      <xdr:rowOff>207645</xdr:rowOff>
    </xdr:from>
    <xdr:to>
      <xdr:col>22</xdr:col>
      <xdr:colOff>190500</xdr:colOff>
      <xdr:row>0</xdr:row>
      <xdr:rowOff>561975</xdr:rowOff>
    </xdr:to>
    <xdr:sp macro="[1]!asht18">
      <xdr:nvSpPr>
        <xdr:cNvPr id="27" name="12">
          <a:hlinkClick xmlns:r="http://schemas.openxmlformats.org/officeDocument/2006/relationships" r:id="rId4"/>
        </xdr:cNvPr>
        <xdr:cNvSpPr/>
      </xdr:nvSpPr>
      <xdr:spPr>
        <a:xfrm>
          <a:off x="180701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163195</xdr:colOff>
      <xdr:row>0</xdr:row>
      <xdr:rowOff>207645</xdr:rowOff>
    </xdr:from>
    <xdr:to>
      <xdr:col>23</xdr:col>
      <xdr:colOff>295275</xdr:colOff>
      <xdr:row>0</xdr:row>
      <xdr:rowOff>561975</xdr:rowOff>
    </xdr:to>
    <xdr:sp macro="[1]!asht18">
      <xdr:nvSpPr>
        <xdr:cNvPr id="28" name="12">
          <a:hlinkClick xmlns:r="http://schemas.openxmlformats.org/officeDocument/2006/relationships" r:id="rId5"/>
        </xdr:cNvPr>
        <xdr:cNvSpPr/>
      </xdr:nvSpPr>
      <xdr:spPr>
        <a:xfrm>
          <a:off x="1886077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353695</xdr:colOff>
      <xdr:row>0</xdr:row>
      <xdr:rowOff>207645</xdr:rowOff>
    </xdr:from>
    <xdr:to>
      <xdr:col>24</xdr:col>
      <xdr:colOff>485775</xdr:colOff>
      <xdr:row>0</xdr:row>
      <xdr:rowOff>561975</xdr:rowOff>
    </xdr:to>
    <xdr:sp macro="[1]!asht18">
      <xdr:nvSpPr>
        <xdr:cNvPr id="29" name="12">
          <a:hlinkClick xmlns:r="http://schemas.openxmlformats.org/officeDocument/2006/relationships" r:id="rId6"/>
        </xdr:cNvPr>
        <xdr:cNvSpPr/>
      </xdr:nvSpPr>
      <xdr:spPr>
        <a:xfrm>
          <a:off x="1973707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525145</xdr:colOff>
      <xdr:row>0</xdr:row>
      <xdr:rowOff>207645</xdr:rowOff>
    </xdr:from>
    <xdr:to>
      <xdr:col>25</xdr:col>
      <xdr:colOff>657225</xdr:colOff>
      <xdr:row>0</xdr:row>
      <xdr:rowOff>561975</xdr:rowOff>
    </xdr:to>
    <xdr:sp macro="[1]!asht18">
      <xdr:nvSpPr>
        <xdr:cNvPr id="30" name="12">
          <a:hlinkClick xmlns:r="http://schemas.openxmlformats.org/officeDocument/2006/relationships" r:id="rId7"/>
        </xdr:cNvPr>
        <xdr:cNvSpPr/>
      </xdr:nvSpPr>
      <xdr:spPr>
        <a:xfrm>
          <a:off x="2059432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26</xdr:col>
      <xdr:colOff>58420</xdr:colOff>
      <xdr:row>0</xdr:row>
      <xdr:rowOff>207645</xdr:rowOff>
    </xdr:from>
    <xdr:to>
      <xdr:col>27</xdr:col>
      <xdr:colOff>190500</xdr:colOff>
      <xdr:row>0</xdr:row>
      <xdr:rowOff>561975</xdr:rowOff>
    </xdr:to>
    <xdr:sp macro="[1]!asht18">
      <xdr:nvSpPr>
        <xdr:cNvPr id="31" name="12">
          <a:hlinkClick xmlns:r="http://schemas.openxmlformats.org/officeDocument/2006/relationships" r:id="rId8"/>
        </xdr:cNvPr>
        <xdr:cNvSpPr/>
      </xdr:nvSpPr>
      <xdr:spPr>
        <a:xfrm>
          <a:off x="214991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163195</xdr:colOff>
      <xdr:row>0</xdr:row>
      <xdr:rowOff>207645</xdr:rowOff>
    </xdr:from>
    <xdr:to>
      <xdr:col>28</xdr:col>
      <xdr:colOff>295275</xdr:colOff>
      <xdr:row>0</xdr:row>
      <xdr:rowOff>561975</xdr:rowOff>
    </xdr:to>
    <xdr:sp macro="[1]!asht18">
      <xdr:nvSpPr>
        <xdr:cNvPr id="32" name="12">
          <a:hlinkClick xmlns:r="http://schemas.openxmlformats.org/officeDocument/2006/relationships" r:id="rId9"/>
        </xdr:cNvPr>
        <xdr:cNvSpPr/>
      </xdr:nvSpPr>
      <xdr:spPr>
        <a:xfrm>
          <a:off x="2228977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28</xdr:col>
      <xdr:colOff>401320</xdr:colOff>
      <xdr:row>0</xdr:row>
      <xdr:rowOff>207645</xdr:rowOff>
    </xdr:from>
    <xdr:to>
      <xdr:col>29</xdr:col>
      <xdr:colOff>533400</xdr:colOff>
      <xdr:row>0</xdr:row>
      <xdr:rowOff>561975</xdr:rowOff>
    </xdr:to>
    <xdr:sp macro="[1]!asht18">
      <xdr:nvSpPr>
        <xdr:cNvPr id="33" name="12">
          <a:hlinkClick xmlns:r="http://schemas.openxmlformats.org/officeDocument/2006/relationships" r:id="rId10"/>
        </xdr:cNvPr>
        <xdr:cNvSpPr/>
      </xdr:nvSpPr>
      <xdr:spPr>
        <a:xfrm>
          <a:off x="232136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534670</xdr:colOff>
      <xdr:row>0</xdr:row>
      <xdr:rowOff>207645</xdr:rowOff>
    </xdr:from>
    <xdr:to>
      <xdr:col>30</xdr:col>
      <xdr:colOff>666750</xdr:colOff>
      <xdr:row>0</xdr:row>
      <xdr:rowOff>561975</xdr:rowOff>
    </xdr:to>
    <xdr:sp macro="[1]!asht18">
      <xdr:nvSpPr>
        <xdr:cNvPr id="34" name="12">
          <a:hlinkClick xmlns:r="http://schemas.openxmlformats.org/officeDocument/2006/relationships" r:id="rId11"/>
        </xdr:cNvPr>
        <xdr:cNvSpPr/>
      </xdr:nvSpPr>
      <xdr:spPr>
        <a:xfrm>
          <a:off x="2403284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30</xdr:col>
      <xdr:colOff>671195</xdr:colOff>
      <xdr:row>0</xdr:row>
      <xdr:rowOff>207645</xdr:rowOff>
    </xdr:from>
    <xdr:to>
      <xdr:col>32</xdr:col>
      <xdr:colOff>117475</xdr:colOff>
      <xdr:row>0</xdr:row>
      <xdr:rowOff>561975</xdr:rowOff>
    </xdr:to>
    <xdr:sp macro="[1]!asht18">
      <xdr:nvSpPr>
        <xdr:cNvPr id="35" name="12">
          <a:hlinkClick xmlns:r="http://schemas.openxmlformats.org/officeDocument/2006/relationships" r:id="rId12"/>
        </xdr:cNvPr>
        <xdr:cNvSpPr/>
      </xdr:nvSpPr>
      <xdr:spPr>
        <a:xfrm>
          <a:off x="2485517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10.xml><?xml version="1.0" encoding="utf-8"?>
<xdr:wsDr xmlns:xdr="http://schemas.openxmlformats.org/drawingml/2006/spreadsheetDrawing" xmlns:r="http://schemas.openxmlformats.org/officeDocument/2006/relationships" xmlns:a="http://schemas.openxmlformats.org/drawingml/2006/main">
  <xdr:twoCellAnchor editAs="absolute">
    <xdr:from>
      <xdr:col>3</xdr:col>
      <xdr:colOff>238125</xdr:colOff>
      <xdr:row>1</xdr:row>
      <xdr:rowOff>50800</xdr:rowOff>
    </xdr:from>
    <xdr:to>
      <xdr:col>4</xdr:col>
      <xdr:colOff>19050</xdr:colOff>
      <xdr:row>1</xdr:row>
      <xdr:rowOff>441325</xdr:rowOff>
    </xdr:to>
    <xdr:sp macro="[0]!select23">
      <xdr:nvSpPr>
        <xdr:cNvPr id="2" name="圆角矩形 1"/>
        <xdr:cNvSpPr/>
      </xdr:nvSpPr>
      <xdr:spPr>
        <a:xfrm>
          <a:off x="2133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4</xdr:col>
      <xdr:colOff>333375</xdr:colOff>
      <xdr:row>1</xdr:row>
      <xdr:rowOff>50800</xdr:rowOff>
    </xdr:from>
    <xdr:to>
      <xdr:col>5</xdr:col>
      <xdr:colOff>114300</xdr:colOff>
      <xdr:row>1</xdr:row>
      <xdr:rowOff>441325</xdr:rowOff>
    </xdr:to>
    <xdr:sp macro="[0]!caigouth">
      <xdr:nvSpPr>
        <xdr:cNvPr id="3" name="圆角矩形 2"/>
        <xdr:cNvSpPr/>
      </xdr:nvSpPr>
      <xdr:spPr>
        <a:xfrm>
          <a:off x="35147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退货出库</a:t>
          </a:r>
          <a:endParaRPr lang="zh-CN" altLang="en-US" sz="1400" b="1">
            <a:latin typeface="等线" panose="02010600030101010101" charset="-122"/>
            <a:ea typeface="等线" panose="02010600030101010101" charset="-122"/>
          </a:endParaRPr>
        </a:p>
      </xdr:txBody>
    </xdr:sp>
    <xdr:clientData/>
  </xdr:twoCellAnchor>
  <xdr:twoCellAnchor editAs="absolute">
    <xdr:from>
      <xdr:col>2</xdr:col>
      <xdr:colOff>508635</xdr:colOff>
      <xdr:row>0</xdr:row>
      <xdr:rowOff>127000</xdr:rowOff>
    </xdr:from>
    <xdr:to>
      <xdr:col>32</xdr:col>
      <xdr:colOff>560070</xdr:colOff>
      <xdr:row>0</xdr:row>
      <xdr:rowOff>624205</xdr:rowOff>
    </xdr:to>
    <xdr:sp>
      <xdr:nvSpPr>
        <xdr:cNvPr id="4" name="圆角矩形 14"/>
        <xdr:cNvSpPr/>
      </xdr:nvSpPr>
      <xdr:spPr>
        <a:xfrm>
          <a:off x="1118235" y="127000"/>
          <a:ext cx="2499741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3</xdr:col>
      <xdr:colOff>95250</xdr:colOff>
      <xdr:row>0</xdr:row>
      <xdr:rowOff>557530</xdr:rowOff>
    </xdr:to>
    <xdr:sp macro="[1]!asht1">
      <xdr:nvSpPr>
        <xdr:cNvPr id="5"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134620</xdr:colOff>
      <xdr:row>0</xdr:row>
      <xdr:rowOff>203200</xdr:rowOff>
    </xdr:from>
    <xdr:to>
      <xdr:col>3</xdr:col>
      <xdr:colOff>949960</xdr:colOff>
      <xdr:row>0</xdr:row>
      <xdr:rowOff>557530</xdr:rowOff>
    </xdr:to>
    <xdr:sp macro="[1]!asht2">
      <xdr:nvSpPr>
        <xdr:cNvPr id="6"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989330</xdr:colOff>
      <xdr:row>0</xdr:row>
      <xdr:rowOff>203200</xdr:rowOff>
    </xdr:from>
    <xdr:to>
      <xdr:col>4</xdr:col>
      <xdr:colOff>518795</xdr:colOff>
      <xdr:row>0</xdr:row>
      <xdr:rowOff>557530</xdr:rowOff>
    </xdr:to>
    <xdr:sp macro="[1]!asht4">
      <xdr:nvSpPr>
        <xdr:cNvPr id="7" name="3"/>
        <xdr:cNvSpPr/>
      </xdr:nvSpPr>
      <xdr:spPr>
        <a:xfrm>
          <a:off x="2884805" y="203200"/>
          <a:ext cx="815340" cy="354330"/>
        </a:xfrm>
        <a:prstGeom prst="rect">
          <a:avLst/>
        </a:prstGeom>
        <a:ln>
          <a:noFill/>
        </a:ln>
      </xdr:spPr>
      <xdr:style>
        <a:lnRef idx="3">
          <a:schemeClr val="accent1"/>
        </a:lnRef>
        <a:fillRef idx="0">
          <a:srgbClr val="FFFFFF"/>
        </a:fillRef>
        <a:effectRef idx="0">
          <a:srgbClr val="FFFFFF"/>
        </a:effectRef>
        <a:fontRef idx="minor">
          <a:schemeClr val="tx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入库</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4</xdr:col>
      <xdr:colOff>558165</xdr:colOff>
      <xdr:row>0</xdr:row>
      <xdr:rowOff>203200</xdr:rowOff>
    </xdr:from>
    <xdr:to>
      <xdr:col>5</xdr:col>
      <xdr:colOff>87630</xdr:colOff>
      <xdr:row>0</xdr:row>
      <xdr:rowOff>557530</xdr:rowOff>
    </xdr:to>
    <xdr:sp macro="[1]!asht16">
      <xdr:nvSpPr>
        <xdr:cNvPr id="8"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127000</xdr:colOff>
      <xdr:row>0</xdr:row>
      <xdr:rowOff>203200</xdr:rowOff>
    </xdr:from>
    <xdr:to>
      <xdr:col>5</xdr:col>
      <xdr:colOff>942975</xdr:colOff>
      <xdr:row>0</xdr:row>
      <xdr:rowOff>557530</xdr:rowOff>
    </xdr:to>
    <xdr:sp macro="[1]!asht14">
      <xdr:nvSpPr>
        <xdr:cNvPr id="9"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982345</xdr:colOff>
      <xdr:row>0</xdr:row>
      <xdr:rowOff>203200</xdr:rowOff>
    </xdr:from>
    <xdr:to>
      <xdr:col>6</xdr:col>
      <xdr:colOff>511175</xdr:colOff>
      <xdr:row>0</xdr:row>
      <xdr:rowOff>557530</xdr:rowOff>
    </xdr:to>
    <xdr:sp macro="[1]!asht17">
      <xdr:nvSpPr>
        <xdr:cNvPr id="10"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550545</xdr:colOff>
      <xdr:row>0</xdr:row>
      <xdr:rowOff>203200</xdr:rowOff>
    </xdr:from>
    <xdr:to>
      <xdr:col>7</xdr:col>
      <xdr:colOff>80010</xdr:colOff>
      <xdr:row>0</xdr:row>
      <xdr:rowOff>557530</xdr:rowOff>
    </xdr:to>
    <xdr:sp macro="[1]!asht5">
      <xdr:nvSpPr>
        <xdr:cNvPr id="11"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119380</xdr:colOff>
      <xdr:row>0</xdr:row>
      <xdr:rowOff>203200</xdr:rowOff>
    </xdr:from>
    <xdr:to>
      <xdr:col>7</xdr:col>
      <xdr:colOff>934720</xdr:colOff>
      <xdr:row>0</xdr:row>
      <xdr:rowOff>557530</xdr:rowOff>
    </xdr:to>
    <xdr:sp macro="[1]!asht6">
      <xdr:nvSpPr>
        <xdr:cNvPr id="12"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974090</xdr:colOff>
      <xdr:row>0</xdr:row>
      <xdr:rowOff>203200</xdr:rowOff>
    </xdr:from>
    <xdr:to>
      <xdr:col>8</xdr:col>
      <xdr:colOff>504190</xdr:colOff>
      <xdr:row>0</xdr:row>
      <xdr:rowOff>557530</xdr:rowOff>
    </xdr:to>
    <xdr:sp macro="[1]!asht7">
      <xdr:nvSpPr>
        <xdr:cNvPr id="13"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543560</xdr:colOff>
      <xdr:row>0</xdr:row>
      <xdr:rowOff>203200</xdr:rowOff>
    </xdr:from>
    <xdr:to>
      <xdr:col>9</xdr:col>
      <xdr:colOff>73025</xdr:colOff>
      <xdr:row>0</xdr:row>
      <xdr:rowOff>557530</xdr:rowOff>
    </xdr:to>
    <xdr:sp macro="[1]!asht8">
      <xdr:nvSpPr>
        <xdr:cNvPr id="14"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112395</xdr:colOff>
      <xdr:row>0</xdr:row>
      <xdr:rowOff>203200</xdr:rowOff>
    </xdr:from>
    <xdr:to>
      <xdr:col>9</xdr:col>
      <xdr:colOff>927735</xdr:colOff>
      <xdr:row>0</xdr:row>
      <xdr:rowOff>557530</xdr:rowOff>
    </xdr:to>
    <xdr:sp macro="[1]!asht15">
      <xdr:nvSpPr>
        <xdr:cNvPr id="15"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967105</xdr:colOff>
      <xdr:row>0</xdr:row>
      <xdr:rowOff>203200</xdr:rowOff>
    </xdr:from>
    <xdr:to>
      <xdr:col>11</xdr:col>
      <xdr:colOff>241935</xdr:colOff>
      <xdr:row>0</xdr:row>
      <xdr:rowOff>557530</xdr:rowOff>
    </xdr:to>
    <xdr:sp macro="[1]!asht9">
      <xdr:nvSpPr>
        <xdr:cNvPr id="16"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17" name="文本框 16"/>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采购退货</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281305</xdr:colOff>
      <xdr:row>0</xdr:row>
      <xdr:rowOff>203200</xdr:rowOff>
    </xdr:from>
    <xdr:to>
      <xdr:col>12</xdr:col>
      <xdr:colOff>413385</xdr:colOff>
      <xdr:row>0</xdr:row>
      <xdr:rowOff>557530</xdr:rowOff>
    </xdr:to>
    <xdr:sp macro="[1]!asht10">
      <xdr:nvSpPr>
        <xdr:cNvPr id="18"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452755</xdr:colOff>
      <xdr:row>0</xdr:row>
      <xdr:rowOff>203200</xdr:rowOff>
    </xdr:from>
    <xdr:to>
      <xdr:col>13</xdr:col>
      <xdr:colOff>584835</xdr:colOff>
      <xdr:row>0</xdr:row>
      <xdr:rowOff>557530</xdr:rowOff>
    </xdr:to>
    <xdr:sp macro="[1]!asht11">
      <xdr:nvSpPr>
        <xdr:cNvPr id="19"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624205</xdr:colOff>
      <xdr:row>0</xdr:row>
      <xdr:rowOff>203200</xdr:rowOff>
    </xdr:from>
    <xdr:to>
      <xdr:col>15</xdr:col>
      <xdr:colOff>70485</xdr:colOff>
      <xdr:row>0</xdr:row>
      <xdr:rowOff>557530</xdr:rowOff>
    </xdr:to>
    <xdr:sp macro="[1]!asht12">
      <xdr:nvSpPr>
        <xdr:cNvPr id="20"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109855</xdr:colOff>
      <xdr:row>0</xdr:row>
      <xdr:rowOff>203200</xdr:rowOff>
    </xdr:from>
    <xdr:to>
      <xdr:col>16</xdr:col>
      <xdr:colOff>241935</xdr:colOff>
      <xdr:row>0</xdr:row>
      <xdr:rowOff>557530</xdr:rowOff>
    </xdr:to>
    <xdr:sp macro="[1]!asht13">
      <xdr:nvSpPr>
        <xdr:cNvPr id="21"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281305</xdr:colOff>
      <xdr:row>0</xdr:row>
      <xdr:rowOff>203200</xdr:rowOff>
    </xdr:from>
    <xdr:to>
      <xdr:col>17</xdr:col>
      <xdr:colOff>413385</xdr:colOff>
      <xdr:row>0</xdr:row>
      <xdr:rowOff>557530</xdr:rowOff>
    </xdr:to>
    <xdr:sp macro="[1]!asht18">
      <xdr:nvSpPr>
        <xdr:cNvPr id="22"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400050</xdr:colOff>
      <xdr:row>1</xdr:row>
      <xdr:rowOff>47625</xdr:rowOff>
    </xdr:from>
    <xdr:to>
      <xdr:col>6</xdr:col>
      <xdr:colOff>180975</xdr:colOff>
      <xdr:row>1</xdr:row>
      <xdr:rowOff>438150</xdr:rowOff>
    </xdr:to>
    <xdr:sp macro="[0]!tuihuodan_23">
      <xdr:nvSpPr>
        <xdr:cNvPr id="23" name="圆角矩形 22"/>
        <xdr:cNvSpPr/>
      </xdr:nvSpPr>
      <xdr:spPr>
        <a:xfrm>
          <a:off x="4867275" y="809625"/>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退货单</a:t>
          </a:r>
          <a:endParaRPr lang="zh-CN" altLang="en-US" sz="1400" b="1">
            <a:latin typeface="等线" panose="02010600030101010101" charset="-122"/>
            <a:ea typeface="等线" panose="02010600030101010101" charset="-122"/>
          </a:endParaRPr>
        </a:p>
      </xdr:txBody>
    </xdr:sp>
    <xdr:clientData/>
  </xdr:twoCellAnchor>
  <xdr:twoCellAnchor editAs="absolute">
    <xdr:from>
      <xdr:col>17</xdr:col>
      <xdr:colOff>419100</xdr:colOff>
      <xdr:row>0</xdr:row>
      <xdr:rowOff>200025</xdr:rowOff>
    </xdr:from>
    <xdr:to>
      <xdr:col>18</xdr:col>
      <xdr:colOff>551180</xdr:colOff>
      <xdr:row>0</xdr:row>
      <xdr:rowOff>554355</xdr:rowOff>
    </xdr:to>
    <xdr:sp macro="[1]!asht18">
      <xdr:nvSpPr>
        <xdr:cNvPr id="24" name="12">
          <a:hlinkClick xmlns:r="http://schemas.openxmlformats.org/officeDocument/2006/relationships" r:id="rId1"/>
        </xdr:cNvPr>
        <xdr:cNvSpPr/>
      </xdr:nvSpPr>
      <xdr:spPr>
        <a:xfrm>
          <a:off x="15687675"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525145</xdr:colOff>
      <xdr:row>0</xdr:row>
      <xdr:rowOff>200025</xdr:rowOff>
    </xdr:from>
    <xdr:to>
      <xdr:col>19</xdr:col>
      <xdr:colOff>657225</xdr:colOff>
      <xdr:row>0</xdr:row>
      <xdr:rowOff>554355</xdr:rowOff>
    </xdr:to>
    <xdr:sp macro="[1]!asht18">
      <xdr:nvSpPr>
        <xdr:cNvPr id="25" name="12">
          <a:hlinkClick xmlns:r="http://schemas.openxmlformats.org/officeDocument/2006/relationships" r:id="rId2"/>
        </xdr:cNvPr>
        <xdr:cNvSpPr/>
      </xdr:nvSpPr>
      <xdr:spPr>
        <a:xfrm>
          <a:off x="16479520"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658495</xdr:colOff>
      <xdr:row>0</xdr:row>
      <xdr:rowOff>200025</xdr:rowOff>
    </xdr:from>
    <xdr:to>
      <xdr:col>21</xdr:col>
      <xdr:colOff>104775</xdr:colOff>
      <xdr:row>0</xdr:row>
      <xdr:rowOff>554355</xdr:rowOff>
    </xdr:to>
    <xdr:sp macro="[1]!asht18">
      <xdr:nvSpPr>
        <xdr:cNvPr id="26" name="12">
          <a:hlinkClick xmlns:r="http://schemas.openxmlformats.org/officeDocument/2006/relationships" r:id="rId3"/>
        </xdr:cNvPr>
        <xdr:cNvSpPr/>
      </xdr:nvSpPr>
      <xdr:spPr>
        <a:xfrm>
          <a:off x="17298670"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58420</xdr:colOff>
      <xdr:row>0</xdr:row>
      <xdr:rowOff>200025</xdr:rowOff>
    </xdr:from>
    <xdr:to>
      <xdr:col>22</xdr:col>
      <xdr:colOff>190500</xdr:colOff>
      <xdr:row>0</xdr:row>
      <xdr:rowOff>554355</xdr:rowOff>
    </xdr:to>
    <xdr:sp macro="[1]!asht18">
      <xdr:nvSpPr>
        <xdr:cNvPr id="27" name="12">
          <a:hlinkClick xmlns:r="http://schemas.openxmlformats.org/officeDocument/2006/relationships" r:id="rId4"/>
        </xdr:cNvPr>
        <xdr:cNvSpPr/>
      </xdr:nvSpPr>
      <xdr:spPr>
        <a:xfrm>
          <a:off x="18070195" y="200025"/>
          <a:ext cx="817880" cy="354330"/>
        </a:xfrm>
        <a:prstGeom prst="rect">
          <a:avLst/>
        </a:prstGeom>
      </xdr:spPr>
      <xdr:style>
        <a:lnRef idx="2">
          <a:schemeClr val="lt1"/>
        </a:lnRef>
        <a:fillRef idx="1">
          <a:schemeClr val="accent1"/>
        </a:fillRef>
        <a:effectRef idx="1">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采购退货</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22</xdr:col>
      <xdr:colOff>163195</xdr:colOff>
      <xdr:row>0</xdr:row>
      <xdr:rowOff>200025</xdr:rowOff>
    </xdr:from>
    <xdr:to>
      <xdr:col>23</xdr:col>
      <xdr:colOff>295275</xdr:colOff>
      <xdr:row>0</xdr:row>
      <xdr:rowOff>554355</xdr:rowOff>
    </xdr:to>
    <xdr:sp macro="[1]!asht18">
      <xdr:nvSpPr>
        <xdr:cNvPr id="28" name="12">
          <a:hlinkClick xmlns:r="http://schemas.openxmlformats.org/officeDocument/2006/relationships" r:id="rId5"/>
        </xdr:cNvPr>
        <xdr:cNvSpPr/>
      </xdr:nvSpPr>
      <xdr:spPr>
        <a:xfrm>
          <a:off x="18860770"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353695</xdr:colOff>
      <xdr:row>0</xdr:row>
      <xdr:rowOff>200025</xdr:rowOff>
    </xdr:from>
    <xdr:to>
      <xdr:col>24</xdr:col>
      <xdr:colOff>485775</xdr:colOff>
      <xdr:row>0</xdr:row>
      <xdr:rowOff>554355</xdr:rowOff>
    </xdr:to>
    <xdr:sp macro="[1]!asht18">
      <xdr:nvSpPr>
        <xdr:cNvPr id="29" name="12">
          <a:hlinkClick xmlns:r="http://schemas.openxmlformats.org/officeDocument/2006/relationships" r:id="rId6"/>
        </xdr:cNvPr>
        <xdr:cNvSpPr/>
      </xdr:nvSpPr>
      <xdr:spPr>
        <a:xfrm>
          <a:off x="19737070"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525145</xdr:colOff>
      <xdr:row>0</xdr:row>
      <xdr:rowOff>200025</xdr:rowOff>
    </xdr:from>
    <xdr:to>
      <xdr:col>25</xdr:col>
      <xdr:colOff>657225</xdr:colOff>
      <xdr:row>0</xdr:row>
      <xdr:rowOff>554355</xdr:rowOff>
    </xdr:to>
    <xdr:sp macro="[1]!asht18">
      <xdr:nvSpPr>
        <xdr:cNvPr id="30" name="12">
          <a:hlinkClick xmlns:r="http://schemas.openxmlformats.org/officeDocument/2006/relationships" r:id="rId7"/>
        </xdr:cNvPr>
        <xdr:cNvSpPr/>
      </xdr:nvSpPr>
      <xdr:spPr>
        <a:xfrm>
          <a:off x="20594320"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26</xdr:col>
      <xdr:colOff>58420</xdr:colOff>
      <xdr:row>0</xdr:row>
      <xdr:rowOff>200025</xdr:rowOff>
    </xdr:from>
    <xdr:to>
      <xdr:col>27</xdr:col>
      <xdr:colOff>190500</xdr:colOff>
      <xdr:row>0</xdr:row>
      <xdr:rowOff>554355</xdr:rowOff>
    </xdr:to>
    <xdr:sp macro="[1]!asht18">
      <xdr:nvSpPr>
        <xdr:cNvPr id="31" name="12">
          <a:hlinkClick xmlns:r="http://schemas.openxmlformats.org/officeDocument/2006/relationships" r:id="rId8"/>
        </xdr:cNvPr>
        <xdr:cNvSpPr/>
      </xdr:nvSpPr>
      <xdr:spPr>
        <a:xfrm>
          <a:off x="21499195"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163195</xdr:colOff>
      <xdr:row>0</xdr:row>
      <xdr:rowOff>200025</xdr:rowOff>
    </xdr:from>
    <xdr:to>
      <xdr:col>28</xdr:col>
      <xdr:colOff>295275</xdr:colOff>
      <xdr:row>0</xdr:row>
      <xdr:rowOff>554355</xdr:rowOff>
    </xdr:to>
    <xdr:sp macro="[1]!asht18">
      <xdr:nvSpPr>
        <xdr:cNvPr id="32" name="12">
          <a:hlinkClick xmlns:r="http://schemas.openxmlformats.org/officeDocument/2006/relationships" r:id="rId9"/>
        </xdr:cNvPr>
        <xdr:cNvSpPr/>
      </xdr:nvSpPr>
      <xdr:spPr>
        <a:xfrm>
          <a:off x="22289770"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28</xdr:col>
      <xdr:colOff>401320</xdr:colOff>
      <xdr:row>0</xdr:row>
      <xdr:rowOff>200025</xdr:rowOff>
    </xdr:from>
    <xdr:to>
      <xdr:col>29</xdr:col>
      <xdr:colOff>533400</xdr:colOff>
      <xdr:row>0</xdr:row>
      <xdr:rowOff>554355</xdr:rowOff>
    </xdr:to>
    <xdr:sp macro="[1]!asht18">
      <xdr:nvSpPr>
        <xdr:cNvPr id="33" name="12">
          <a:hlinkClick xmlns:r="http://schemas.openxmlformats.org/officeDocument/2006/relationships" r:id="rId10"/>
        </xdr:cNvPr>
        <xdr:cNvSpPr/>
      </xdr:nvSpPr>
      <xdr:spPr>
        <a:xfrm>
          <a:off x="23213695"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534670</xdr:colOff>
      <xdr:row>0</xdr:row>
      <xdr:rowOff>200025</xdr:rowOff>
    </xdr:from>
    <xdr:to>
      <xdr:col>30</xdr:col>
      <xdr:colOff>666750</xdr:colOff>
      <xdr:row>0</xdr:row>
      <xdr:rowOff>554355</xdr:rowOff>
    </xdr:to>
    <xdr:sp macro="[1]!asht18">
      <xdr:nvSpPr>
        <xdr:cNvPr id="34" name="12">
          <a:hlinkClick xmlns:r="http://schemas.openxmlformats.org/officeDocument/2006/relationships" r:id="rId11"/>
        </xdr:cNvPr>
        <xdr:cNvSpPr/>
      </xdr:nvSpPr>
      <xdr:spPr>
        <a:xfrm>
          <a:off x="24032845"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30</xdr:col>
      <xdr:colOff>671195</xdr:colOff>
      <xdr:row>0</xdr:row>
      <xdr:rowOff>200025</xdr:rowOff>
    </xdr:from>
    <xdr:to>
      <xdr:col>32</xdr:col>
      <xdr:colOff>117475</xdr:colOff>
      <xdr:row>0</xdr:row>
      <xdr:rowOff>554355</xdr:rowOff>
    </xdr:to>
    <xdr:sp macro="[1]!asht18">
      <xdr:nvSpPr>
        <xdr:cNvPr id="35" name="12">
          <a:hlinkClick xmlns:r="http://schemas.openxmlformats.org/officeDocument/2006/relationships" r:id="rId12"/>
        </xdr:cNvPr>
        <xdr:cNvSpPr/>
      </xdr:nvSpPr>
      <xdr:spPr>
        <a:xfrm>
          <a:off x="24855170"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11.xml><?xml version="1.0" encoding="utf-8"?>
<xdr:wsDr xmlns:xdr="http://schemas.openxmlformats.org/drawingml/2006/spreadsheetDrawing" xmlns:r="http://schemas.openxmlformats.org/officeDocument/2006/relationships" xmlns:a="http://schemas.openxmlformats.org/drawingml/2006/main">
  <xdr:twoCellAnchor editAs="absolute">
    <xdr:from>
      <xdr:col>3</xdr:col>
      <xdr:colOff>238125</xdr:colOff>
      <xdr:row>1</xdr:row>
      <xdr:rowOff>50800</xdr:rowOff>
    </xdr:from>
    <xdr:to>
      <xdr:col>4</xdr:col>
      <xdr:colOff>19050</xdr:colOff>
      <xdr:row>1</xdr:row>
      <xdr:rowOff>441325</xdr:rowOff>
    </xdr:to>
    <xdr:sp macro="[0]!select25">
      <xdr:nvSpPr>
        <xdr:cNvPr id="2" name="圆角矩形 1"/>
        <xdr:cNvSpPr/>
      </xdr:nvSpPr>
      <xdr:spPr>
        <a:xfrm>
          <a:off x="2133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4</xdr:col>
      <xdr:colOff>333375</xdr:colOff>
      <xdr:row>1</xdr:row>
      <xdr:rowOff>50800</xdr:rowOff>
    </xdr:from>
    <xdr:to>
      <xdr:col>5</xdr:col>
      <xdr:colOff>114300</xdr:colOff>
      <xdr:row>1</xdr:row>
      <xdr:rowOff>441325</xdr:rowOff>
    </xdr:to>
    <xdr:sp macro="[0]!caigou">
      <xdr:nvSpPr>
        <xdr:cNvPr id="3" name="圆角矩形 2"/>
        <xdr:cNvSpPr/>
      </xdr:nvSpPr>
      <xdr:spPr>
        <a:xfrm>
          <a:off x="35147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采购入库</a:t>
          </a:r>
          <a:endParaRPr lang="zh-CN" altLang="en-US" sz="1400" b="1">
            <a:latin typeface="等线" panose="02010600030101010101" charset="-122"/>
            <a:ea typeface="等线" panose="02010600030101010101" charset="-122"/>
          </a:endParaRPr>
        </a:p>
      </xdr:txBody>
    </xdr:sp>
    <xdr:clientData/>
  </xdr:twoCellAnchor>
  <xdr:twoCellAnchor editAs="absolute">
    <xdr:from>
      <xdr:col>2</xdr:col>
      <xdr:colOff>508635</xdr:colOff>
      <xdr:row>0</xdr:row>
      <xdr:rowOff>127000</xdr:rowOff>
    </xdr:from>
    <xdr:to>
      <xdr:col>32</xdr:col>
      <xdr:colOff>379730</xdr:colOff>
      <xdr:row>0</xdr:row>
      <xdr:rowOff>624205</xdr:rowOff>
    </xdr:to>
    <xdr:sp>
      <xdr:nvSpPr>
        <xdr:cNvPr id="4" name="圆角矩形 14"/>
        <xdr:cNvSpPr/>
      </xdr:nvSpPr>
      <xdr:spPr>
        <a:xfrm>
          <a:off x="1118235" y="127000"/>
          <a:ext cx="2481707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3</xdr:col>
      <xdr:colOff>95250</xdr:colOff>
      <xdr:row>0</xdr:row>
      <xdr:rowOff>557530</xdr:rowOff>
    </xdr:to>
    <xdr:sp macro="[1]!asht1">
      <xdr:nvSpPr>
        <xdr:cNvPr id="5"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134620</xdr:colOff>
      <xdr:row>0</xdr:row>
      <xdr:rowOff>203200</xdr:rowOff>
    </xdr:from>
    <xdr:to>
      <xdr:col>3</xdr:col>
      <xdr:colOff>949960</xdr:colOff>
      <xdr:row>0</xdr:row>
      <xdr:rowOff>557530</xdr:rowOff>
    </xdr:to>
    <xdr:sp macro="[1]!asht2">
      <xdr:nvSpPr>
        <xdr:cNvPr id="6"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989330</xdr:colOff>
      <xdr:row>0</xdr:row>
      <xdr:rowOff>203200</xdr:rowOff>
    </xdr:from>
    <xdr:to>
      <xdr:col>4</xdr:col>
      <xdr:colOff>518795</xdr:colOff>
      <xdr:row>0</xdr:row>
      <xdr:rowOff>557530</xdr:rowOff>
    </xdr:to>
    <xdr:sp macro="[1]!asht4">
      <xdr:nvSpPr>
        <xdr:cNvPr id="7" name="3"/>
        <xdr:cNvSpPr/>
      </xdr:nvSpPr>
      <xdr:spPr>
        <a:xfrm>
          <a:off x="2884805" y="203200"/>
          <a:ext cx="815340" cy="354330"/>
        </a:xfrm>
        <a:prstGeom prst="rect">
          <a:avLst/>
        </a:prstGeom>
        <a:ln>
          <a:noFill/>
        </a:ln>
      </xdr:spPr>
      <xdr:style>
        <a:lnRef idx="3">
          <a:schemeClr val="accent1"/>
        </a:lnRef>
        <a:fillRef idx="0">
          <a:srgbClr val="FFFFFF"/>
        </a:fillRef>
        <a:effectRef idx="0">
          <a:srgbClr val="FFFFFF"/>
        </a:effectRef>
        <a:fontRef idx="minor">
          <a:schemeClr val="tx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入库</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4</xdr:col>
      <xdr:colOff>558165</xdr:colOff>
      <xdr:row>0</xdr:row>
      <xdr:rowOff>203200</xdr:rowOff>
    </xdr:from>
    <xdr:to>
      <xdr:col>5</xdr:col>
      <xdr:colOff>87630</xdr:colOff>
      <xdr:row>0</xdr:row>
      <xdr:rowOff>557530</xdr:rowOff>
    </xdr:to>
    <xdr:sp macro="[1]!asht16">
      <xdr:nvSpPr>
        <xdr:cNvPr id="8"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127000</xdr:colOff>
      <xdr:row>0</xdr:row>
      <xdr:rowOff>203200</xdr:rowOff>
    </xdr:from>
    <xdr:to>
      <xdr:col>5</xdr:col>
      <xdr:colOff>942975</xdr:colOff>
      <xdr:row>0</xdr:row>
      <xdr:rowOff>557530</xdr:rowOff>
    </xdr:to>
    <xdr:sp macro="[1]!asht14">
      <xdr:nvSpPr>
        <xdr:cNvPr id="9"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982345</xdr:colOff>
      <xdr:row>0</xdr:row>
      <xdr:rowOff>203200</xdr:rowOff>
    </xdr:from>
    <xdr:to>
      <xdr:col>6</xdr:col>
      <xdr:colOff>511175</xdr:colOff>
      <xdr:row>0</xdr:row>
      <xdr:rowOff>557530</xdr:rowOff>
    </xdr:to>
    <xdr:sp macro="[1]!asht17">
      <xdr:nvSpPr>
        <xdr:cNvPr id="10"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550545</xdr:colOff>
      <xdr:row>0</xdr:row>
      <xdr:rowOff>203200</xdr:rowOff>
    </xdr:from>
    <xdr:to>
      <xdr:col>7</xdr:col>
      <xdr:colOff>80010</xdr:colOff>
      <xdr:row>0</xdr:row>
      <xdr:rowOff>557530</xdr:rowOff>
    </xdr:to>
    <xdr:sp macro="[1]!asht5">
      <xdr:nvSpPr>
        <xdr:cNvPr id="11"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119380</xdr:colOff>
      <xdr:row>0</xdr:row>
      <xdr:rowOff>203200</xdr:rowOff>
    </xdr:from>
    <xdr:to>
      <xdr:col>7</xdr:col>
      <xdr:colOff>934720</xdr:colOff>
      <xdr:row>0</xdr:row>
      <xdr:rowOff>557530</xdr:rowOff>
    </xdr:to>
    <xdr:sp macro="[1]!asht6">
      <xdr:nvSpPr>
        <xdr:cNvPr id="12"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974090</xdr:colOff>
      <xdr:row>0</xdr:row>
      <xdr:rowOff>203200</xdr:rowOff>
    </xdr:from>
    <xdr:to>
      <xdr:col>8</xdr:col>
      <xdr:colOff>504190</xdr:colOff>
      <xdr:row>0</xdr:row>
      <xdr:rowOff>557530</xdr:rowOff>
    </xdr:to>
    <xdr:sp macro="[1]!asht7">
      <xdr:nvSpPr>
        <xdr:cNvPr id="13"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543560</xdr:colOff>
      <xdr:row>0</xdr:row>
      <xdr:rowOff>203200</xdr:rowOff>
    </xdr:from>
    <xdr:to>
      <xdr:col>9</xdr:col>
      <xdr:colOff>73025</xdr:colOff>
      <xdr:row>0</xdr:row>
      <xdr:rowOff>557530</xdr:rowOff>
    </xdr:to>
    <xdr:sp macro="[1]!asht8">
      <xdr:nvSpPr>
        <xdr:cNvPr id="14"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112395</xdr:colOff>
      <xdr:row>0</xdr:row>
      <xdr:rowOff>203200</xdr:rowOff>
    </xdr:from>
    <xdr:to>
      <xdr:col>9</xdr:col>
      <xdr:colOff>927735</xdr:colOff>
      <xdr:row>0</xdr:row>
      <xdr:rowOff>557530</xdr:rowOff>
    </xdr:to>
    <xdr:sp macro="[1]!asht15">
      <xdr:nvSpPr>
        <xdr:cNvPr id="15"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967105</xdr:colOff>
      <xdr:row>0</xdr:row>
      <xdr:rowOff>203200</xdr:rowOff>
    </xdr:from>
    <xdr:to>
      <xdr:col>11</xdr:col>
      <xdr:colOff>241935</xdr:colOff>
      <xdr:row>0</xdr:row>
      <xdr:rowOff>557530</xdr:rowOff>
    </xdr:to>
    <xdr:sp macro="[1]!asht9">
      <xdr:nvSpPr>
        <xdr:cNvPr id="16"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17" name="文本框 16"/>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采购单</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281305</xdr:colOff>
      <xdr:row>0</xdr:row>
      <xdr:rowOff>203200</xdr:rowOff>
    </xdr:from>
    <xdr:to>
      <xdr:col>12</xdr:col>
      <xdr:colOff>413385</xdr:colOff>
      <xdr:row>0</xdr:row>
      <xdr:rowOff>557530</xdr:rowOff>
    </xdr:to>
    <xdr:sp macro="[1]!asht10">
      <xdr:nvSpPr>
        <xdr:cNvPr id="18"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452755</xdr:colOff>
      <xdr:row>0</xdr:row>
      <xdr:rowOff>203200</xdr:rowOff>
    </xdr:from>
    <xdr:to>
      <xdr:col>13</xdr:col>
      <xdr:colOff>584835</xdr:colOff>
      <xdr:row>0</xdr:row>
      <xdr:rowOff>557530</xdr:rowOff>
    </xdr:to>
    <xdr:sp macro="[1]!asht11">
      <xdr:nvSpPr>
        <xdr:cNvPr id="19"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624205</xdr:colOff>
      <xdr:row>0</xdr:row>
      <xdr:rowOff>203200</xdr:rowOff>
    </xdr:from>
    <xdr:to>
      <xdr:col>15</xdr:col>
      <xdr:colOff>70485</xdr:colOff>
      <xdr:row>0</xdr:row>
      <xdr:rowOff>557530</xdr:rowOff>
    </xdr:to>
    <xdr:sp macro="[1]!asht12">
      <xdr:nvSpPr>
        <xdr:cNvPr id="20"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109855</xdr:colOff>
      <xdr:row>0</xdr:row>
      <xdr:rowOff>203200</xdr:rowOff>
    </xdr:from>
    <xdr:to>
      <xdr:col>16</xdr:col>
      <xdr:colOff>241935</xdr:colOff>
      <xdr:row>0</xdr:row>
      <xdr:rowOff>557530</xdr:rowOff>
    </xdr:to>
    <xdr:sp macro="[1]!asht13">
      <xdr:nvSpPr>
        <xdr:cNvPr id="21"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281305</xdr:colOff>
      <xdr:row>0</xdr:row>
      <xdr:rowOff>203200</xdr:rowOff>
    </xdr:from>
    <xdr:to>
      <xdr:col>17</xdr:col>
      <xdr:colOff>413385</xdr:colOff>
      <xdr:row>0</xdr:row>
      <xdr:rowOff>557530</xdr:rowOff>
    </xdr:to>
    <xdr:sp macro="[1]!asht18">
      <xdr:nvSpPr>
        <xdr:cNvPr id="22"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400050</xdr:colOff>
      <xdr:row>1</xdr:row>
      <xdr:rowOff>47625</xdr:rowOff>
    </xdr:from>
    <xdr:to>
      <xdr:col>6</xdr:col>
      <xdr:colOff>180975</xdr:colOff>
      <xdr:row>1</xdr:row>
      <xdr:rowOff>438150</xdr:rowOff>
    </xdr:to>
    <xdr:sp macro="[0]!tuihuodan_25">
      <xdr:nvSpPr>
        <xdr:cNvPr id="23" name="圆角矩形 22"/>
        <xdr:cNvSpPr/>
      </xdr:nvSpPr>
      <xdr:spPr>
        <a:xfrm>
          <a:off x="4867275" y="809625"/>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采购单</a:t>
          </a:r>
          <a:endParaRPr lang="zh-CN" altLang="en-US" sz="1400" b="1">
            <a:latin typeface="等线" panose="02010600030101010101" charset="-122"/>
            <a:ea typeface="等线" panose="02010600030101010101" charset="-122"/>
          </a:endParaRPr>
        </a:p>
      </xdr:txBody>
    </xdr:sp>
    <xdr:clientData/>
  </xdr:twoCellAnchor>
  <xdr:twoCellAnchor editAs="absolute">
    <xdr:from>
      <xdr:col>17</xdr:col>
      <xdr:colOff>419100</xdr:colOff>
      <xdr:row>0</xdr:row>
      <xdr:rowOff>226695</xdr:rowOff>
    </xdr:from>
    <xdr:to>
      <xdr:col>18</xdr:col>
      <xdr:colOff>551180</xdr:colOff>
      <xdr:row>0</xdr:row>
      <xdr:rowOff>581025</xdr:rowOff>
    </xdr:to>
    <xdr:sp macro="[1]!asht18">
      <xdr:nvSpPr>
        <xdr:cNvPr id="24" name="12">
          <a:hlinkClick xmlns:r="http://schemas.openxmlformats.org/officeDocument/2006/relationships" r:id="rId1"/>
        </xdr:cNvPr>
        <xdr:cNvSpPr/>
      </xdr:nvSpPr>
      <xdr:spPr>
        <a:xfrm>
          <a:off x="15687675"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525145</xdr:colOff>
      <xdr:row>0</xdr:row>
      <xdr:rowOff>226695</xdr:rowOff>
    </xdr:from>
    <xdr:to>
      <xdr:col>19</xdr:col>
      <xdr:colOff>657225</xdr:colOff>
      <xdr:row>0</xdr:row>
      <xdr:rowOff>581025</xdr:rowOff>
    </xdr:to>
    <xdr:sp macro="[1]!asht18">
      <xdr:nvSpPr>
        <xdr:cNvPr id="25" name="12">
          <a:hlinkClick xmlns:r="http://schemas.openxmlformats.org/officeDocument/2006/relationships" r:id="rId2"/>
        </xdr:cNvPr>
        <xdr:cNvSpPr/>
      </xdr:nvSpPr>
      <xdr:spPr>
        <a:xfrm>
          <a:off x="16479520"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658495</xdr:colOff>
      <xdr:row>0</xdr:row>
      <xdr:rowOff>226695</xdr:rowOff>
    </xdr:from>
    <xdr:to>
      <xdr:col>21</xdr:col>
      <xdr:colOff>104775</xdr:colOff>
      <xdr:row>0</xdr:row>
      <xdr:rowOff>581025</xdr:rowOff>
    </xdr:to>
    <xdr:sp macro="[1]!asht18">
      <xdr:nvSpPr>
        <xdr:cNvPr id="26" name="12">
          <a:hlinkClick xmlns:r="http://schemas.openxmlformats.org/officeDocument/2006/relationships" r:id="rId3"/>
        </xdr:cNvPr>
        <xdr:cNvSpPr/>
      </xdr:nvSpPr>
      <xdr:spPr>
        <a:xfrm>
          <a:off x="17298670"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58420</xdr:colOff>
      <xdr:row>0</xdr:row>
      <xdr:rowOff>226695</xdr:rowOff>
    </xdr:from>
    <xdr:to>
      <xdr:col>22</xdr:col>
      <xdr:colOff>190500</xdr:colOff>
      <xdr:row>0</xdr:row>
      <xdr:rowOff>581025</xdr:rowOff>
    </xdr:to>
    <xdr:sp macro="[1]!asht18">
      <xdr:nvSpPr>
        <xdr:cNvPr id="27" name="12">
          <a:hlinkClick xmlns:r="http://schemas.openxmlformats.org/officeDocument/2006/relationships" r:id="rId4"/>
        </xdr:cNvPr>
        <xdr:cNvSpPr/>
      </xdr:nvSpPr>
      <xdr:spPr>
        <a:xfrm>
          <a:off x="18070195"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163195</xdr:colOff>
      <xdr:row>0</xdr:row>
      <xdr:rowOff>226695</xdr:rowOff>
    </xdr:from>
    <xdr:to>
      <xdr:col>23</xdr:col>
      <xdr:colOff>295275</xdr:colOff>
      <xdr:row>0</xdr:row>
      <xdr:rowOff>581025</xdr:rowOff>
    </xdr:to>
    <xdr:sp macro="[1]!asht18">
      <xdr:nvSpPr>
        <xdr:cNvPr id="28" name="12">
          <a:hlinkClick xmlns:r="http://schemas.openxmlformats.org/officeDocument/2006/relationships" r:id="rId5"/>
        </xdr:cNvPr>
        <xdr:cNvSpPr/>
      </xdr:nvSpPr>
      <xdr:spPr>
        <a:xfrm>
          <a:off x="18860770"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353695</xdr:colOff>
      <xdr:row>0</xdr:row>
      <xdr:rowOff>226695</xdr:rowOff>
    </xdr:from>
    <xdr:to>
      <xdr:col>24</xdr:col>
      <xdr:colOff>485775</xdr:colOff>
      <xdr:row>0</xdr:row>
      <xdr:rowOff>581025</xdr:rowOff>
    </xdr:to>
    <xdr:sp macro="[1]!asht18">
      <xdr:nvSpPr>
        <xdr:cNvPr id="29" name="12">
          <a:hlinkClick xmlns:r="http://schemas.openxmlformats.org/officeDocument/2006/relationships" r:id="rId6"/>
        </xdr:cNvPr>
        <xdr:cNvSpPr/>
      </xdr:nvSpPr>
      <xdr:spPr>
        <a:xfrm>
          <a:off x="19737070"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525145</xdr:colOff>
      <xdr:row>0</xdr:row>
      <xdr:rowOff>226695</xdr:rowOff>
    </xdr:from>
    <xdr:to>
      <xdr:col>25</xdr:col>
      <xdr:colOff>657225</xdr:colOff>
      <xdr:row>0</xdr:row>
      <xdr:rowOff>581025</xdr:rowOff>
    </xdr:to>
    <xdr:sp macro="[1]!asht18">
      <xdr:nvSpPr>
        <xdr:cNvPr id="30" name="12">
          <a:hlinkClick xmlns:r="http://schemas.openxmlformats.org/officeDocument/2006/relationships" r:id="rId7"/>
        </xdr:cNvPr>
        <xdr:cNvSpPr/>
      </xdr:nvSpPr>
      <xdr:spPr>
        <a:xfrm>
          <a:off x="20594320"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26</xdr:col>
      <xdr:colOff>58420</xdr:colOff>
      <xdr:row>0</xdr:row>
      <xdr:rowOff>226695</xdr:rowOff>
    </xdr:from>
    <xdr:to>
      <xdr:col>27</xdr:col>
      <xdr:colOff>190500</xdr:colOff>
      <xdr:row>0</xdr:row>
      <xdr:rowOff>581025</xdr:rowOff>
    </xdr:to>
    <xdr:sp macro="[1]!asht18">
      <xdr:nvSpPr>
        <xdr:cNvPr id="31" name="12">
          <a:hlinkClick xmlns:r="http://schemas.openxmlformats.org/officeDocument/2006/relationships" r:id="rId8"/>
        </xdr:cNvPr>
        <xdr:cNvSpPr/>
      </xdr:nvSpPr>
      <xdr:spPr>
        <a:xfrm>
          <a:off x="21499195" y="226695"/>
          <a:ext cx="817880" cy="354330"/>
        </a:xfrm>
        <a:prstGeom prst="rect">
          <a:avLst/>
        </a:prstGeom>
      </xdr:spPr>
      <xdr:style>
        <a:lnRef idx="0">
          <a:srgbClr val="FFFFFF"/>
        </a:lnRef>
        <a:fillRef idx="1">
          <a:schemeClr val="accent1"/>
        </a:fillRef>
        <a:effectRef idx="1">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采购单</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27</xdr:col>
      <xdr:colOff>163195</xdr:colOff>
      <xdr:row>0</xdr:row>
      <xdr:rowOff>226695</xdr:rowOff>
    </xdr:from>
    <xdr:to>
      <xdr:col>28</xdr:col>
      <xdr:colOff>295275</xdr:colOff>
      <xdr:row>0</xdr:row>
      <xdr:rowOff>581025</xdr:rowOff>
    </xdr:to>
    <xdr:sp macro="[1]!asht18">
      <xdr:nvSpPr>
        <xdr:cNvPr id="32" name="12">
          <a:hlinkClick xmlns:r="http://schemas.openxmlformats.org/officeDocument/2006/relationships" r:id="rId9"/>
        </xdr:cNvPr>
        <xdr:cNvSpPr/>
      </xdr:nvSpPr>
      <xdr:spPr>
        <a:xfrm>
          <a:off x="22289770"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28</xdr:col>
      <xdr:colOff>401320</xdr:colOff>
      <xdr:row>0</xdr:row>
      <xdr:rowOff>226695</xdr:rowOff>
    </xdr:from>
    <xdr:to>
      <xdr:col>29</xdr:col>
      <xdr:colOff>533400</xdr:colOff>
      <xdr:row>0</xdr:row>
      <xdr:rowOff>581025</xdr:rowOff>
    </xdr:to>
    <xdr:sp macro="[1]!asht18">
      <xdr:nvSpPr>
        <xdr:cNvPr id="33" name="12">
          <a:hlinkClick xmlns:r="http://schemas.openxmlformats.org/officeDocument/2006/relationships" r:id="rId10"/>
        </xdr:cNvPr>
        <xdr:cNvSpPr/>
      </xdr:nvSpPr>
      <xdr:spPr>
        <a:xfrm>
          <a:off x="23213695"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534670</xdr:colOff>
      <xdr:row>0</xdr:row>
      <xdr:rowOff>226695</xdr:rowOff>
    </xdr:from>
    <xdr:to>
      <xdr:col>30</xdr:col>
      <xdr:colOff>666750</xdr:colOff>
      <xdr:row>0</xdr:row>
      <xdr:rowOff>581025</xdr:rowOff>
    </xdr:to>
    <xdr:sp macro="[1]!asht18">
      <xdr:nvSpPr>
        <xdr:cNvPr id="34" name="12">
          <a:hlinkClick xmlns:r="http://schemas.openxmlformats.org/officeDocument/2006/relationships" r:id="rId11"/>
        </xdr:cNvPr>
        <xdr:cNvSpPr/>
      </xdr:nvSpPr>
      <xdr:spPr>
        <a:xfrm>
          <a:off x="24032845"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30</xdr:col>
      <xdr:colOff>671195</xdr:colOff>
      <xdr:row>0</xdr:row>
      <xdr:rowOff>226695</xdr:rowOff>
    </xdr:from>
    <xdr:to>
      <xdr:col>32</xdr:col>
      <xdr:colOff>117475</xdr:colOff>
      <xdr:row>0</xdr:row>
      <xdr:rowOff>581025</xdr:rowOff>
    </xdr:to>
    <xdr:sp macro="[1]!asht18">
      <xdr:nvSpPr>
        <xdr:cNvPr id="35" name="12">
          <a:hlinkClick xmlns:r="http://schemas.openxmlformats.org/officeDocument/2006/relationships" r:id="rId12"/>
        </xdr:cNvPr>
        <xdr:cNvSpPr/>
      </xdr:nvSpPr>
      <xdr:spPr>
        <a:xfrm>
          <a:off x="24855170"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12.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257175</xdr:colOff>
      <xdr:row>1</xdr:row>
      <xdr:rowOff>50800</xdr:rowOff>
    </xdr:from>
    <xdr:to>
      <xdr:col>3</xdr:col>
      <xdr:colOff>895350</xdr:colOff>
      <xdr:row>1</xdr:row>
      <xdr:rowOff>441325</xdr:rowOff>
    </xdr:to>
    <xdr:sp macro="[0]!select26">
      <xdr:nvSpPr>
        <xdr:cNvPr id="2" name="圆角矩形 1"/>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3</xdr:col>
      <xdr:colOff>1245235</xdr:colOff>
      <xdr:row>1</xdr:row>
      <xdr:rowOff>50800</xdr:rowOff>
    </xdr:from>
    <xdr:to>
      <xdr:col>4</xdr:col>
      <xdr:colOff>1026160</xdr:colOff>
      <xdr:row>1</xdr:row>
      <xdr:rowOff>441325</xdr:rowOff>
    </xdr:to>
    <xdr:sp macro="[0]!PLSC_id2">
      <xdr:nvSpPr>
        <xdr:cNvPr id="3" name="圆角矩形 2"/>
        <xdr:cNvSpPr/>
      </xdr:nvSpPr>
      <xdr:spPr>
        <a:xfrm>
          <a:off x="202628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5</xdr:col>
      <xdr:colOff>90170</xdr:colOff>
      <xdr:row>1</xdr:row>
      <xdr:rowOff>50800</xdr:rowOff>
    </xdr:from>
    <xdr:to>
      <xdr:col>5</xdr:col>
      <xdr:colOff>1156970</xdr:colOff>
      <xdr:row>1</xdr:row>
      <xdr:rowOff>441325</xdr:rowOff>
    </xdr:to>
    <xdr:sp macro="[0]!select26_query">
      <xdr:nvSpPr>
        <xdr:cNvPr id="4" name="圆角矩形 3"/>
        <xdr:cNvSpPr/>
      </xdr:nvSpPr>
      <xdr:spPr>
        <a:xfrm>
          <a:off x="344297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6</xdr:col>
      <xdr:colOff>220980</xdr:colOff>
      <xdr:row>1</xdr:row>
      <xdr:rowOff>50800</xdr:rowOff>
    </xdr:from>
    <xdr:to>
      <xdr:col>7</xdr:col>
      <xdr:colOff>1905</xdr:colOff>
      <xdr:row>1</xdr:row>
      <xdr:rowOff>441325</xdr:rowOff>
    </xdr:to>
    <xdr:sp macro="[0]!save26">
      <xdr:nvSpPr>
        <xdr:cNvPr id="5" name="圆角矩形 4"/>
        <xdr:cNvSpPr/>
      </xdr:nvSpPr>
      <xdr:spPr>
        <a:xfrm>
          <a:off x="485965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入库</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3</xdr:col>
      <xdr:colOff>337185</xdr:colOff>
      <xdr:row>0</xdr:row>
      <xdr:rowOff>127000</xdr:rowOff>
    </xdr:from>
    <xdr:to>
      <xdr:col>30</xdr:col>
      <xdr:colOff>447040</xdr:colOff>
      <xdr:row>0</xdr:row>
      <xdr:rowOff>624205</xdr:rowOff>
    </xdr:to>
    <xdr:sp>
      <xdr:nvSpPr>
        <xdr:cNvPr id="6" name="圆角矩形 14"/>
        <xdr:cNvSpPr/>
      </xdr:nvSpPr>
      <xdr:spPr>
        <a:xfrm>
          <a:off x="1118235" y="127000"/>
          <a:ext cx="2479865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394335</xdr:colOff>
      <xdr:row>0</xdr:row>
      <xdr:rowOff>203200</xdr:rowOff>
    </xdr:from>
    <xdr:to>
      <xdr:col>3</xdr:col>
      <xdr:colOff>1209675</xdr:colOff>
      <xdr:row>0</xdr:row>
      <xdr:rowOff>557530</xdr:rowOff>
    </xdr:to>
    <xdr:sp macro="[1]!asht1">
      <xdr:nvSpPr>
        <xdr:cNvPr id="7"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1249045</xdr:colOff>
      <xdr:row>0</xdr:row>
      <xdr:rowOff>203200</xdr:rowOff>
    </xdr:from>
    <xdr:to>
      <xdr:col>4</xdr:col>
      <xdr:colOff>778510</xdr:colOff>
      <xdr:row>0</xdr:row>
      <xdr:rowOff>557530</xdr:rowOff>
    </xdr:to>
    <xdr:sp macro="[1]!asht2">
      <xdr:nvSpPr>
        <xdr:cNvPr id="8"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817880</xdr:colOff>
      <xdr:row>0</xdr:row>
      <xdr:rowOff>203200</xdr:rowOff>
    </xdr:from>
    <xdr:to>
      <xdr:col>5</xdr:col>
      <xdr:colOff>347345</xdr:colOff>
      <xdr:row>0</xdr:row>
      <xdr:rowOff>557530</xdr:rowOff>
    </xdr:to>
    <xdr:sp macro="[1]!asht4">
      <xdr:nvSpPr>
        <xdr:cNvPr id="9"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386715</xdr:colOff>
      <xdr:row>0</xdr:row>
      <xdr:rowOff>203200</xdr:rowOff>
    </xdr:from>
    <xdr:to>
      <xdr:col>5</xdr:col>
      <xdr:colOff>1202055</xdr:colOff>
      <xdr:row>0</xdr:row>
      <xdr:rowOff>557530</xdr:rowOff>
    </xdr:to>
    <xdr:sp macro="[1]!asht16">
      <xdr:nvSpPr>
        <xdr:cNvPr id="10"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1241425</xdr:colOff>
      <xdr:row>0</xdr:row>
      <xdr:rowOff>203200</xdr:rowOff>
    </xdr:from>
    <xdr:to>
      <xdr:col>6</xdr:col>
      <xdr:colOff>771525</xdr:colOff>
      <xdr:row>0</xdr:row>
      <xdr:rowOff>557530</xdr:rowOff>
    </xdr:to>
    <xdr:sp macro="[1]!asht14">
      <xdr:nvSpPr>
        <xdr:cNvPr id="11"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810895</xdr:colOff>
      <xdr:row>0</xdr:row>
      <xdr:rowOff>203200</xdr:rowOff>
    </xdr:from>
    <xdr:to>
      <xdr:col>7</xdr:col>
      <xdr:colOff>339725</xdr:colOff>
      <xdr:row>0</xdr:row>
      <xdr:rowOff>557530</xdr:rowOff>
    </xdr:to>
    <xdr:sp macro="[1]!asht17">
      <xdr:nvSpPr>
        <xdr:cNvPr id="12"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379095</xdr:colOff>
      <xdr:row>0</xdr:row>
      <xdr:rowOff>203200</xdr:rowOff>
    </xdr:from>
    <xdr:to>
      <xdr:col>7</xdr:col>
      <xdr:colOff>1194435</xdr:colOff>
      <xdr:row>0</xdr:row>
      <xdr:rowOff>557530</xdr:rowOff>
    </xdr:to>
    <xdr:sp macro="[1]!asht5">
      <xdr:nvSpPr>
        <xdr:cNvPr id="13"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1233805</xdr:colOff>
      <xdr:row>0</xdr:row>
      <xdr:rowOff>203200</xdr:rowOff>
    </xdr:from>
    <xdr:to>
      <xdr:col>8</xdr:col>
      <xdr:colOff>763270</xdr:colOff>
      <xdr:row>0</xdr:row>
      <xdr:rowOff>557530</xdr:rowOff>
    </xdr:to>
    <xdr:sp macro="[1]!asht6">
      <xdr:nvSpPr>
        <xdr:cNvPr id="14" name="8"/>
        <xdr:cNvSpPr/>
      </xdr:nvSpPr>
      <xdr:spPr>
        <a:xfrm>
          <a:off x="7158355" y="203200"/>
          <a:ext cx="815340" cy="354330"/>
        </a:xfrm>
        <a:prstGeom prst="rect">
          <a:avLst/>
        </a:prstGeom>
        <a:ln>
          <a:noFill/>
        </a:ln>
        <a:extLst>
          <a:ext uri="{909E8E84-426E-40DD-AFC4-6F175D3DCCD1}">
            <a14:hiddenFill xmlns:a14="http://schemas.microsoft.com/office/drawing/2010/main">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14:hiddenFill>
          </a:ext>
        </a:extLst>
      </xdr:spPr>
      <xdr:style>
        <a:lnRef idx="3">
          <a:schemeClr val="accent1"/>
        </a:lnRef>
        <a:fillRef idx="0">
          <a:srgbClr val="FFFFFF"/>
        </a:fillRef>
        <a:effectRef idx="0">
          <a:srgbClr val="FFFFFF"/>
        </a:effectRef>
        <a:fontRef idx="minor">
          <a:schemeClr val="tx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802640</xdr:colOff>
      <xdr:row>0</xdr:row>
      <xdr:rowOff>203200</xdr:rowOff>
    </xdr:from>
    <xdr:to>
      <xdr:col>9</xdr:col>
      <xdr:colOff>332740</xdr:colOff>
      <xdr:row>0</xdr:row>
      <xdr:rowOff>557530</xdr:rowOff>
    </xdr:to>
    <xdr:sp macro="[1]!asht7">
      <xdr:nvSpPr>
        <xdr:cNvPr id="15"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372110</xdr:colOff>
      <xdr:row>0</xdr:row>
      <xdr:rowOff>203200</xdr:rowOff>
    </xdr:from>
    <xdr:to>
      <xdr:col>9</xdr:col>
      <xdr:colOff>1187450</xdr:colOff>
      <xdr:row>0</xdr:row>
      <xdr:rowOff>557530</xdr:rowOff>
    </xdr:to>
    <xdr:sp macro="[1]!asht8">
      <xdr:nvSpPr>
        <xdr:cNvPr id="16"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1226820</xdr:colOff>
      <xdr:row>0</xdr:row>
      <xdr:rowOff>203200</xdr:rowOff>
    </xdr:from>
    <xdr:to>
      <xdr:col>10</xdr:col>
      <xdr:colOff>756285</xdr:colOff>
      <xdr:row>0</xdr:row>
      <xdr:rowOff>557530</xdr:rowOff>
    </xdr:to>
    <xdr:sp macro="[1]!asht15">
      <xdr:nvSpPr>
        <xdr:cNvPr id="17"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795655</xdr:colOff>
      <xdr:row>0</xdr:row>
      <xdr:rowOff>203200</xdr:rowOff>
    </xdr:from>
    <xdr:to>
      <xdr:col>11</xdr:col>
      <xdr:colOff>327660</xdr:colOff>
      <xdr:row>0</xdr:row>
      <xdr:rowOff>557530</xdr:rowOff>
    </xdr:to>
    <xdr:sp macro="[1]!asht9">
      <xdr:nvSpPr>
        <xdr:cNvPr id="18"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299720</xdr:colOff>
      <xdr:row>0</xdr:row>
      <xdr:rowOff>607060</xdr:rowOff>
    </xdr:to>
    <xdr:sp>
      <xdr:nvSpPr>
        <xdr:cNvPr id="19" name="文本框 18"/>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采购未入库</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367030</xdr:colOff>
      <xdr:row>0</xdr:row>
      <xdr:rowOff>203200</xdr:rowOff>
    </xdr:from>
    <xdr:to>
      <xdr:col>11</xdr:col>
      <xdr:colOff>1184910</xdr:colOff>
      <xdr:row>0</xdr:row>
      <xdr:rowOff>557530</xdr:rowOff>
    </xdr:to>
    <xdr:sp macro="[1]!asht10">
      <xdr:nvSpPr>
        <xdr:cNvPr id="20"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1224280</xdr:colOff>
      <xdr:row>0</xdr:row>
      <xdr:rowOff>203200</xdr:rowOff>
    </xdr:from>
    <xdr:to>
      <xdr:col>12</xdr:col>
      <xdr:colOff>756285</xdr:colOff>
      <xdr:row>0</xdr:row>
      <xdr:rowOff>557530</xdr:rowOff>
    </xdr:to>
    <xdr:sp macro="[1]!asht11">
      <xdr:nvSpPr>
        <xdr:cNvPr id="21"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795655</xdr:colOff>
      <xdr:row>0</xdr:row>
      <xdr:rowOff>203200</xdr:rowOff>
    </xdr:from>
    <xdr:to>
      <xdr:col>13</xdr:col>
      <xdr:colOff>327660</xdr:colOff>
      <xdr:row>0</xdr:row>
      <xdr:rowOff>557530</xdr:rowOff>
    </xdr:to>
    <xdr:sp macro="[1]!asht12">
      <xdr:nvSpPr>
        <xdr:cNvPr id="22"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367030</xdr:colOff>
      <xdr:row>0</xdr:row>
      <xdr:rowOff>203200</xdr:rowOff>
    </xdr:from>
    <xdr:to>
      <xdr:col>13</xdr:col>
      <xdr:colOff>1184910</xdr:colOff>
      <xdr:row>0</xdr:row>
      <xdr:rowOff>557530</xdr:rowOff>
    </xdr:to>
    <xdr:sp macro="[1]!asht13">
      <xdr:nvSpPr>
        <xdr:cNvPr id="23"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1224280</xdr:colOff>
      <xdr:row>0</xdr:row>
      <xdr:rowOff>203200</xdr:rowOff>
    </xdr:from>
    <xdr:to>
      <xdr:col>15</xdr:col>
      <xdr:colOff>499110</xdr:colOff>
      <xdr:row>0</xdr:row>
      <xdr:rowOff>557530</xdr:rowOff>
    </xdr:to>
    <xdr:sp macro="[1]!asht18">
      <xdr:nvSpPr>
        <xdr:cNvPr id="24"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304800</xdr:colOff>
      <xdr:row>1</xdr:row>
      <xdr:rowOff>50800</xdr:rowOff>
    </xdr:from>
    <xdr:to>
      <xdr:col>8</xdr:col>
      <xdr:colOff>227965</xdr:colOff>
      <xdr:row>1</xdr:row>
      <xdr:rowOff>441325</xdr:rowOff>
    </xdr:to>
    <xdr:sp macro="[0]!qrcode26">
      <xdr:nvSpPr>
        <xdr:cNvPr id="25" name="圆角矩形 24"/>
        <xdr:cNvSpPr/>
      </xdr:nvSpPr>
      <xdr:spPr>
        <a:xfrm>
          <a:off x="6229350" y="812800"/>
          <a:ext cx="120904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生成二维码</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8</xdr:col>
      <xdr:colOff>495300</xdr:colOff>
      <xdr:row>1</xdr:row>
      <xdr:rowOff>50800</xdr:rowOff>
    </xdr:from>
    <xdr:to>
      <xdr:col>9</xdr:col>
      <xdr:colOff>418465</xdr:colOff>
      <xdr:row>1</xdr:row>
      <xdr:rowOff>441325</xdr:rowOff>
    </xdr:to>
    <xdr:sp macro="[0]!barcode26">
      <xdr:nvSpPr>
        <xdr:cNvPr id="26" name="圆角矩形 25"/>
        <xdr:cNvSpPr/>
      </xdr:nvSpPr>
      <xdr:spPr>
        <a:xfrm>
          <a:off x="7705725" y="812800"/>
          <a:ext cx="120904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生成条形码</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15</xdr:col>
      <xdr:colOff>514350</xdr:colOff>
      <xdr:row>0</xdr:row>
      <xdr:rowOff>207645</xdr:rowOff>
    </xdr:from>
    <xdr:to>
      <xdr:col>16</xdr:col>
      <xdr:colOff>646430</xdr:colOff>
      <xdr:row>0</xdr:row>
      <xdr:rowOff>561975</xdr:rowOff>
    </xdr:to>
    <xdr:sp macro="[1]!asht18">
      <xdr:nvSpPr>
        <xdr:cNvPr id="27" name="12">
          <a:hlinkClick xmlns:r="http://schemas.openxmlformats.org/officeDocument/2006/relationships" r:id="rId1"/>
        </xdr:cNvPr>
        <xdr:cNvSpPr/>
      </xdr:nvSpPr>
      <xdr:spPr>
        <a:xfrm>
          <a:off x="1569720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620395</xdr:colOff>
      <xdr:row>0</xdr:row>
      <xdr:rowOff>207645</xdr:rowOff>
    </xdr:from>
    <xdr:to>
      <xdr:col>18</xdr:col>
      <xdr:colOff>66675</xdr:colOff>
      <xdr:row>0</xdr:row>
      <xdr:rowOff>561975</xdr:rowOff>
    </xdr:to>
    <xdr:sp macro="[1]!asht18">
      <xdr:nvSpPr>
        <xdr:cNvPr id="28" name="12">
          <a:hlinkClick xmlns:r="http://schemas.openxmlformats.org/officeDocument/2006/relationships" r:id="rId2"/>
        </xdr:cNvPr>
        <xdr:cNvSpPr/>
      </xdr:nvSpPr>
      <xdr:spPr>
        <a:xfrm>
          <a:off x="1648904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67945</xdr:colOff>
      <xdr:row>0</xdr:row>
      <xdr:rowOff>207645</xdr:rowOff>
    </xdr:from>
    <xdr:to>
      <xdr:col>19</xdr:col>
      <xdr:colOff>200025</xdr:colOff>
      <xdr:row>0</xdr:row>
      <xdr:rowOff>561975</xdr:rowOff>
    </xdr:to>
    <xdr:sp macro="[1]!asht18">
      <xdr:nvSpPr>
        <xdr:cNvPr id="29" name="12">
          <a:hlinkClick xmlns:r="http://schemas.openxmlformats.org/officeDocument/2006/relationships" r:id="rId3"/>
        </xdr:cNvPr>
        <xdr:cNvSpPr/>
      </xdr:nvSpPr>
      <xdr:spPr>
        <a:xfrm>
          <a:off x="173081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153670</xdr:colOff>
      <xdr:row>0</xdr:row>
      <xdr:rowOff>207645</xdr:rowOff>
    </xdr:from>
    <xdr:to>
      <xdr:col>20</xdr:col>
      <xdr:colOff>285750</xdr:colOff>
      <xdr:row>0</xdr:row>
      <xdr:rowOff>561975</xdr:rowOff>
    </xdr:to>
    <xdr:sp macro="[1]!asht18">
      <xdr:nvSpPr>
        <xdr:cNvPr id="30" name="12">
          <a:hlinkClick xmlns:r="http://schemas.openxmlformats.org/officeDocument/2006/relationships" r:id="rId4"/>
        </xdr:cNvPr>
        <xdr:cNvSpPr/>
      </xdr:nvSpPr>
      <xdr:spPr>
        <a:xfrm>
          <a:off x="1807972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258445</xdr:colOff>
      <xdr:row>0</xdr:row>
      <xdr:rowOff>207645</xdr:rowOff>
    </xdr:from>
    <xdr:to>
      <xdr:col>21</xdr:col>
      <xdr:colOff>390525</xdr:colOff>
      <xdr:row>0</xdr:row>
      <xdr:rowOff>561975</xdr:rowOff>
    </xdr:to>
    <xdr:sp macro="[1]!asht18">
      <xdr:nvSpPr>
        <xdr:cNvPr id="31" name="12">
          <a:hlinkClick xmlns:r="http://schemas.openxmlformats.org/officeDocument/2006/relationships" r:id="rId5"/>
        </xdr:cNvPr>
        <xdr:cNvSpPr/>
      </xdr:nvSpPr>
      <xdr:spPr>
        <a:xfrm>
          <a:off x="188702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448945</xdr:colOff>
      <xdr:row>0</xdr:row>
      <xdr:rowOff>207645</xdr:rowOff>
    </xdr:from>
    <xdr:to>
      <xdr:col>22</xdr:col>
      <xdr:colOff>581025</xdr:colOff>
      <xdr:row>0</xdr:row>
      <xdr:rowOff>561975</xdr:rowOff>
    </xdr:to>
    <xdr:sp macro="[1]!asht18">
      <xdr:nvSpPr>
        <xdr:cNvPr id="32" name="12">
          <a:hlinkClick xmlns:r="http://schemas.openxmlformats.org/officeDocument/2006/relationships" r:id="rId6"/>
        </xdr:cNvPr>
        <xdr:cNvSpPr/>
      </xdr:nvSpPr>
      <xdr:spPr>
        <a:xfrm>
          <a:off x="197465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620395</xdr:colOff>
      <xdr:row>0</xdr:row>
      <xdr:rowOff>207645</xdr:rowOff>
    </xdr:from>
    <xdr:to>
      <xdr:col>24</xdr:col>
      <xdr:colOff>66675</xdr:colOff>
      <xdr:row>0</xdr:row>
      <xdr:rowOff>561975</xdr:rowOff>
    </xdr:to>
    <xdr:sp macro="[1]!asht18">
      <xdr:nvSpPr>
        <xdr:cNvPr id="33" name="12">
          <a:hlinkClick xmlns:r="http://schemas.openxmlformats.org/officeDocument/2006/relationships" r:id="rId7"/>
        </xdr:cNvPr>
        <xdr:cNvSpPr/>
      </xdr:nvSpPr>
      <xdr:spPr>
        <a:xfrm>
          <a:off x="2060384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153670</xdr:colOff>
      <xdr:row>0</xdr:row>
      <xdr:rowOff>207645</xdr:rowOff>
    </xdr:from>
    <xdr:to>
      <xdr:col>25</xdr:col>
      <xdr:colOff>285750</xdr:colOff>
      <xdr:row>0</xdr:row>
      <xdr:rowOff>561975</xdr:rowOff>
    </xdr:to>
    <xdr:sp macro="[1]!asht18">
      <xdr:nvSpPr>
        <xdr:cNvPr id="34" name="12">
          <a:hlinkClick xmlns:r="http://schemas.openxmlformats.org/officeDocument/2006/relationships" r:id="rId8"/>
        </xdr:cNvPr>
        <xdr:cNvSpPr/>
      </xdr:nvSpPr>
      <xdr:spPr>
        <a:xfrm>
          <a:off x="2150872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25</xdr:col>
      <xdr:colOff>258445</xdr:colOff>
      <xdr:row>0</xdr:row>
      <xdr:rowOff>207645</xdr:rowOff>
    </xdr:from>
    <xdr:to>
      <xdr:col>26</xdr:col>
      <xdr:colOff>390525</xdr:colOff>
      <xdr:row>0</xdr:row>
      <xdr:rowOff>561975</xdr:rowOff>
    </xdr:to>
    <xdr:sp macro="[1]!asht18">
      <xdr:nvSpPr>
        <xdr:cNvPr id="35" name="12">
          <a:hlinkClick xmlns:r="http://schemas.openxmlformats.org/officeDocument/2006/relationships" r:id="rId9"/>
        </xdr:cNvPr>
        <xdr:cNvSpPr/>
      </xdr:nvSpPr>
      <xdr:spPr>
        <a:xfrm>
          <a:off x="222992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26</xdr:col>
      <xdr:colOff>496570</xdr:colOff>
      <xdr:row>0</xdr:row>
      <xdr:rowOff>207645</xdr:rowOff>
    </xdr:from>
    <xdr:to>
      <xdr:col>27</xdr:col>
      <xdr:colOff>628650</xdr:colOff>
      <xdr:row>0</xdr:row>
      <xdr:rowOff>561975</xdr:rowOff>
    </xdr:to>
    <xdr:sp macro="[1]!asht18">
      <xdr:nvSpPr>
        <xdr:cNvPr id="36" name="12">
          <a:hlinkClick xmlns:r="http://schemas.openxmlformats.org/officeDocument/2006/relationships" r:id="rId10"/>
        </xdr:cNvPr>
        <xdr:cNvSpPr/>
      </xdr:nvSpPr>
      <xdr:spPr>
        <a:xfrm>
          <a:off x="2322322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629920</xdr:colOff>
      <xdr:row>0</xdr:row>
      <xdr:rowOff>207645</xdr:rowOff>
    </xdr:from>
    <xdr:to>
      <xdr:col>29</xdr:col>
      <xdr:colOff>76200</xdr:colOff>
      <xdr:row>0</xdr:row>
      <xdr:rowOff>561975</xdr:rowOff>
    </xdr:to>
    <xdr:sp macro="[1]!asht18">
      <xdr:nvSpPr>
        <xdr:cNvPr id="37" name="12">
          <a:hlinkClick xmlns:r="http://schemas.openxmlformats.org/officeDocument/2006/relationships" r:id="rId11"/>
        </xdr:cNvPr>
        <xdr:cNvSpPr/>
      </xdr:nvSpPr>
      <xdr:spPr>
        <a:xfrm>
          <a:off x="2404237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80645</xdr:colOff>
      <xdr:row>0</xdr:row>
      <xdr:rowOff>207645</xdr:rowOff>
    </xdr:from>
    <xdr:to>
      <xdr:col>30</xdr:col>
      <xdr:colOff>212725</xdr:colOff>
      <xdr:row>0</xdr:row>
      <xdr:rowOff>561975</xdr:rowOff>
    </xdr:to>
    <xdr:sp macro="[1]!asht18">
      <xdr:nvSpPr>
        <xdr:cNvPr id="38" name="12">
          <a:hlinkClick xmlns:r="http://schemas.openxmlformats.org/officeDocument/2006/relationships" r:id="rId12"/>
        </xdr:cNvPr>
        <xdr:cNvSpPr/>
      </xdr:nvSpPr>
      <xdr:spPr>
        <a:xfrm>
          <a:off x="24864695" y="207645"/>
          <a:ext cx="817880" cy="354330"/>
        </a:xfrm>
        <a:prstGeom prst="rect">
          <a:avLst/>
        </a:prstGeom>
      </xdr:spPr>
      <xdr:style>
        <a:lnRef idx="2">
          <a:schemeClr val="lt1"/>
        </a:lnRef>
        <a:fillRef idx="1">
          <a:schemeClr val="accent1"/>
        </a:fillRef>
        <a:effectRef idx="1">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采购未入库明细</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wsDr>
</file>

<file path=xl/drawings/drawing13.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133350</xdr:colOff>
      <xdr:row>1</xdr:row>
      <xdr:rowOff>12700</xdr:rowOff>
    </xdr:from>
    <xdr:to>
      <xdr:col>2</xdr:col>
      <xdr:colOff>1200150</xdr:colOff>
      <xdr:row>1</xdr:row>
      <xdr:rowOff>403225</xdr:rowOff>
    </xdr:to>
    <xdr:sp macro="[1]!print_out">
      <xdr:nvSpPr>
        <xdr:cNvPr id="3" name="圆角矩形 2"/>
        <xdr:cNvSpPr/>
      </xdr:nvSpPr>
      <xdr:spPr>
        <a:xfrm>
          <a:off x="742950" y="7747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打印</a:t>
          </a:r>
          <a:endParaRPr lang="zh-CN" altLang="en-US" sz="1400" b="1">
            <a:latin typeface="等线" panose="02010600030101010101" charset="-122"/>
            <a:ea typeface="等线" panose="02010600030101010101" charset="-122"/>
          </a:endParaRPr>
        </a:p>
      </xdr:txBody>
    </xdr:sp>
    <xdr:clientData/>
  </xdr:twoCellAnchor>
  <xdr:twoCellAnchor editAs="absolute">
    <xdr:from>
      <xdr:col>2</xdr:col>
      <xdr:colOff>508635</xdr:colOff>
      <xdr:row>0</xdr:row>
      <xdr:rowOff>127000</xdr:rowOff>
    </xdr:from>
    <xdr:to>
      <xdr:col>31</xdr:col>
      <xdr:colOff>636905</xdr:colOff>
      <xdr:row>0</xdr:row>
      <xdr:rowOff>624205</xdr:rowOff>
    </xdr:to>
    <xdr:sp>
      <xdr:nvSpPr>
        <xdr:cNvPr id="4" name="圆角矩形 14"/>
        <xdr:cNvSpPr/>
      </xdr:nvSpPr>
      <xdr:spPr>
        <a:xfrm>
          <a:off x="1118235" y="127000"/>
          <a:ext cx="2490279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2</xdr:col>
      <xdr:colOff>1381125</xdr:colOff>
      <xdr:row>0</xdr:row>
      <xdr:rowOff>557530</xdr:rowOff>
    </xdr:to>
    <xdr:sp macro="[1]!asht1">
      <xdr:nvSpPr>
        <xdr:cNvPr id="5"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xdr:col>
      <xdr:colOff>1420495</xdr:colOff>
      <xdr:row>0</xdr:row>
      <xdr:rowOff>203200</xdr:rowOff>
    </xdr:from>
    <xdr:to>
      <xdr:col>3</xdr:col>
      <xdr:colOff>664210</xdr:colOff>
      <xdr:row>0</xdr:row>
      <xdr:rowOff>557530</xdr:rowOff>
    </xdr:to>
    <xdr:sp macro="[1]!asht2">
      <xdr:nvSpPr>
        <xdr:cNvPr id="6"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703580</xdr:colOff>
      <xdr:row>0</xdr:row>
      <xdr:rowOff>203200</xdr:rowOff>
    </xdr:from>
    <xdr:to>
      <xdr:col>3</xdr:col>
      <xdr:colOff>1518920</xdr:colOff>
      <xdr:row>0</xdr:row>
      <xdr:rowOff>557530</xdr:rowOff>
    </xdr:to>
    <xdr:sp macro="[1]!asht4">
      <xdr:nvSpPr>
        <xdr:cNvPr id="7"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1558290</xdr:colOff>
      <xdr:row>0</xdr:row>
      <xdr:rowOff>203200</xdr:rowOff>
    </xdr:from>
    <xdr:to>
      <xdr:col>4</xdr:col>
      <xdr:colOff>802005</xdr:colOff>
      <xdr:row>0</xdr:row>
      <xdr:rowOff>557530</xdr:rowOff>
    </xdr:to>
    <xdr:sp macro="[1]!asht16">
      <xdr:nvSpPr>
        <xdr:cNvPr id="8" name="4"/>
        <xdr:cNvSpPr/>
      </xdr:nvSpPr>
      <xdr:spPr>
        <a:xfrm>
          <a:off x="3739515" y="203200"/>
          <a:ext cx="81534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入库单</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841375</xdr:colOff>
      <xdr:row>0</xdr:row>
      <xdr:rowOff>203200</xdr:rowOff>
    </xdr:from>
    <xdr:to>
      <xdr:col>5</xdr:col>
      <xdr:colOff>85725</xdr:colOff>
      <xdr:row>0</xdr:row>
      <xdr:rowOff>557530</xdr:rowOff>
    </xdr:to>
    <xdr:sp macro="[1]!asht14">
      <xdr:nvSpPr>
        <xdr:cNvPr id="9"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125095</xdr:colOff>
      <xdr:row>0</xdr:row>
      <xdr:rowOff>203200</xdr:rowOff>
    </xdr:from>
    <xdr:to>
      <xdr:col>5</xdr:col>
      <xdr:colOff>939800</xdr:colOff>
      <xdr:row>0</xdr:row>
      <xdr:rowOff>557530</xdr:rowOff>
    </xdr:to>
    <xdr:sp macro="[1]!asht17">
      <xdr:nvSpPr>
        <xdr:cNvPr id="10"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979170</xdr:colOff>
      <xdr:row>0</xdr:row>
      <xdr:rowOff>203200</xdr:rowOff>
    </xdr:from>
    <xdr:to>
      <xdr:col>6</xdr:col>
      <xdr:colOff>222885</xdr:colOff>
      <xdr:row>0</xdr:row>
      <xdr:rowOff>557530</xdr:rowOff>
    </xdr:to>
    <xdr:sp macro="[1]!asht5">
      <xdr:nvSpPr>
        <xdr:cNvPr id="11"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262255</xdr:colOff>
      <xdr:row>0</xdr:row>
      <xdr:rowOff>203200</xdr:rowOff>
    </xdr:from>
    <xdr:to>
      <xdr:col>6</xdr:col>
      <xdr:colOff>1077595</xdr:colOff>
      <xdr:row>0</xdr:row>
      <xdr:rowOff>557530</xdr:rowOff>
    </xdr:to>
    <xdr:sp macro="[1]!asht6">
      <xdr:nvSpPr>
        <xdr:cNvPr id="12"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1116965</xdr:colOff>
      <xdr:row>0</xdr:row>
      <xdr:rowOff>203200</xdr:rowOff>
    </xdr:from>
    <xdr:to>
      <xdr:col>7</xdr:col>
      <xdr:colOff>361315</xdr:colOff>
      <xdr:row>0</xdr:row>
      <xdr:rowOff>557530</xdr:rowOff>
    </xdr:to>
    <xdr:sp macro="[1]!asht7">
      <xdr:nvSpPr>
        <xdr:cNvPr id="13"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400685</xdr:colOff>
      <xdr:row>0</xdr:row>
      <xdr:rowOff>203200</xdr:rowOff>
    </xdr:from>
    <xdr:to>
      <xdr:col>7</xdr:col>
      <xdr:colOff>1216025</xdr:colOff>
      <xdr:row>0</xdr:row>
      <xdr:rowOff>557530</xdr:rowOff>
    </xdr:to>
    <xdr:sp macro="[1]!asht8">
      <xdr:nvSpPr>
        <xdr:cNvPr id="14"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1255395</xdr:colOff>
      <xdr:row>0</xdr:row>
      <xdr:rowOff>203200</xdr:rowOff>
    </xdr:from>
    <xdr:to>
      <xdr:col>9</xdr:col>
      <xdr:colOff>241935</xdr:colOff>
      <xdr:row>0</xdr:row>
      <xdr:rowOff>557530</xdr:rowOff>
    </xdr:to>
    <xdr:sp macro="[1]!asht15">
      <xdr:nvSpPr>
        <xdr:cNvPr id="15"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281305</xdr:colOff>
      <xdr:row>0</xdr:row>
      <xdr:rowOff>203200</xdr:rowOff>
    </xdr:from>
    <xdr:to>
      <xdr:col>10</xdr:col>
      <xdr:colOff>413385</xdr:colOff>
      <xdr:row>0</xdr:row>
      <xdr:rowOff>557530</xdr:rowOff>
    </xdr:to>
    <xdr:sp macro="[1]!asht9">
      <xdr:nvSpPr>
        <xdr:cNvPr id="16"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17" name="文本框 16"/>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单据</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10</xdr:col>
      <xdr:colOff>452755</xdr:colOff>
      <xdr:row>0</xdr:row>
      <xdr:rowOff>203200</xdr:rowOff>
    </xdr:from>
    <xdr:to>
      <xdr:col>11</xdr:col>
      <xdr:colOff>584835</xdr:colOff>
      <xdr:row>0</xdr:row>
      <xdr:rowOff>557530</xdr:rowOff>
    </xdr:to>
    <xdr:sp macro="[1]!asht10">
      <xdr:nvSpPr>
        <xdr:cNvPr id="18"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624205</xdr:colOff>
      <xdr:row>0</xdr:row>
      <xdr:rowOff>203200</xdr:rowOff>
    </xdr:from>
    <xdr:to>
      <xdr:col>13</xdr:col>
      <xdr:colOff>70485</xdr:colOff>
      <xdr:row>0</xdr:row>
      <xdr:rowOff>557530</xdr:rowOff>
    </xdr:to>
    <xdr:sp macro="[1]!asht11">
      <xdr:nvSpPr>
        <xdr:cNvPr id="19"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109855</xdr:colOff>
      <xdr:row>0</xdr:row>
      <xdr:rowOff>203200</xdr:rowOff>
    </xdr:from>
    <xdr:to>
      <xdr:col>14</xdr:col>
      <xdr:colOff>241935</xdr:colOff>
      <xdr:row>0</xdr:row>
      <xdr:rowOff>557530</xdr:rowOff>
    </xdr:to>
    <xdr:sp macro="[1]!asht12">
      <xdr:nvSpPr>
        <xdr:cNvPr id="20"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281305</xdr:colOff>
      <xdr:row>0</xdr:row>
      <xdr:rowOff>203200</xdr:rowOff>
    </xdr:from>
    <xdr:to>
      <xdr:col>15</xdr:col>
      <xdr:colOff>413385</xdr:colOff>
      <xdr:row>0</xdr:row>
      <xdr:rowOff>557530</xdr:rowOff>
    </xdr:to>
    <xdr:sp macro="[1]!asht13">
      <xdr:nvSpPr>
        <xdr:cNvPr id="21"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452755</xdr:colOff>
      <xdr:row>0</xdr:row>
      <xdr:rowOff>203200</xdr:rowOff>
    </xdr:from>
    <xdr:to>
      <xdr:col>16</xdr:col>
      <xdr:colOff>584835</xdr:colOff>
      <xdr:row>0</xdr:row>
      <xdr:rowOff>557530</xdr:rowOff>
    </xdr:to>
    <xdr:sp macro="[1]!asht18">
      <xdr:nvSpPr>
        <xdr:cNvPr id="22"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600075</xdr:colOff>
      <xdr:row>0</xdr:row>
      <xdr:rowOff>200025</xdr:rowOff>
    </xdr:from>
    <xdr:to>
      <xdr:col>18</xdr:col>
      <xdr:colOff>46355</xdr:colOff>
      <xdr:row>0</xdr:row>
      <xdr:rowOff>554355</xdr:rowOff>
    </xdr:to>
    <xdr:sp macro="[1]!asht18">
      <xdr:nvSpPr>
        <xdr:cNvPr id="23" name="12">
          <a:hlinkClick xmlns:r="http://schemas.openxmlformats.org/officeDocument/2006/relationships" r:id="rId1"/>
        </xdr:cNvPr>
        <xdr:cNvSpPr/>
      </xdr:nvSpPr>
      <xdr:spPr>
        <a:xfrm>
          <a:off x="15697200"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20320</xdr:colOff>
      <xdr:row>0</xdr:row>
      <xdr:rowOff>200025</xdr:rowOff>
    </xdr:from>
    <xdr:to>
      <xdr:col>19</xdr:col>
      <xdr:colOff>152400</xdr:colOff>
      <xdr:row>0</xdr:row>
      <xdr:rowOff>554355</xdr:rowOff>
    </xdr:to>
    <xdr:sp macro="[1]!asht18">
      <xdr:nvSpPr>
        <xdr:cNvPr id="24" name="12">
          <a:hlinkClick xmlns:r="http://schemas.openxmlformats.org/officeDocument/2006/relationships" r:id="rId2"/>
        </xdr:cNvPr>
        <xdr:cNvSpPr/>
      </xdr:nvSpPr>
      <xdr:spPr>
        <a:xfrm>
          <a:off x="16489045"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153670</xdr:colOff>
      <xdr:row>0</xdr:row>
      <xdr:rowOff>200025</xdr:rowOff>
    </xdr:from>
    <xdr:to>
      <xdr:col>20</xdr:col>
      <xdr:colOff>285750</xdr:colOff>
      <xdr:row>0</xdr:row>
      <xdr:rowOff>554355</xdr:rowOff>
    </xdr:to>
    <xdr:sp macro="[1]!asht18">
      <xdr:nvSpPr>
        <xdr:cNvPr id="25" name="12">
          <a:hlinkClick xmlns:r="http://schemas.openxmlformats.org/officeDocument/2006/relationships" r:id="rId3"/>
        </xdr:cNvPr>
        <xdr:cNvSpPr/>
      </xdr:nvSpPr>
      <xdr:spPr>
        <a:xfrm>
          <a:off x="17308195"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239395</xdr:colOff>
      <xdr:row>0</xdr:row>
      <xdr:rowOff>200025</xdr:rowOff>
    </xdr:from>
    <xdr:to>
      <xdr:col>21</xdr:col>
      <xdr:colOff>371475</xdr:colOff>
      <xdr:row>0</xdr:row>
      <xdr:rowOff>554355</xdr:rowOff>
    </xdr:to>
    <xdr:sp macro="[1]!asht18">
      <xdr:nvSpPr>
        <xdr:cNvPr id="26" name="12">
          <a:hlinkClick xmlns:r="http://schemas.openxmlformats.org/officeDocument/2006/relationships" r:id="rId4"/>
        </xdr:cNvPr>
        <xdr:cNvSpPr/>
      </xdr:nvSpPr>
      <xdr:spPr>
        <a:xfrm>
          <a:off x="18079720"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344170</xdr:colOff>
      <xdr:row>0</xdr:row>
      <xdr:rowOff>200025</xdr:rowOff>
    </xdr:from>
    <xdr:to>
      <xdr:col>22</xdr:col>
      <xdr:colOff>476250</xdr:colOff>
      <xdr:row>0</xdr:row>
      <xdr:rowOff>554355</xdr:rowOff>
    </xdr:to>
    <xdr:sp macro="[1]!asht18">
      <xdr:nvSpPr>
        <xdr:cNvPr id="27" name="12">
          <a:hlinkClick xmlns:r="http://schemas.openxmlformats.org/officeDocument/2006/relationships" r:id="rId5"/>
        </xdr:cNvPr>
        <xdr:cNvSpPr/>
      </xdr:nvSpPr>
      <xdr:spPr>
        <a:xfrm>
          <a:off x="18870295"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534670</xdr:colOff>
      <xdr:row>0</xdr:row>
      <xdr:rowOff>200025</xdr:rowOff>
    </xdr:from>
    <xdr:to>
      <xdr:col>23</xdr:col>
      <xdr:colOff>666750</xdr:colOff>
      <xdr:row>0</xdr:row>
      <xdr:rowOff>554355</xdr:rowOff>
    </xdr:to>
    <xdr:sp macro="[1]!asht18">
      <xdr:nvSpPr>
        <xdr:cNvPr id="28" name="12">
          <a:hlinkClick xmlns:r="http://schemas.openxmlformats.org/officeDocument/2006/relationships" r:id="rId6"/>
        </xdr:cNvPr>
        <xdr:cNvSpPr/>
      </xdr:nvSpPr>
      <xdr:spPr>
        <a:xfrm>
          <a:off x="19746595"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20320</xdr:colOff>
      <xdr:row>0</xdr:row>
      <xdr:rowOff>200025</xdr:rowOff>
    </xdr:from>
    <xdr:to>
      <xdr:col>25</xdr:col>
      <xdr:colOff>152400</xdr:colOff>
      <xdr:row>0</xdr:row>
      <xdr:rowOff>554355</xdr:rowOff>
    </xdr:to>
    <xdr:sp macro="[1]!asht18">
      <xdr:nvSpPr>
        <xdr:cNvPr id="29" name="12">
          <a:hlinkClick xmlns:r="http://schemas.openxmlformats.org/officeDocument/2006/relationships" r:id="rId7"/>
        </xdr:cNvPr>
        <xdr:cNvSpPr/>
      </xdr:nvSpPr>
      <xdr:spPr>
        <a:xfrm>
          <a:off x="20603845"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25</xdr:col>
      <xdr:colOff>239395</xdr:colOff>
      <xdr:row>0</xdr:row>
      <xdr:rowOff>200025</xdr:rowOff>
    </xdr:from>
    <xdr:to>
      <xdr:col>26</xdr:col>
      <xdr:colOff>371475</xdr:colOff>
      <xdr:row>0</xdr:row>
      <xdr:rowOff>554355</xdr:rowOff>
    </xdr:to>
    <xdr:sp macro="[1]!asht18">
      <xdr:nvSpPr>
        <xdr:cNvPr id="30" name="12">
          <a:hlinkClick xmlns:r="http://schemas.openxmlformats.org/officeDocument/2006/relationships" r:id="rId8"/>
        </xdr:cNvPr>
        <xdr:cNvSpPr/>
      </xdr:nvSpPr>
      <xdr:spPr>
        <a:xfrm>
          <a:off x="21508720"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26</xdr:col>
      <xdr:colOff>344170</xdr:colOff>
      <xdr:row>0</xdr:row>
      <xdr:rowOff>200025</xdr:rowOff>
    </xdr:from>
    <xdr:to>
      <xdr:col>27</xdr:col>
      <xdr:colOff>476250</xdr:colOff>
      <xdr:row>0</xdr:row>
      <xdr:rowOff>554355</xdr:rowOff>
    </xdr:to>
    <xdr:sp macro="[1]!asht18">
      <xdr:nvSpPr>
        <xdr:cNvPr id="31" name="12">
          <a:hlinkClick xmlns:r="http://schemas.openxmlformats.org/officeDocument/2006/relationships" r:id="rId9"/>
        </xdr:cNvPr>
        <xdr:cNvSpPr/>
      </xdr:nvSpPr>
      <xdr:spPr>
        <a:xfrm>
          <a:off x="22299295"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582295</xdr:colOff>
      <xdr:row>0</xdr:row>
      <xdr:rowOff>200025</xdr:rowOff>
    </xdr:from>
    <xdr:to>
      <xdr:col>29</xdr:col>
      <xdr:colOff>28575</xdr:colOff>
      <xdr:row>0</xdr:row>
      <xdr:rowOff>554355</xdr:rowOff>
    </xdr:to>
    <xdr:sp macro="[1]!asht18">
      <xdr:nvSpPr>
        <xdr:cNvPr id="32" name="12">
          <a:hlinkClick xmlns:r="http://schemas.openxmlformats.org/officeDocument/2006/relationships" r:id="rId10"/>
        </xdr:cNvPr>
        <xdr:cNvSpPr/>
      </xdr:nvSpPr>
      <xdr:spPr>
        <a:xfrm>
          <a:off x="23223220"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29845</xdr:colOff>
      <xdr:row>0</xdr:row>
      <xdr:rowOff>200025</xdr:rowOff>
    </xdr:from>
    <xdr:to>
      <xdr:col>30</xdr:col>
      <xdr:colOff>161925</xdr:colOff>
      <xdr:row>0</xdr:row>
      <xdr:rowOff>554355</xdr:rowOff>
    </xdr:to>
    <xdr:sp macro="[1]!asht18">
      <xdr:nvSpPr>
        <xdr:cNvPr id="33" name="12">
          <a:hlinkClick xmlns:r="http://schemas.openxmlformats.org/officeDocument/2006/relationships" r:id="rId11"/>
        </xdr:cNvPr>
        <xdr:cNvSpPr/>
      </xdr:nvSpPr>
      <xdr:spPr>
        <a:xfrm>
          <a:off x="24042370"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30</xdr:col>
      <xdr:colOff>166370</xdr:colOff>
      <xdr:row>0</xdr:row>
      <xdr:rowOff>200025</xdr:rowOff>
    </xdr:from>
    <xdr:to>
      <xdr:col>31</xdr:col>
      <xdr:colOff>298450</xdr:colOff>
      <xdr:row>0</xdr:row>
      <xdr:rowOff>554355</xdr:rowOff>
    </xdr:to>
    <xdr:sp macro="[1]!asht18">
      <xdr:nvSpPr>
        <xdr:cNvPr id="34" name="12">
          <a:hlinkClick xmlns:r="http://schemas.openxmlformats.org/officeDocument/2006/relationships" r:id="rId12"/>
        </xdr:cNvPr>
        <xdr:cNvSpPr/>
      </xdr:nvSpPr>
      <xdr:spPr>
        <a:xfrm>
          <a:off x="24864695"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14.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219075</xdr:colOff>
      <xdr:row>1</xdr:row>
      <xdr:rowOff>50800</xdr:rowOff>
    </xdr:from>
    <xdr:to>
      <xdr:col>3</xdr:col>
      <xdr:colOff>1028700</xdr:colOff>
      <xdr:row>1</xdr:row>
      <xdr:rowOff>441325</xdr:rowOff>
    </xdr:to>
    <xdr:sp macro="[0]!select05">
      <xdr:nvSpPr>
        <xdr:cNvPr id="35" name="圆角矩形 34"/>
        <xdr:cNvSpPr/>
      </xdr:nvSpPr>
      <xdr:spPr>
        <a:xfrm>
          <a:off x="5715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4</xdr:col>
      <xdr:colOff>139700</xdr:colOff>
      <xdr:row>1</xdr:row>
      <xdr:rowOff>50800</xdr:rowOff>
    </xdr:from>
    <xdr:to>
      <xdr:col>4</xdr:col>
      <xdr:colOff>1206500</xdr:colOff>
      <xdr:row>1</xdr:row>
      <xdr:rowOff>441325</xdr:rowOff>
    </xdr:to>
    <xdr:sp macro="[0]!save05">
      <xdr:nvSpPr>
        <xdr:cNvPr id="36" name="圆角矩形 35"/>
        <xdr:cNvSpPr/>
      </xdr:nvSpPr>
      <xdr:spPr>
        <a:xfrm>
          <a:off x="20351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保存</a:t>
          </a:r>
          <a:endParaRPr lang="zh-CN" altLang="en-US" sz="1400" b="1">
            <a:latin typeface="等线" panose="02010600030101010101" charset="-122"/>
            <a:ea typeface="等线" panose="02010600030101010101" charset="-122"/>
          </a:endParaRPr>
        </a:p>
      </xdr:txBody>
    </xdr:sp>
    <xdr:clientData/>
  </xdr:twoCellAnchor>
  <xdr:twoCellAnchor editAs="absolute">
    <xdr:from>
      <xdr:col>5</xdr:col>
      <xdr:colOff>279400</xdr:colOff>
      <xdr:row>1</xdr:row>
      <xdr:rowOff>50800</xdr:rowOff>
    </xdr:from>
    <xdr:to>
      <xdr:col>6</xdr:col>
      <xdr:colOff>60325</xdr:colOff>
      <xdr:row>1</xdr:row>
      <xdr:rowOff>441325</xdr:rowOff>
    </xdr:to>
    <xdr:sp macro="[0]!PLSC_id">
      <xdr:nvSpPr>
        <xdr:cNvPr id="37" name="圆角矩形 36"/>
        <xdr:cNvSpPr/>
      </xdr:nvSpPr>
      <xdr:spPr>
        <a:xfrm>
          <a:off x="34607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xdr:twoCellAnchor>
  <xdr:twoCellAnchor editAs="absolute">
    <xdr:from>
      <xdr:col>6</xdr:col>
      <xdr:colOff>381000</xdr:colOff>
      <xdr:row>1</xdr:row>
      <xdr:rowOff>50800</xdr:rowOff>
    </xdr:from>
    <xdr:to>
      <xdr:col>7</xdr:col>
      <xdr:colOff>161925</xdr:colOff>
      <xdr:row>1</xdr:row>
      <xdr:rowOff>441325</xdr:rowOff>
    </xdr:to>
    <xdr:sp macro="[0]!query_05_show">
      <xdr:nvSpPr>
        <xdr:cNvPr id="19" name="圆角矩形 18"/>
        <xdr:cNvSpPr/>
      </xdr:nvSpPr>
      <xdr:spPr>
        <a:xfrm>
          <a:off x="4848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508635</xdr:colOff>
      <xdr:row>0</xdr:row>
      <xdr:rowOff>127000</xdr:rowOff>
    </xdr:from>
    <xdr:to>
      <xdr:col>20</xdr:col>
      <xdr:colOff>474980</xdr:colOff>
      <xdr:row>0</xdr:row>
      <xdr:rowOff>624205</xdr:rowOff>
    </xdr:to>
    <xdr:sp>
      <xdr:nvSpPr>
        <xdr:cNvPr id="20"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4</xdr:col>
      <xdr:colOff>95250</xdr:colOff>
      <xdr:row>0</xdr:row>
      <xdr:rowOff>557530</xdr:rowOff>
    </xdr:to>
    <xdr:sp macro="[0]!asht1">
      <xdr:nvSpPr>
        <xdr:cNvPr id="21"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134620</xdr:colOff>
      <xdr:row>0</xdr:row>
      <xdr:rowOff>203200</xdr:rowOff>
    </xdr:from>
    <xdr:to>
      <xdr:col>4</xdr:col>
      <xdr:colOff>949960</xdr:colOff>
      <xdr:row>0</xdr:row>
      <xdr:rowOff>557530</xdr:rowOff>
    </xdr:to>
    <xdr:sp macro="[0]!asht2">
      <xdr:nvSpPr>
        <xdr:cNvPr id="22"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989330</xdr:colOff>
      <xdr:row>0</xdr:row>
      <xdr:rowOff>203200</xdr:rowOff>
    </xdr:from>
    <xdr:to>
      <xdr:col>5</xdr:col>
      <xdr:colOff>518795</xdr:colOff>
      <xdr:row>0</xdr:row>
      <xdr:rowOff>557530</xdr:rowOff>
    </xdr:to>
    <xdr:sp macro="[0]!asht4">
      <xdr:nvSpPr>
        <xdr:cNvPr id="23"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558165</xdr:colOff>
      <xdr:row>0</xdr:row>
      <xdr:rowOff>203200</xdr:rowOff>
    </xdr:from>
    <xdr:to>
      <xdr:col>6</xdr:col>
      <xdr:colOff>87630</xdr:colOff>
      <xdr:row>0</xdr:row>
      <xdr:rowOff>557530</xdr:rowOff>
    </xdr:to>
    <xdr:sp macro="[0]!asht16">
      <xdr:nvSpPr>
        <xdr:cNvPr id="24"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127000</xdr:colOff>
      <xdr:row>0</xdr:row>
      <xdr:rowOff>203200</xdr:rowOff>
    </xdr:from>
    <xdr:to>
      <xdr:col>6</xdr:col>
      <xdr:colOff>942975</xdr:colOff>
      <xdr:row>0</xdr:row>
      <xdr:rowOff>557530</xdr:rowOff>
    </xdr:to>
    <xdr:sp macro="[0]!asht14">
      <xdr:nvSpPr>
        <xdr:cNvPr id="25"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982345</xdr:colOff>
      <xdr:row>0</xdr:row>
      <xdr:rowOff>203200</xdr:rowOff>
    </xdr:from>
    <xdr:to>
      <xdr:col>7</xdr:col>
      <xdr:colOff>511175</xdr:colOff>
      <xdr:row>0</xdr:row>
      <xdr:rowOff>557530</xdr:rowOff>
    </xdr:to>
    <xdr:sp macro="[0]!asht17">
      <xdr:nvSpPr>
        <xdr:cNvPr id="26"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550545</xdr:colOff>
      <xdr:row>0</xdr:row>
      <xdr:rowOff>203200</xdr:rowOff>
    </xdr:from>
    <xdr:to>
      <xdr:col>8</xdr:col>
      <xdr:colOff>80010</xdr:colOff>
      <xdr:row>0</xdr:row>
      <xdr:rowOff>557530</xdr:rowOff>
    </xdr:to>
    <xdr:sp macro="[0]!asht5">
      <xdr:nvSpPr>
        <xdr:cNvPr id="27" name="7"/>
        <xdr:cNvSpPr/>
      </xdr:nvSpPr>
      <xdr:spPr>
        <a:xfrm>
          <a:off x="6303645" y="203200"/>
          <a:ext cx="81534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期初数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8</xdr:col>
      <xdr:colOff>119380</xdr:colOff>
      <xdr:row>0</xdr:row>
      <xdr:rowOff>203200</xdr:rowOff>
    </xdr:from>
    <xdr:to>
      <xdr:col>8</xdr:col>
      <xdr:colOff>934720</xdr:colOff>
      <xdr:row>0</xdr:row>
      <xdr:rowOff>557530</xdr:rowOff>
    </xdr:to>
    <xdr:sp macro="[0]!asht6">
      <xdr:nvSpPr>
        <xdr:cNvPr id="28"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974090</xdr:colOff>
      <xdr:row>0</xdr:row>
      <xdr:rowOff>203200</xdr:rowOff>
    </xdr:from>
    <xdr:to>
      <xdr:col>9</xdr:col>
      <xdr:colOff>504190</xdr:colOff>
      <xdr:row>0</xdr:row>
      <xdr:rowOff>557530</xdr:rowOff>
    </xdr:to>
    <xdr:sp macro="[0]!asht7">
      <xdr:nvSpPr>
        <xdr:cNvPr id="29"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543560</xdr:colOff>
      <xdr:row>0</xdr:row>
      <xdr:rowOff>203200</xdr:rowOff>
    </xdr:from>
    <xdr:to>
      <xdr:col>10</xdr:col>
      <xdr:colOff>73025</xdr:colOff>
      <xdr:row>0</xdr:row>
      <xdr:rowOff>557530</xdr:rowOff>
    </xdr:to>
    <xdr:sp macro="[0]!asht8">
      <xdr:nvSpPr>
        <xdr:cNvPr id="30"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112395</xdr:colOff>
      <xdr:row>0</xdr:row>
      <xdr:rowOff>203200</xdr:rowOff>
    </xdr:from>
    <xdr:to>
      <xdr:col>12</xdr:col>
      <xdr:colOff>670560</xdr:colOff>
      <xdr:row>0</xdr:row>
      <xdr:rowOff>557530</xdr:rowOff>
    </xdr:to>
    <xdr:sp macro="[0]!asht15">
      <xdr:nvSpPr>
        <xdr:cNvPr id="31"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24130</xdr:colOff>
      <xdr:row>0</xdr:row>
      <xdr:rowOff>203200</xdr:rowOff>
    </xdr:from>
    <xdr:to>
      <xdr:col>14</xdr:col>
      <xdr:colOff>156210</xdr:colOff>
      <xdr:row>0</xdr:row>
      <xdr:rowOff>557530</xdr:rowOff>
    </xdr:to>
    <xdr:sp macro="[0]!asht9">
      <xdr:nvSpPr>
        <xdr:cNvPr id="32"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33" name="文本框 32"/>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期初数</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14</xdr:col>
      <xdr:colOff>195580</xdr:colOff>
      <xdr:row>0</xdr:row>
      <xdr:rowOff>203200</xdr:rowOff>
    </xdr:from>
    <xdr:to>
      <xdr:col>15</xdr:col>
      <xdr:colOff>327660</xdr:colOff>
      <xdr:row>0</xdr:row>
      <xdr:rowOff>557530</xdr:rowOff>
    </xdr:to>
    <xdr:sp macro="[0]!asht10">
      <xdr:nvSpPr>
        <xdr:cNvPr id="38"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367030</xdr:colOff>
      <xdr:row>0</xdr:row>
      <xdr:rowOff>203200</xdr:rowOff>
    </xdr:from>
    <xdr:to>
      <xdr:col>16</xdr:col>
      <xdr:colOff>499110</xdr:colOff>
      <xdr:row>0</xdr:row>
      <xdr:rowOff>557530</xdr:rowOff>
    </xdr:to>
    <xdr:sp macro="[0]!asht11">
      <xdr:nvSpPr>
        <xdr:cNvPr id="39"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538480</xdr:colOff>
      <xdr:row>0</xdr:row>
      <xdr:rowOff>203200</xdr:rowOff>
    </xdr:from>
    <xdr:to>
      <xdr:col>17</xdr:col>
      <xdr:colOff>670560</xdr:colOff>
      <xdr:row>0</xdr:row>
      <xdr:rowOff>557530</xdr:rowOff>
    </xdr:to>
    <xdr:sp macro="[0]!asht12">
      <xdr:nvSpPr>
        <xdr:cNvPr id="40"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24130</xdr:colOff>
      <xdr:row>0</xdr:row>
      <xdr:rowOff>203200</xdr:rowOff>
    </xdr:from>
    <xdr:to>
      <xdr:col>19</xdr:col>
      <xdr:colOff>156210</xdr:colOff>
      <xdr:row>0</xdr:row>
      <xdr:rowOff>557530</xdr:rowOff>
    </xdr:to>
    <xdr:sp macro="[0]!asht13">
      <xdr:nvSpPr>
        <xdr:cNvPr id="41"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195580</xdr:colOff>
      <xdr:row>0</xdr:row>
      <xdr:rowOff>203200</xdr:rowOff>
    </xdr:from>
    <xdr:to>
      <xdr:col>20</xdr:col>
      <xdr:colOff>327660</xdr:colOff>
      <xdr:row>0</xdr:row>
      <xdr:rowOff>557530</xdr:rowOff>
    </xdr:to>
    <xdr:sp macro="[0]!asht18">
      <xdr:nvSpPr>
        <xdr:cNvPr id="42"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15.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219075</xdr:colOff>
      <xdr:row>1</xdr:row>
      <xdr:rowOff>50800</xdr:rowOff>
    </xdr:from>
    <xdr:to>
      <xdr:col>2</xdr:col>
      <xdr:colOff>1028700</xdr:colOff>
      <xdr:row>1</xdr:row>
      <xdr:rowOff>441325</xdr:rowOff>
    </xdr:to>
    <xdr:sp macro="[0]!select27">
      <xdr:nvSpPr>
        <xdr:cNvPr id="2" name="圆角矩形 1"/>
        <xdr:cNvSpPr/>
      </xdr:nvSpPr>
      <xdr:spPr>
        <a:xfrm>
          <a:off x="5715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95250</xdr:colOff>
      <xdr:row>1</xdr:row>
      <xdr:rowOff>50800</xdr:rowOff>
    </xdr:from>
    <xdr:to>
      <xdr:col>3</xdr:col>
      <xdr:colOff>1162050</xdr:colOff>
      <xdr:row>1</xdr:row>
      <xdr:rowOff>441325</xdr:rowOff>
    </xdr:to>
    <xdr:sp macro="[0]!query_27_show">
      <xdr:nvSpPr>
        <xdr:cNvPr id="3" name="圆角矩形 2"/>
        <xdr:cNvSpPr/>
      </xdr:nvSpPr>
      <xdr:spPr>
        <a:xfrm>
          <a:off x="19907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xdr:twoCellAnchor>
  <xdr:twoCellAnchor editAs="absolute">
    <xdr:from>
      <xdr:col>2</xdr:col>
      <xdr:colOff>508635</xdr:colOff>
      <xdr:row>0</xdr:row>
      <xdr:rowOff>127000</xdr:rowOff>
    </xdr:from>
    <xdr:to>
      <xdr:col>32</xdr:col>
      <xdr:colOff>646430</xdr:colOff>
      <xdr:row>0</xdr:row>
      <xdr:rowOff>624205</xdr:rowOff>
    </xdr:to>
    <xdr:sp>
      <xdr:nvSpPr>
        <xdr:cNvPr id="4" name="圆角矩形 14"/>
        <xdr:cNvSpPr/>
      </xdr:nvSpPr>
      <xdr:spPr>
        <a:xfrm>
          <a:off x="1118235" y="127000"/>
          <a:ext cx="2472182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3</xdr:col>
      <xdr:colOff>95250</xdr:colOff>
      <xdr:row>0</xdr:row>
      <xdr:rowOff>557530</xdr:rowOff>
    </xdr:to>
    <xdr:sp macro="[1]!asht1">
      <xdr:nvSpPr>
        <xdr:cNvPr id="5"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134620</xdr:colOff>
      <xdr:row>0</xdr:row>
      <xdr:rowOff>203200</xdr:rowOff>
    </xdr:from>
    <xdr:to>
      <xdr:col>3</xdr:col>
      <xdr:colOff>949960</xdr:colOff>
      <xdr:row>0</xdr:row>
      <xdr:rowOff>557530</xdr:rowOff>
    </xdr:to>
    <xdr:sp macro="[1]!asht2">
      <xdr:nvSpPr>
        <xdr:cNvPr id="6"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989330</xdr:colOff>
      <xdr:row>0</xdr:row>
      <xdr:rowOff>203200</xdr:rowOff>
    </xdr:from>
    <xdr:to>
      <xdr:col>4</xdr:col>
      <xdr:colOff>518795</xdr:colOff>
      <xdr:row>0</xdr:row>
      <xdr:rowOff>557530</xdr:rowOff>
    </xdr:to>
    <xdr:sp macro="[1]!asht4">
      <xdr:nvSpPr>
        <xdr:cNvPr id="7"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558165</xdr:colOff>
      <xdr:row>0</xdr:row>
      <xdr:rowOff>203200</xdr:rowOff>
    </xdr:from>
    <xdr:to>
      <xdr:col>5</xdr:col>
      <xdr:colOff>87630</xdr:colOff>
      <xdr:row>0</xdr:row>
      <xdr:rowOff>557530</xdr:rowOff>
    </xdr:to>
    <xdr:sp macro="[1]!asht16">
      <xdr:nvSpPr>
        <xdr:cNvPr id="8"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127000</xdr:colOff>
      <xdr:row>0</xdr:row>
      <xdr:rowOff>203200</xdr:rowOff>
    </xdr:from>
    <xdr:to>
      <xdr:col>5</xdr:col>
      <xdr:colOff>942975</xdr:colOff>
      <xdr:row>0</xdr:row>
      <xdr:rowOff>557530</xdr:rowOff>
    </xdr:to>
    <xdr:sp macro="[1]!asht14">
      <xdr:nvSpPr>
        <xdr:cNvPr id="9"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982345</xdr:colOff>
      <xdr:row>0</xdr:row>
      <xdr:rowOff>203200</xdr:rowOff>
    </xdr:from>
    <xdr:to>
      <xdr:col>6</xdr:col>
      <xdr:colOff>511175</xdr:colOff>
      <xdr:row>0</xdr:row>
      <xdr:rowOff>557530</xdr:rowOff>
    </xdr:to>
    <xdr:sp macro="[1]!asht17">
      <xdr:nvSpPr>
        <xdr:cNvPr id="10"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550545</xdr:colOff>
      <xdr:row>0</xdr:row>
      <xdr:rowOff>203200</xdr:rowOff>
    </xdr:from>
    <xdr:to>
      <xdr:col>7</xdr:col>
      <xdr:colOff>80010</xdr:colOff>
      <xdr:row>0</xdr:row>
      <xdr:rowOff>557530</xdr:rowOff>
    </xdr:to>
    <xdr:sp macro="[1]!asht5">
      <xdr:nvSpPr>
        <xdr:cNvPr id="11" name="7"/>
        <xdr:cNvSpPr/>
      </xdr:nvSpPr>
      <xdr:spPr>
        <a:xfrm>
          <a:off x="6303645" y="203200"/>
          <a:ext cx="815340" cy="354330"/>
        </a:xfrm>
        <a:prstGeom prst="rect">
          <a:avLst/>
        </a:prstGeom>
        <a:ln>
          <a:noFill/>
        </a:ln>
      </xdr:spPr>
      <xdr:style>
        <a:lnRef idx="3">
          <a:schemeClr val="accent1"/>
        </a:lnRef>
        <a:fillRef idx="0">
          <a:srgbClr val="FFFFFF"/>
        </a:fillRef>
        <a:effectRef idx="0">
          <a:srgbClr val="FFFFFF"/>
        </a:effectRef>
        <a:fontRef idx="minor">
          <a:schemeClr val="tx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119380</xdr:colOff>
      <xdr:row>0</xdr:row>
      <xdr:rowOff>203200</xdr:rowOff>
    </xdr:from>
    <xdr:to>
      <xdr:col>7</xdr:col>
      <xdr:colOff>934720</xdr:colOff>
      <xdr:row>0</xdr:row>
      <xdr:rowOff>557530</xdr:rowOff>
    </xdr:to>
    <xdr:sp macro="[1]!asht6">
      <xdr:nvSpPr>
        <xdr:cNvPr id="12"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974090</xdr:colOff>
      <xdr:row>0</xdr:row>
      <xdr:rowOff>203200</xdr:rowOff>
    </xdr:from>
    <xdr:to>
      <xdr:col>8</xdr:col>
      <xdr:colOff>504190</xdr:colOff>
      <xdr:row>0</xdr:row>
      <xdr:rowOff>557530</xdr:rowOff>
    </xdr:to>
    <xdr:sp macro="[1]!asht7">
      <xdr:nvSpPr>
        <xdr:cNvPr id="13"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543560</xdr:colOff>
      <xdr:row>0</xdr:row>
      <xdr:rowOff>203200</xdr:rowOff>
    </xdr:from>
    <xdr:to>
      <xdr:col>9</xdr:col>
      <xdr:colOff>73025</xdr:colOff>
      <xdr:row>0</xdr:row>
      <xdr:rowOff>557530</xdr:rowOff>
    </xdr:to>
    <xdr:sp macro="[1]!asht8">
      <xdr:nvSpPr>
        <xdr:cNvPr id="14"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112395</xdr:colOff>
      <xdr:row>0</xdr:row>
      <xdr:rowOff>203200</xdr:rowOff>
    </xdr:from>
    <xdr:to>
      <xdr:col>9</xdr:col>
      <xdr:colOff>927735</xdr:colOff>
      <xdr:row>0</xdr:row>
      <xdr:rowOff>557530</xdr:rowOff>
    </xdr:to>
    <xdr:sp macro="[1]!asht15">
      <xdr:nvSpPr>
        <xdr:cNvPr id="15"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967105</xdr:colOff>
      <xdr:row>0</xdr:row>
      <xdr:rowOff>203200</xdr:rowOff>
    </xdr:from>
    <xdr:to>
      <xdr:col>11</xdr:col>
      <xdr:colOff>241935</xdr:colOff>
      <xdr:row>0</xdr:row>
      <xdr:rowOff>557530</xdr:rowOff>
    </xdr:to>
    <xdr:sp macro="[1]!asht9">
      <xdr:nvSpPr>
        <xdr:cNvPr id="16"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17" name="文本框 16"/>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期末数</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281305</xdr:colOff>
      <xdr:row>0</xdr:row>
      <xdr:rowOff>203200</xdr:rowOff>
    </xdr:from>
    <xdr:to>
      <xdr:col>13</xdr:col>
      <xdr:colOff>89535</xdr:colOff>
      <xdr:row>0</xdr:row>
      <xdr:rowOff>557530</xdr:rowOff>
    </xdr:to>
    <xdr:sp macro="[1]!asht10">
      <xdr:nvSpPr>
        <xdr:cNvPr id="18"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128905</xdr:colOff>
      <xdr:row>0</xdr:row>
      <xdr:rowOff>203200</xdr:rowOff>
    </xdr:from>
    <xdr:to>
      <xdr:col>14</xdr:col>
      <xdr:colOff>260985</xdr:colOff>
      <xdr:row>0</xdr:row>
      <xdr:rowOff>557530</xdr:rowOff>
    </xdr:to>
    <xdr:sp macro="[1]!asht11">
      <xdr:nvSpPr>
        <xdr:cNvPr id="19"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300355</xdr:colOff>
      <xdr:row>0</xdr:row>
      <xdr:rowOff>203200</xdr:rowOff>
    </xdr:from>
    <xdr:to>
      <xdr:col>15</xdr:col>
      <xdr:colOff>432435</xdr:colOff>
      <xdr:row>0</xdr:row>
      <xdr:rowOff>557530</xdr:rowOff>
    </xdr:to>
    <xdr:sp macro="[1]!asht12">
      <xdr:nvSpPr>
        <xdr:cNvPr id="20"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471805</xdr:colOff>
      <xdr:row>0</xdr:row>
      <xdr:rowOff>203200</xdr:rowOff>
    </xdr:from>
    <xdr:to>
      <xdr:col>16</xdr:col>
      <xdr:colOff>603885</xdr:colOff>
      <xdr:row>0</xdr:row>
      <xdr:rowOff>557530</xdr:rowOff>
    </xdr:to>
    <xdr:sp macro="[1]!asht13">
      <xdr:nvSpPr>
        <xdr:cNvPr id="21"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643255</xdr:colOff>
      <xdr:row>0</xdr:row>
      <xdr:rowOff>203200</xdr:rowOff>
    </xdr:from>
    <xdr:to>
      <xdr:col>18</xdr:col>
      <xdr:colOff>89535</xdr:colOff>
      <xdr:row>0</xdr:row>
      <xdr:rowOff>557530</xdr:rowOff>
    </xdr:to>
    <xdr:sp macro="[1]!asht18">
      <xdr:nvSpPr>
        <xdr:cNvPr id="22"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57150</xdr:colOff>
      <xdr:row>0</xdr:row>
      <xdr:rowOff>245745</xdr:rowOff>
    </xdr:from>
    <xdr:to>
      <xdr:col>19</xdr:col>
      <xdr:colOff>189230</xdr:colOff>
      <xdr:row>0</xdr:row>
      <xdr:rowOff>600075</xdr:rowOff>
    </xdr:to>
    <xdr:sp macro="[1]!asht18">
      <xdr:nvSpPr>
        <xdr:cNvPr id="23" name="12">
          <a:hlinkClick xmlns:r="http://schemas.openxmlformats.org/officeDocument/2006/relationships" r:id="rId1"/>
        </xdr:cNvPr>
        <xdr:cNvSpPr/>
      </xdr:nvSpPr>
      <xdr:spPr>
        <a:xfrm>
          <a:off x="15649575" y="2457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163195</xdr:colOff>
      <xdr:row>0</xdr:row>
      <xdr:rowOff>245745</xdr:rowOff>
    </xdr:from>
    <xdr:to>
      <xdr:col>20</xdr:col>
      <xdr:colOff>295275</xdr:colOff>
      <xdr:row>0</xdr:row>
      <xdr:rowOff>600075</xdr:rowOff>
    </xdr:to>
    <xdr:sp macro="[1]!asht18">
      <xdr:nvSpPr>
        <xdr:cNvPr id="24" name="12">
          <a:hlinkClick xmlns:r="http://schemas.openxmlformats.org/officeDocument/2006/relationships" r:id="rId2"/>
        </xdr:cNvPr>
        <xdr:cNvSpPr/>
      </xdr:nvSpPr>
      <xdr:spPr>
        <a:xfrm>
          <a:off x="16441420" y="2457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296545</xdr:colOff>
      <xdr:row>0</xdr:row>
      <xdr:rowOff>245745</xdr:rowOff>
    </xdr:from>
    <xdr:to>
      <xdr:col>21</xdr:col>
      <xdr:colOff>428625</xdr:colOff>
      <xdr:row>0</xdr:row>
      <xdr:rowOff>600075</xdr:rowOff>
    </xdr:to>
    <xdr:sp macro="[1]!asht18">
      <xdr:nvSpPr>
        <xdr:cNvPr id="25" name="12">
          <a:hlinkClick xmlns:r="http://schemas.openxmlformats.org/officeDocument/2006/relationships" r:id="rId3"/>
        </xdr:cNvPr>
        <xdr:cNvSpPr/>
      </xdr:nvSpPr>
      <xdr:spPr>
        <a:xfrm>
          <a:off x="17260570" y="2457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382270</xdr:colOff>
      <xdr:row>0</xdr:row>
      <xdr:rowOff>245745</xdr:rowOff>
    </xdr:from>
    <xdr:to>
      <xdr:col>22</xdr:col>
      <xdr:colOff>514350</xdr:colOff>
      <xdr:row>0</xdr:row>
      <xdr:rowOff>600075</xdr:rowOff>
    </xdr:to>
    <xdr:sp macro="[1]!asht18">
      <xdr:nvSpPr>
        <xdr:cNvPr id="26" name="12">
          <a:hlinkClick xmlns:r="http://schemas.openxmlformats.org/officeDocument/2006/relationships" r:id="rId4"/>
        </xdr:cNvPr>
        <xdr:cNvSpPr/>
      </xdr:nvSpPr>
      <xdr:spPr>
        <a:xfrm>
          <a:off x="18032095" y="2457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487045</xdr:colOff>
      <xdr:row>0</xdr:row>
      <xdr:rowOff>245745</xdr:rowOff>
    </xdr:from>
    <xdr:to>
      <xdr:col>23</xdr:col>
      <xdr:colOff>619125</xdr:colOff>
      <xdr:row>0</xdr:row>
      <xdr:rowOff>600075</xdr:rowOff>
    </xdr:to>
    <xdr:sp macro="[1]!asht18">
      <xdr:nvSpPr>
        <xdr:cNvPr id="27" name="12">
          <a:hlinkClick xmlns:r="http://schemas.openxmlformats.org/officeDocument/2006/relationships" r:id="rId5"/>
        </xdr:cNvPr>
        <xdr:cNvSpPr/>
      </xdr:nvSpPr>
      <xdr:spPr>
        <a:xfrm>
          <a:off x="18822670" y="2457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677545</xdr:colOff>
      <xdr:row>0</xdr:row>
      <xdr:rowOff>245745</xdr:rowOff>
    </xdr:from>
    <xdr:to>
      <xdr:col>25</xdr:col>
      <xdr:colOff>123825</xdr:colOff>
      <xdr:row>0</xdr:row>
      <xdr:rowOff>600075</xdr:rowOff>
    </xdr:to>
    <xdr:sp macro="[1]!asht18">
      <xdr:nvSpPr>
        <xdr:cNvPr id="28" name="12">
          <a:hlinkClick xmlns:r="http://schemas.openxmlformats.org/officeDocument/2006/relationships" r:id="rId6"/>
        </xdr:cNvPr>
        <xdr:cNvSpPr/>
      </xdr:nvSpPr>
      <xdr:spPr>
        <a:xfrm>
          <a:off x="19698970" y="2457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25</xdr:col>
      <xdr:colOff>163195</xdr:colOff>
      <xdr:row>0</xdr:row>
      <xdr:rowOff>245745</xdr:rowOff>
    </xdr:from>
    <xdr:to>
      <xdr:col>26</xdr:col>
      <xdr:colOff>295275</xdr:colOff>
      <xdr:row>0</xdr:row>
      <xdr:rowOff>600075</xdr:rowOff>
    </xdr:to>
    <xdr:sp macro="[1]!asht18">
      <xdr:nvSpPr>
        <xdr:cNvPr id="29" name="12">
          <a:hlinkClick xmlns:r="http://schemas.openxmlformats.org/officeDocument/2006/relationships" r:id="rId7"/>
        </xdr:cNvPr>
        <xdr:cNvSpPr/>
      </xdr:nvSpPr>
      <xdr:spPr>
        <a:xfrm>
          <a:off x="20556220" y="2457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26</xdr:col>
      <xdr:colOff>382270</xdr:colOff>
      <xdr:row>0</xdr:row>
      <xdr:rowOff>245745</xdr:rowOff>
    </xdr:from>
    <xdr:to>
      <xdr:col>27</xdr:col>
      <xdr:colOff>514350</xdr:colOff>
      <xdr:row>0</xdr:row>
      <xdr:rowOff>600075</xdr:rowOff>
    </xdr:to>
    <xdr:sp macro="[1]!asht18">
      <xdr:nvSpPr>
        <xdr:cNvPr id="30" name="12">
          <a:hlinkClick xmlns:r="http://schemas.openxmlformats.org/officeDocument/2006/relationships" r:id="rId8"/>
        </xdr:cNvPr>
        <xdr:cNvSpPr/>
      </xdr:nvSpPr>
      <xdr:spPr>
        <a:xfrm>
          <a:off x="21461095" y="2457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487045</xdr:colOff>
      <xdr:row>0</xdr:row>
      <xdr:rowOff>245745</xdr:rowOff>
    </xdr:from>
    <xdr:to>
      <xdr:col>28</xdr:col>
      <xdr:colOff>619125</xdr:colOff>
      <xdr:row>0</xdr:row>
      <xdr:rowOff>600075</xdr:rowOff>
    </xdr:to>
    <xdr:sp macro="[1]!asht18">
      <xdr:nvSpPr>
        <xdr:cNvPr id="31" name="12">
          <a:hlinkClick xmlns:r="http://schemas.openxmlformats.org/officeDocument/2006/relationships" r:id="rId9"/>
        </xdr:cNvPr>
        <xdr:cNvSpPr/>
      </xdr:nvSpPr>
      <xdr:spPr>
        <a:xfrm>
          <a:off x="22251670" y="2457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39370</xdr:colOff>
      <xdr:row>0</xdr:row>
      <xdr:rowOff>245745</xdr:rowOff>
    </xdr:from>
    <xdr:to>
      <xdr:col>30</xdr:col>
      <xdr:colOff>171450</xdr:colOff>
      <xdr:row>0</xdr:row>
      <xdr:rowOff>600075</xdr:rowOff>
    </xdr:to>
    <xdr:sp macro="[1]!asht18">
      <xdr:nvSpPr>
        <xdr:cNvPr id="32" name="12">
          <a:hlinkClick xmlns:r="http://schemas.openxmlformats.org/officeDocument/2006/relationships" r:id="rId10"/>
        </xdr:cNvPr>
        <xdr:cNvSpPr/>
      </xdr:nvSpPr>
      <xdr:spPr>
        <a:xfrm>
          <a:off x="23175595" y="245745"/>
          <a:ext cx="817880" cy="354330"/>
        </a:xfrm>
        <a:prstGeom prst="rect">
          <a:avLst/>
        </a:prstGeom>
      </xdr:spPr>
      <xdr:style>
        <a:lnRef idx="2">
          <a:schemeClr val="lt1"/>
        </a:lnRef>
        <a:fillRef idx="1">
          <a:schemeClr val="accent1"/>
        </a:fillRef>
        <a:effectRef idx="1">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期末数</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30</xdr:col>
      <xdr:colOff>172720</xdr:colOff>
      <xdr:row>0</xdr:row>
      <xdr:rowOff>245745</xdr:rowOff>
    </xdr:from>
    <xdr:to>
      <xdr:col>31</xdr:col>
      <xdr:colOff>304800</xdr:colOff>
      <xdr:row>0</xdr:row>
      <xdr:rowOff>600075</xdr:rowOff>
    </xdr:to>
    <xdr:sp macro="[1]!asht18">
      <xdr:nvSpPr>
        <xdr:cNvPr id="33" name="12">
          <a:hlinkClick xmlns:r="http://schemas.openxmlformats.org/officeDocument/2006/relationships" r:id="rId11"/>
        </xdr:cNvPr>
        <xdr:cNvSpPr/>
      </xdr:nvSpPr>
      <xdr:spPr>
        <a:xfrm>
          <a:off x="23994745" y="2457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31</xdr:col>
      <xdr:colOff>309245</xdr:colOff>
      <xdr:row>0</xdr:row>
      <xdr:rowOff>245745</xdr:rowOff>
    </xdr:from>
    <xdr:to>
      <xdr:col>32</xdr:col>
      <xdr:colOff>441325</xdr:colOff>
      <xdr:row>0</xdr:row>
      <xdr:rowOff>600075</xdr:rowOff>
    </xdr:to>
    <xdr:sp macro="[1]!asht18">
      <xdr:nvSpPr>
        <xdr:cNvPr id="34" name="12">
          <a:hlinkClick xmlns:r="http://schemas.openxmlformats.org/officeDocument/2006/relationships" r:id="rId12"/>
        </xdr:cNvPr>
        <xdr:cNvSpPr/>
      </xdr:nvSpPr>
      <xdr:spPr>
        <a:xfrm>
          <a:off x="24817070" y="2457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16.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161925</xdr:colOff>
      <xdr:row>1</xdr:row>
      <xdr:rowOff>50800</xdr:rowOff>
    </xdr:from>
    <xdr:to>
      <xdr:col>2</xdr:col>
      <xdr:colOff>685800</xdr:colOff>
      <xdr:row>1</xdr:row>
      <xdr:rowOff>441325</xdr:rowOff>
    </xdr:to>
    <xdr:sp macro="[0]!select29">
      <xdr:nvSpPr>
        <xdr:cNvPr id="2" name="圆角矩形 1"/>
        <xdr:cNvSpPr/>
      </xdr:nvSpPr>
      <xdr:spPr>
        <a:xfrm>
          <a:off x="4191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2</xdr:col>
      <xdr:colOff>318135</xdr:colOff>
      <xdr:row>0</xdr:row>
      <xdr:rowOff>127000</xdr:rowOff>
    </xdr:from>
    <xdr:to>
      <xdr:col>34</xdr:col>
      <xdr:colOff>636905</xdr:colOff>
      <xdr:row>0</xdr:row>
      <xdr:rowOff>624205</xdr:rowOff>
    </xdr:to>
    <xdr:sp>
      <xdr:nvSpPr>
        <xdr:cNvPr id="3" name="圆角矩形 14"/>
        <xdr:cNvSpPr/>
      </xdr:nvSpPr>
      <xdr:spPr>
        <a:xfrm>
          <a:off x="1118235" y="127000"/>
          <a:ext cx="2479802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375285</xdr:colOff>
      <xdr:row>0</xdr:row>
      <xdr:rowOff>203200</xdr:rowOff>
    </xdr:from>
    <xdr:to>
      <xdr:col>3</xdr:col>
      <xdr:colOff>57150</xdr:colOff>
      <xdr:row>0</xdr:row>
      <xdr:rowOff>557530</xdr:rowOff>
    </xdr:to>
    <xdr:sp macro="[1]!asht1">
      <xdr:nvSpPr>
        <xdr:cNvPr id="4"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96520</xdr:colOff>
      <xdr:row>0</xdr:row>
      <xdr:rowOff>203200</xdr:rowOff>
    </xdr:from>
    <xdr:to>
      <xdr:col>3</xdr:col>
      <xdr:colOff>911860</xdr:colOff>
      <xdr:row>0</xdr:row>
      <xdr:rowOff>557530</xdr:rowOff>
    </xdr:to>
    <xdr:sp macro="[1]!asht2">
      <xdr:nvSpPr>
        <xdr:cNvPr id="5"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951230</xdr:colOff>
      <xdr:row>0</xdr:row>
      <xdr:rowOff>203200</xdr:rowOff>
    </xdr:from>
    <xdr:to>
      <xdr:col>4</xdr:col>
      <xdr:colOff>480695</xdr:colOff>
      <xdr:row>0</xdr:row>
      <xdr:rowOff>557530</xdr:rowOff>
    </xdr:to>
    <xdr:sp macro="[1]!asht4">
      <xdr:nvSpPr>
        <xdr:cNvPr id="6" name="3"/>
        <xdr:cNvSpPr/>
      </xdr:nvSpPr>
      <xdr:spPr>
        <a:xfrm>
          <a:off x="2884805" y="203200"/>
          <a:ext cx="815340" cy="354330"/>
        </a:xfrm>
        <a:prstGeom prst="rect">
          <a:avLst/>
        </a:prstGeom>
        <a:ln>
          <a:noFill/>
        </a:ln>
      </xdr:spPr>
      <xdr:style>
        <a:lnRef idx="3">
          <a:schemeClr val="accent1"/>
        </a:lnRef>
        <a:fillRef idx="0">
          <a:srgbClr val="FFFFFF"/>
        </a:fillRef>
        <a:effectRef idx="0">
          <a:srgbClr val="FFFFFF"/>
        </a:effectRef>
        <a:fontRef idx="minor">
          <a:schemeClr val="tx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入库</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4</xdr:col>
      <xdr:colOff>520065</xdr:colOff>
      <xdr:row>0</xdr:row>
      <xdr:rowOff>203200</xdr:rowOff>
    </xdr:from>
    <xdr:to>
      <xdr:col>5</xdr:col>
      <xdr:colOff>621030</xdr:colOff>
      <xdr:row>0</xdr:row>
      <xdr:rowOff>557530</xdr:rowOff>
    </xdr:to>
    <xdr:sp macro="[1]!asht16">
      <xdr:nvSpPr>
        <xdr:cNvPr id="7"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660400</xdr:colOff>
      <xdr:row>0</xdr:row>
      <xdr:rowOff>203200</xdr:rowOff>
    </xdr:from>
    <xdr:to>
      <xdr:col>7</xdr:col>
      <xdr:colOff>47625</xdr:colOff>
      <xdr:row>0</xdr:row>
      <xdr:rowOff>557530</xdr:rowOff>
    </xdr:to>
    <xdr:sp macro="[1]!asht14">
      <xdr:nvSpPr>
        <xdr:cNvPr id="8"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86995</xdr:colOff>
      <xdr:row>0</xdr:row>
      <xdr:rowOff>203200</xdr:rowOff>
    </xdr:from>
    <xdr:to>
      <xdr:col>8</xdr:col>
      <xdr:colOff>644525</xdr:colOff>
      <xdr:row>0</xdr:row>
      <xdr:rowOff>557530</xdr:rowOff>
    </xdr:to>
    <xdr:sp macro="[1]!asht17">
      <xdr:nvSpPr>
        <xdr:cNvPr id="9"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683895</xdr:colOff>
      <xdr:row>0</xdr:row>
      <xdr:rowOff>203200</xdr:rowOff>
    </xdr:from>
    <xdr:to>
      <xdr:col>9</xdr:col>
      <xdr:colOff>813435</xdr:colOff>
      <xdr:row>0</xdr:row>
      <xdr:rowOff>557530</xdr:rowOff>
    </xdr:to>
    <xdr:sp macro="[1]!asht5">
      <xdr:nvSpPr>
        <xdr:cNvPr id="10"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852805</xdr:colOff>
      <xdr:row>0</xdr:row>
      <xdr:rowOff>203200</xdr:rowOff>
    </xdr:from>
    <xdr:to>
      <xdr:col>10</xdr:col>
      <xdr:colOff>525145</xdr:colOff>
      <xdr:row>0</xdr:row>
      <xdr:rowOff>557530</xdr:rowOff>
    </xdr:to>
    <xdr:sp macro="[1]!asht6">
      <xdr:nvSpPr>
        <xdr:cNvPr id="11"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564515</xdr:colOff>
      <xdr:row>0</xdr:row>
      <xdr:rowOff>203200</xdr:rowOff>
    </xdr:from>
    <xdr:to>
      <xdr:col>11</xdr:col>
      <xdr:colOff>237490</xdr:colOff>
      <xdr:row>0</xdr:row>
      <xdr:rowOff>557530</xdr:rowOff>
    </xdr:to>
    <xdr:sp macro="[1]!asht7">
      <xdr:nvSpPr>
        <xdr:cNvPr id="12"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276860</xdr:colOff>
      <xdr:row>0</xdr:row>
      <xdr:rowOff>203200</xdr:rowOff>
    </xdr:from>
    <xdr:to>
      <xdr:col>11</xdr:col>
      <xdr:colOff>1092200</xdr:colOff>
      <xdr:row>0</xdr:row>
      <xdr:rowOff>557530</xdr:rowOff>
    </xdr:to>
    <xdr:sp macro="[1]!asht8">
      <xdr:nvSpPr>
        <xdr:cNvPr id="13"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1131570</xdr:colOff>
      <xdr:row>0</xdr:row>
      <xdr:rowOff>203200</xdr:rowOff>
    </xdr:from>
    <xdr:to>
      <xdr:col>12</xdr:col>
      <xdr:colOff>803910</xdr:colOff>
      <xdr:row>0</xdr:row>
      <xdr:rowOff>557530</xdr:rowOff>
    </xdr:to>
    <xdr:sp macro="[1]!asht15">
      <xdr:nvSpPr>
        <xdr:cNvPr id="14"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843280</xdr:colOff>
      <xdr:row>0</xdr:row>
      <xdr:rowOff>203200</xdr:rowOff>
    </xdr:from>
    <xdr:to>
      <xdr:col>13</xdr:col>
      <xdr:colOff>518160</xdr:colOff>
      <xdr:row>0</xdr:row>
      <xdr:rowOff>557530</xdr:rowOff>
    </xdr:to>
    <xdr:sp macro="[1]!asht9">
      <xdr:nvSpPr>
        <xdr:cNvPr id="15"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280670</xdr:colOff>
      <xdr:row>0</xdr:row>
      <xdr:rowOff>607060</xdr:rowOff>
    </xdr:to>
    <xdr:sp>
      <xdr:nvSpPr>
        <xdr:cNvPr id="16" name="文本框 15"/>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销售退货统计</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13</xdr:col>
      <xdr:colOff>557530</xdr:colOff>
      <xdr:row>0</xdr:row>
      <xdr:rowOff>203200</xdr:rowOff>
    </xdr:from>
    <xdr:to>
      <xdr:col>15</xdr:col>
      <xdr:colOff>3810</xdr:colOff>
      <xdr:row>0</xdr:row>
      <xdr:rowOff>557530</xdr:rowOff>
    </xdr:to>
    <xdr:sp macro="[1]!asht10">
      <xdr:nvSpPr>
        <xdr:cNvPr id="17"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43180</xdr:colOff>
      <xdr:row>0</xdr:row>
      <xdr:rowOff>203200</xdr:rowOff>
    </xdr:from>
    <xdr:to>
      <xdr:col>16</xdr:col>
      <xdr:colOff>175260</xdr:colOff>
      <xdr:row>0</xdr:row>
      <xdr:rowOff>557530</xdr:rowOff>
    </xdr:to>
    <xdr:sp macro="[1]!asht11">
      <xdr:nvSpPr>
        <xdr:cNvPr id="18"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214630</xdr:colOff>
      <xdr:row>0</xdr:row>
      <xdr:rowOff>203200</xdr:rowOff>
    </xdr:from>
    <xdr:to>
      <xdr:col>17</xdr:col>
      <xdr:colOff>346710</xdr:colOff>
      <xdr:row>0</xdr:row>
      <xdr:rowOff>557530</xdr:rowOff>
    </xdr:to>
    <xdr:sp macro="[1]!asht12">
      <xdr:nvSpPr>
        <xdr:cNvPr id="19"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17</xdr:col>
      <xdr:colOff>386080</xdr:colOff>
      <xdr:row>0</xdr:row>
      <xdr:rowOff>203200</xdr:rowOff>
    </xdr:from>
    <xdr:to>
      <xdr:col>18</xdr:col>
      <xdr:colOff>518160</xdr:colOff>
      <xdr:row>0</xdr:row>
      <xdr:rowOff>557530</xdr:rowOff>
    </xdr:to>
    <xdr:sp macro="[1]!asht13">
      <xdr:nvSpPr>
        <xdr:cNvPr id="20"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557530</xdr:colOff>
      <xdr:row>0</xdr:row>
      <xdr:rowOff>203200</xdr:rowOff>
    </xdr:from>
    <xdr:to>
      <xdr:col>20</xdr:col>
      <xdr:colOff>3810</xdr:colOff>
      <xdr:row>0</xdr:row>
      <xdr:rowOff>557530</xdr:rowOff>
    </xdr:to>
    <xdr:sp macro="[1]!asht18">
      <xdr:nvSpPr>
        <xdr:cNvPr id="21"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xdr:col>
      <xdr:colOff>1009650</xdr:colOff>
      <xdr:row>1</xdr:row>
      <xdr:rowOff>57150</xdr:rowOff>
    </xdr:from>
    <xdr:to>
      <xdr:col>3</xdr:col>
      <xdr:colOff>942975</xdr:colOff>
      <xdr:row>1</xdr:row>
      <xdr:rowOff>447675</xdr:rowOff>
    </xdr:to>
    <xdr:sp macro="[0]!shaixuan_29">
      <xdr:nvSpPr>
        <xdr:cNvPr id="22" name="圆角矩形 21"/>
        <xdr:cNvSpPr/>
      </xdr:nvSpPr>
      <xdr:spPr>
        <a:xfrm>
          <a:off x="1809750" y="81915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筛选</a:t>
          </a:r>
          <a:endParaRPr lang="en-US" altLang="zh-CN" sz="1400" b="1">
            <a:latin typeface="等线" panose="02010600030101010101" charset="-122"/>
            <a:ea typeface="等线" panose="02010600030101010101" charset="-122"/>
          </a:endParaRPr>
        </a:p>
      </xdr:txBody>
    </xdr:sp>
    <xdr:clientData/>
  </xdr:twoCellAnchor>
  <xdr:twoCellAnchor>
    <xdr:from>
      <xdr:col>9</xdr:col>
      <xdr:colOff>4445</xdr:colOff>
      <xdr:row>4</xdr:row>
      <xdr:rowOff>103505</xdr:rowOff>
    </xdr:from>
    <xdr:to>
      <xdr:col>13</xdr:col>
      <xdr:colOff>342900</xdr:colOff>
      <xdr:row>15</xdr:row>
      <xdr:rowOff>105410</xdr:rowOff>
    </xdr:to>
    <xdr:graphicFrame>
      <xdr:nvGraphicFramePr>
        <xdr:cNvPr id="23" name="图表 22"/>
        <xdr:cNvGraphicFramePr/>
      </xdr:nvGraphicFramePr>
      <xdr:xfrm>
        <a:off x="6309995" y="2009140"/>
        <a:ext cx="4910455" cy="2809875"/>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454025</xdr:colOff>
      <xdr:row>4</xdr:row>
      <xdr:rowOff>104775</xdr:rowOff>
    </xdr:from>
    <xdr:to>
      <xdr:col>20</xdr:col>
      <xdr:colOff>479425</xdr:colOff>
      <xdr:row>15</xdr:row>
      <xdr:rowOff>116205</xdr:rowOff>
    </xdr:to>
    <xdr:graphicFrame>
      <xdr:nvGraphicFramePr>
        <xdr:cNvPr id="24" name="图表 23"/>
        <xdr:cNvGraphicFramePr/>
      </xdr:nvGraphicFramePr>
      <xdr:xfrm>
        <a:off x="11331575" y="2010410"/>
        <a:ext cx="4826000" cy="281940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20</xdr:col>
      <xdr:colOff>47625</xdr:colOff>
      <xdr:row>0</xdr:row>
      <xdr:rowOff>198120</xdr:rowOff>
    </xdr:from>
    <xdr:to>
      <xdr:col>21</xdr:col>
      <xdr:colOff>179705</xdr:colOff>
      <xdr:row>0</xdr:row>
      <xdr:rowOff>552450</xdr:rowOff>
    </xdr:to>
    <xdr:sp macro="[1]!asht18">
      <xdr:nvSpPr>
        <xdr:cNvPr id="25" name="12">
          <a:hlinkClick xmlns:r="http://schemas.openxmlformats.org/officeDocument/2006/relationships" r:id="rId3"/>
        </xdr:cNvPr>
        <xdr:cNvSpPr/>
      </xdr:nvSpPr>
      <xdr:spPr>
        <a:xfrm>
          <a:off x="1572577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153670</xdr:colOff>
      <xdr:row>0</xdr:row>
      <xdr:rowOff>198120</xdr:rowOff>
    </xdr:from>
    <xdr:to>
      <xdr:col>22</xdr:col>
      <xdr:colOff>285750</xdr:colOff>
      <xdr:row>0</xdr:row>
      <xdr:rowOff>552450</xdr:rowOff>
    </xdr:to>
    <xdr:sp macro="[1]!asht18">
      <xdr:nvSpPr>
        <xdr:cNvPr id="26" name="12">
          <a:hlinkClick xmlns:r="http://schemas.openxmlformats.org/officeDocument/2006/relationships" r:id="rId4"/>
        </xdr:cNvPr>
        <xdr:cNvSpPr/>
      </xdr:nvSpPr>
      <xdr:spPr>
        <a:xfrm>
          <a:off x="1651762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287020</xdr:colOff>
      <xdr:row>0</xdr:row>
      <xdr:rowOff>198120</xdr:rowOff>
    </xdr:from>
    <xdr:to>
      <xdr:col>23</xdr:col>
      <xdr:colOff>419100</xdr:colOff>
      <xdr:row>0</xdr:row>
      <xdr:rowOff>552450</xdr:rowOff>
    </xdr:to>
    <xdr:sp macro="[1]!asht18">
      <xdr:nvSpPr>
        <xdr:cNvPr id="27" name="12">
          <a:hlinkClick xmlns:r="http://schemas.openxmlformats.org/officeDocument/2006/relationships" r:id="rId5"/>
        </xdr:cNvPr>
        <xdr:cNvSpPr/>
      </xdr:nvSpPr>
      <xdr:spPr>
        <a:xfrm>
          <a:off x="1733677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372745</xdr:colOff>
      <xdr:row>0</xdr:row>
      <xdr:rowOff>198120</xdr:rowOff>
    </xdr:from>
    <xdr:to>
      <xdr:col>24</xdr:col>
      <xdr:colOff>504825</xdr:colOff>
      <xdr:row>0</xdr:row>
      <xdr:rowOff>552450</xdr:rowOff>
    </xdr:to>
    <xdr:sp macro="[1]!asht18">
      <xdr:nvSpPr>
        <xdr:cNvPr id="28" name="12">
          <a:hlinkClick xmlns:r="http://schemas.openxmlformats.org/officeDocument/2006/relationships" r:id="rId6"/>
        </xdr:cNvPr>
        <xdr:cNvSpPr/>
      </xdr:nvSpPr>
      <xdr:spPr>
        <a:xfrm>
          <a:off x="1810829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477520</xdr:colOff>
      <xdr:row>0</xdr:row>
      <xdr:rowOff>198120</xdr:rowOff>
    </xdr:from>
    <xdr:to>
      <xdr:col>25</xdr:col>
      <xdr:colOff>609600</xdr:colOff>
      <xdr:row>0</xdr:row>
      <xdr:rowOff>552450</xdr:rowOff>
    </xdr:to>
    <xdr:sp macro="[1]!asht18">
      <xdr:nvSpPr>
        <xdr:cNvPr id="29" name="12">
          <a:hlinkClick xmlns:r="http://schemas.openxmlformats.org/officeDocument/2006/relationships" r:id="rId7"/>
        </xdr:cNvPr>
        <xdr:cNvSpPr/>
      </xdr:nvSpPr>
      <xdr:spPr>
        <a:xfrm>
          <a:off x="18898870" y="198120"/>
          <a:ext cx="817880" cy="354330"/>
        </a:xfrm>
        <a:prstGeom prst="rect">
          <a:avLst/>
        </a:prstGeom>
      </xdr:spPr>
      <xdr:style>
        <a:lnRef idx="0">
          <a:srgbClr val="FFFFFF"/>
        </a:lnRef>
        <a:fillRef idx="1">
          <a:schemeClr val="accent1"/>
        </a:fillRef>
        <a:effectRef idx="0">
          <a:srgbClr val="FFFFFF"/>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销售退货统计</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25</xdr:col>
      <xdr:colOff>668020</xdr:colOff>
      <xdr:row>0</xdr:row>
      <xdr:rowOff>198120</xdr:rowOff>
    </xdr:from>
    <xdr:to>
      <xdr:col>27</xdr:col>
      <xdr:colOff>114300</xdr:colOff>
      <xdr:row>0</xdr:row>
      <xdr:rowOff>552450</xdr:rowOff>
    </xdr:to>
    <xdr:sp macro="[1]!asht18">
      <xdr:nvSpPr>
        <xdr:cNvPr id="30" name="12">
          <a:hlinkClick xmlns:r="http://schemas.openxmlformats.org/officeDocument/2006/relationships" r:id="rId8"/>
        </xdr:cNvPr>
        <xdr:cNvSpPr/>
      </xdr:nvSpPr>
      <xdr:spPr>
        <a:xfrm>
          <a:off x="1977517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153670</xdr:colOff>
      <xdr:row>0</xdr:row>
      <xdr:rowOff>198120</xdr:rowOff>
    </xdr:from>
    <xdr:to>
      <xdr:col>28</xdr:col>
      <xdr:colOff>285750</xdr:colOff>
      <xdr:row>0</xdr:row>
      <xdr:rowOff>552450</xdr:rowOff>
    </xdr:to>
    <xdr:sp macro="[1]!asht18">
      <xdr:nvSpPr>
        <xdr:cNvPr id="31" name="12">
          <a:hlinkClick xmlns:r="http://schemas.openxmlformats.org/officeDocument/2006/relationships" r:id="rId9"/>
        </xdr:cNvPr>
        <xdr:cNvSpPr/>
      </xdr:nvSpPr>
      <xdr:spPr>
        <a:xfrm>
          <a:off x="2063242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28</xdr:col>
      <xdr:colOff>372745</xdr:colOff>
      <xdr:row>0</xdr:row>
      <xdr:rowOff>198120</xdr:rowOff>
    </xdr:from>
    <xdr:to>
      <xdr:col>29</xdr:col>
      <xdr:colOff>504825</xdr:colOff>
      <xdr:row>0</xdr:row>
      <xdr:rowOff>552450</xdr:rowOff>
    </xdr:to>
    <xdr:sp macro="[1]!asht18">
      <xdr:nvSpPr>
        <xdr:cNvPr id="32" name="12">
          <a:hlinkClick xmlns:r="http://schemas.openxmlformats.org/officeDocument/2006/relationships" r:id="rId10"/>
        </xdr:cNvPr>
        <xdr:cNvSpPr/>
      </xdr:nvSpPr>
      <xdr:spPr>
        <a:xfrm>
          <a:off x="2153729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477520</xdr:colOff>
      <xdr:row>0</xdr:row>
      <xdr:rowOff>198120</xdr:rowOff>
    </xdr:from>
    <xdr:to>
      <xdr:col>30</xdr:col>
      <xdr:colOff>609600</xdr:colOff>
      <xdr:row>0</xdr:row>
      <xdr:rowOff>552450</xdr:rowOff>
    </xdr:to>
    <xdr:sp macro="[1]!asht18">
      <xdr:nvSpPr>
        <xdr:cNvPr id="33" name="12">
          <a:hlinkClick xmlns:r="http://schemas.openxmlformats.org/officeDocument/2006/relationships" r:id="rId11"/>
        </xdr:cNvPr>
        <xdr:cNvSpPr/>
      </xdr:nvSpPr>
      <xdr:spPr>
        <a:xfrm>
          <a:off x="2232787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31</xdr:col>
      <xdr:colOff>29845</xdr:colOff>
      <xdr:row>0</xdr:row>
      <xdr:rowOff>198120</xdr:rowOff>
    </xdr:from>
    <xdr:to>
      <xdr:col>32</xdr:col>
      <xdr:colOff>161925</xdr:colOff>
      <xdr:row>0</xdr:row>
      <xdr:rowOff>552450</xdr:rowOff>
    </xdr:to>
    <xdr:sp macro="[1]!asht18">
      <xdr:nvSpPr>
        <xdr:cNvPr id="34" name="12">
          <a:hlinkClick xmlns:r="http://schemas.openxmlformats.org/officeDocument/2006/relationships" r:id="rId12"/>
        </xdr:cNvPr>
        <xdr:cNvSpPr/>
      </xdr:nvSpPr>
      <xdr:spPr>
        <a:xfrm>
          <a:off x="2325179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32</xdr:col>
      <xdr:colOff>163195</xdr:colOff>
      <xdr:row>0</xdr:row>
      <xdr:rowOff>198120</xdr:rowOff>
    </xdr:from>
    <xdr:to>
      <xdr:col>33</xdr:col>
      <xdr:colOff>295275</xdr:colOff>
      <xdr:row>0</xdr:row>
      <xdr:rowOff>552450</xdr:rowOff>
    </xdr:to>
    <xdr:sp macro="[1]!asht18">
      <xdr:nvSpPr>
        <xdr:cNvPr id="35" name="12">
          <a:hlinkClick xmlns:r="http://schemas.openxmlformats.org/officeDocument/2006/relationships" r:id="rId13"/>
        </xdr:cNvPr>
        <xdr:cNvSpPr/>
      </xdr:nvSpPr>
      <xdr:spPr>
        <a:xfrm>
          <a:off x="2407094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33</xdr:col>
      <xdr:colOff>299720</xdr:colOff>
      <xdr:row>0</xdr:row>
      <xdr:rowOff>198120</xdr:rowOff>
    </xdr:from>
    <xdr:to>
      <xdr:col>34</xdr:col>
      <xdr:colOff>431800</xdr:colOff>
      <xdr:row>0</xdr:row>
      <xdr:rowOff>552450</xdr:rowOff>
    </xdr:to>
    <xdr:sp macro="[1]!asht18">
      <xdr:nvSpPr>
        <xdr:cNvPr id="36" name="12">
          <a:hlinkClick xmlns:r="http://schemas.openxmlformats.org/officeDocument/2006/relationships" r:id="rId14"/>
        </xdr:cNvPr>
        <xdr:cNvSpPr/>
      </xdr:nvSpPr>
      <xdr:spPr>
        <a:xfrm>
          <a:off x="2489327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17.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161925</xdr:colOff>
      <xdr:row>1</xdr:row>
      <xdr:rowOff>50800</xdr:rowOff>
    </xdr:from>
    <xdr:to>
      <xdr:col>2</xdr:col>
      <xdr:colOff>685800</xdr:colOff>
      <xdr:row>1</xdr:row>
      <xdr:rowOff>441325</xdr:rowOff>
    </xdr:to>
    <xdr:sp macro="[0]!select30">
      <xdr:nvSpPr>
        <xdr:cNvPr id="2" name="圆角矩形 1"/>
        <xdr:cNvSpPr/>
      </xdr:nvSpPr>
      <xdr:spPr>
        <a:xfrm>
          <a:off x="4191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2</xdr:col>
      <xdr:colOff>318135</xdr:colOff>
      <xdr:row>0</xdr:row>
      <xdr:rowOff>127000</xdr:rowOff>
    </xdr:from>
    <xdr:to>
      <xdr:col>34</xdr:col>
      <xdr:colOff>664845</xdr:colOff>
      <xdr:row>0</xdr:row>
      <xdr:rowOff>624205</xdr:rowOff>
    </xdr:to>
    <xdr:sp>
      <xdr:nvSpPr>
        <xdr:cNvPr id="3" name="圆角矩形 14"/>
        <xdr:cNvSpPr/>
      </xdr:nvSpPr>
      <xdr:spPr>
        <a:xfrm>
          <a:off x="1118235" y="127000"/>
          <a:ext cx="2482596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375285</xdr:colOff>
      <xdr:row>0</xdr:row>
      <xdr:rowOff>203200</xdr:rowOff>
    </xdr:from>
    <xdr:to>
      <xdr:col>3</xdr:col>
      <xdr:colOff>57150</xdr:colOff>
      <xdr:row>0</xdr:row>
      <xdr:rowOff>557530</xdr:rowOff>
    </xdr:to>
    <xdr:sp macro="[1]!asht1">
      <xdr:nvSpPr>
        <xdr:cNvPr id="4"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96520</xdr:colOff>
      <xdr:row>0</xdr:row>
      <xdr:rowOff>203200</xdr:rowOff>
    </xdr:from>
    <xdr:to>
      <xdr:col>3</xdr:col>
      <xdr:colOff>911860</xdr:colOff>
      <xdr:row>0</xdr:row>
      <xdr:rowOff>557530</xdr:rowOff>
    </xdr:to>
    <xdr:sp macro="[1]!asht2">
      <xdr:nvSpPr>
        <xdr:cNvPr id="5"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951230</xdr:colOff>
      <xdr:row>0</xdr:row>
      <xdr:rowOff>203200</xdr:rowOff>
    </xdr:from>
    <xdr:to>
      <xdr:col>4</xdr:col>
      <xdr:colOff>480695</xdr:colOff>
      <xdr:row>0</xdr:row>
      <xdr:rowOff>557530</xdr:rowOff>
    </xdr:to>
    <xdr:sp macro="[1]!asht4">
      <xdr:nvSpPr>
        <xdr:cNvPr id="6" name="3"/>
        <xdr:cNvSpPr/>
      </xdr:nvSpPr>
      <xdr:spPr>
        <a:xfrm>
          <a:off x="2884805" y="203200"/>
          <a:ext cx="815340" cy="354330"/>
        </a:xfrm>
        <a:prstGeom prst="rect">
          <a:avLst/>
        </a:prstGeom>
        <a:ln>
          <a:noFill/>
        </a:ln>
      </xdr:spPr>
      <xdr:style>
        <a:lnRef idx="3">
          <a:schemeClr val="accent1"/>
        </a:lnRef>
        <a:fillRef idx="0">
          <a:srgbClr val="FFFFFF"/>
        </a:fillRef>
        <a:effectRef idx="0">
          <a:srgbClr val="FFFFFF"/>
        </a:effectRef>
        <a:fontRef idx="minor">
          <a:schemeClr val="tx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入库</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4</xdr:col>
      <xdr:colOff>520065</xdr:colOff>
      <xdr:row>0</xdr:row>
      <xdr:rowOff>203200</xdr:rowOff>
    </xdr:from>
    <xdr:to>
      <xdr:col>5</xdr:col>
      <xdr:colOff>621030</xdr:colOff>
      <xdr:row>0</xdr:row>
      <xdr:rowOff>557530</xdr:rowOff>
    </xdr:to>
    <xdr:sp macro="[1]!asht16">
      <xdr:nvSpPr>
        <xdr:cNvPr id="7"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660400</xdr:colOff>
      <xdr:row>0</xdr:row>
      <xdr:rowOff>203200</xdr:rowOff>
    </xdr:from>
    <xdr:to>
      <xdr:col>7</xdr:col>
      <xdr:colOff>47625</xdr:colOff>
      <xdr:row>0</xdr:row>
      <xdr:rowOff>557530</xdr:rowOff>
    </xdr:to>
    <xdr:sp macro="[1]!asht14">
      <xdr:nvSpPr>
        <xdr:cNvPr id="8"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86995</xdr:colOff>
      <xdr:row>0</xdr:row>
      <xdr:rowOff>203200</xdr:rowOff>
    </xdr:from>
    <xdr:to>
      <xdr:col>8</xdr:col>
      <xdr:colOff>644525</xdr:colOff>
      <xdr:row>0</xdr:row>
      <xdr:rowOff>557530</xdr:rowOff>
    </xdr:to>
    <xdr:sp macro="[1]!asht17">
      <xdr:nvSpPr>
        <xdr:cNvPr id="9"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683895</xdr:colOff>
      <xdr:row>0</xdr:row>
      <xdr:rowOff>203200</xdr:rowOff>
    </xdr:from>
    <xdr:to>
      <xdr:col>9</xdr:col>
      <xdr:colOff>813435</xdr:colOff>
      <xdr:row>0</xdr:row>
      <xdr:rowOff>557530</xdr:rowOff>
    </xdr:to>
    <xdr:sp macro="[1]!asht5">
      <xdr:nvSpPr>
        <xdr:cNvPr id="10"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852805</xdr:colOff>
      <xdr:row>0</xdr:row>
      <xdr:rowOff>203200</xdr:rowOff>
    </xdr:from>
    <xdr:to>
      <xdr:col>10</xdr:col>
      <xdr:colOff>525145</xdr:colOff>
      <xdr:row>0</xdr:row>
      <xdr:rowOff>557530</xdr:rowOff>
    </xdr:to>
    <xdr:sp macro="[1]!asht6">
      <xdr:nvSpPr>
        <xdr:cNvPr id="11"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564515</xdr:colOff>
      <xdr:row>0</xdr:row>
      <xdr:rowOff>203200</xdr:rowOff>
    </xdr:from>
    <xdr:to>
      <xdr:col>11</xdr:col>
      <xdr:colOff>237490</xdr:colOff>
      <xdr:row>0</xdr:row>
      <xdr:rowOff>557530</xdr:rowOff>
    </xdr:to>
    <xdr:sp macro="[1]!asht7">
      <xdr:nvSpPr>
        <xdr:cNvPr id="12"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276860</xdr:colOff>
      <xdr:row>0</xdr:row>
      <xdr:rowOff>203200</xdr:rowOff>
    </xdr:from>
    <xdr:to>
      <xdr:col>11</xdr:col>
      <xdr:colOff>1092200</xdr:colOff>
      <xdr:row>0</xdr:row>
      <xdr:rowOff>557530</xdr:rowOff>
    </xdr:to>
    <xdr:sp macro="[1]!asht8">
      <xdr:nvSpPr>
        <xdr:cNvPr id="13"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1131570</xdr:colOff>
      <xdr:row>0</xdr:row>
      <xdr:rowOff>203200</xdr:rowOff>
    </xdr:from>
    <xdr:to>
      <xdr:col>12</xdr:col>
      <xdr:colOff>803910</xdr:colOff>
      <xdr:row>0</xdr:row>
      <xdr:rowOff>557530</xdr:rowOff>
    </xdr:to>
    <xdr:sp macro="[1]!asht15">
      <xdr:nvSpPr>
        <xdr:cNvPr id="14"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843280</xdr:colOff>
      <xdr:row>0</xdr:row>
      <xdr:rowOff>203200</xdr:rowOff>
    </xdr:from>
    <xdr:to>
      <xdr:col>13</xdr:col>
      <xdr:colOff>518160</xdr:colOff>
      <xdr:row>0</xdr:row>
      <xdr:rowOff>557530</xdr:rowOff>
    </xdr:to>
    <xdr:sp macro="[1]!asht9">
      <xdr:nvSpPr>
        <xdr:cNvPr id="15"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280670</xdr:colOff>
      <xdr:row>0</xdr:row>
      <xdr:rowOff>607060</xdr:rowOff>
    </xdr:to>
    <xdr:sp>
      <xdr:nvSpPr>
        <xdr:cNvPr id="16" name="文本框 15"/>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采购退货统计</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13</xdr:col>
      <xdr:colOff>557530</xdr:colOff>
      <xdr:row>0</xdr:row>
      <xdr:rowOff>203200</xdr:rowOff>
    </xdr:from>
    <xdr:to>
      <xdr:col>15</xdr:col>
      <xdr:colOff>3810</xdr:colOff>
      <xdr:row>0</xdr:row>
      <xdr:rowOff>557530</xdr:rowOff>
    </xdr:to>
    <xdr:sp macro="[1]!asht10">
      <xdr:nvSpPr>
        <xdr:cNvPr id="17"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43180</xdr:colOff>
      <xdr:row>0</xdr:row>
      <xdr:rowOff>203200</xdr:rowOff>
    </xdr:from>
    <xdr:to>
      <xdr:col>16</xdr:col>
      <xdr:colOff>175260</xdr:colOff>
      <xdr:row>0</xdr:row>
      <xdr:rowOff>557530</xdr:rowOff>
    </xdr:to>
    <xdr:sp macro="[1]!asht11">
      <xdr:nvSpPr>
        <xdr:cNvPr id="18"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214630</xdr:colOff>
      <xdr:row>0</xdr:row>
      <xdr:rowOff>203200</xdr:rowOff>
    </xdr:from>
    <xdr:to>
      <xdr:col>17</xdr:col>
      <xdr:colOff>346710</xdr:colOff>
      <xdr:row>0</xdr:row>
      <xdr:rowOff>557530</xdr:rowOff>
    </xdr:to>
    <xdr:sp macro="[1]!asht12">
      <xdr:nvSpPr>
        <xdr:cNvPr id="19"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17</xdr:col>
      <xdr:colOff>386080</xdr:colOff>
      <xdr:row>0</xdr:row>
      <xdr:rowOff>203200</xdr:rowOff>
    </xdr:from>
    <xdr:to>
      <xdr:col>18</xdr:col>
      <xdr:colOff>518160</xdr:colOff>
      <xdr:row>0</xdr:row>
      <xdr:rowOff>557530</xdr:rowOff>
    </xdr:to>
    <xdr:sp macro="[1]!asht13">
      <xdr:nvSpPr>
        <xdr:cNvPr id="20"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557530</xdr:colOff>
      <xdr:row>0</xdr:row>
      <xdr:rowOff>203200</xdr:rowOff>
    </xdr:from>
    <xdr:to>
      <xdr:col>20</xdr:col>
      <xdr:colOff>3810</xdr:colOff>
      <xdr:row>0</xdr:row>
      <xdr:rowOff>557530</xdr:rowOff>
    </xdr:to>
    <xdr:sp macro="[1]!asht18">
      <xdr:nvSpPr>
        <xdr:cNvPr id="21"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xdr:col>
      <xdr:colOff>1009650</xdr:colOff>
      <xdr:row>1</xdr:row>
      <xdr:rowOff>57150</xdr:rowOff>
    </xdr:from>
    <xdr:to>
      <xdr:col>3</xdr:col>
      <xdr:colOff>942975</xdr:colOff>
      <xdr:row>1</xdr:row>
      <xdr:rowOff>447675</xdr:rowOff>
    </xdr:to>
    <xdr:sp macro="[0]!shaixuan_30">
      <xdr:nvSpPr>
        <xdr:cNvPr id="22" name="圆角矩形 21"/>
        <xdr:cNvSpPr/>
      </xdr:nvSpPr>
      <xdr:spPr>
        <a:xfrm>
          <a:off x="1809750" y="81915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筛选</a:t>
          </a:r>
          <a:endParaRPr lang="en-US" altLang="zh-CN" sz="1400" b="1">
            <a:latin typeface="等线" panose="02010600030101010101" charset="-122"/>
            <a:ea typeface="等线" panose="02010600030101010101" charset="-122"/>
          </a:endParaRPr>
        </a:p>
      </xdr:txBody>
    </xdr:sp>
    <xdr:clientData/>
  </xdr:twoCellAnchor>
  <xdr:twoCellAnchor>
    <xdr:from>
      <xdr:col>9</xdr:col>
      <xdr:colOff>26035</xdr:colOff>
      <xdr:row>4</xdr:row>
      <xdr:rowOff>123190</xdr:rowOff>
    </xdr:from>
    <xdr:to>
      <xdr:col>13</xdr:col>
      <xdr:colOff>269875</xdr:colOff>
      <xdr:row>15</xdr:row>
      <xdr:rowOff>106680</xdr:rowOff>
    </xdr:to>
    <xdr:graphicFrame>
      <xdr:nvGraphicFramePr>
        <xdr:cNvPr id="23" name="图表 22"/>
        <xdr:cNvGraphicFramePr/>
      </xdr:nvGraphicFramePr>
      <xdr:xfrm>
        <a:off x="6331585" y="2028825"/>
        <a:ext cx="4815840" cy="279146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454025</xdr:colOff>
      <xdr:row>4</xdr:row>
      <xdr:rowOff>104775</xdr:rowOff>
    </xdr:from>
    <xdr:to>
      <xdr:col>20</xdr:col>
      <xdr:colOff>479425</xdr:colOff>
      <xdr:row>15</xdr:row>
      <xdr:rowOff>116205</xdr:rowOff>
    </xdr:to>
    <xdr:graphicFrame>
      <xdr:nvGraphicFramePr>
        <xdr:cNvPr id="24" name="图表 23"/>
        <xdr:cNvGraphicFramePr/>
      </xdr:nvGraphicFramePr>
      <xdr:xfrm>
        <a:off x="11331575" y="2010410"/>
        <a:ext cx="4826000" cy="281940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20</xdr:col>
      <xdr:colOff>38100</xdr:colOff>
      <xdr:row>0</xdr:row>
      <xdr:rowOff>198120</xdr:rowOff>
    </xdr:from>
    <xdr:to>
      <xdr:col>21</xdr:col>
      <xdr:colOff>170180</xdr:colOff>
      <xdr:row>0</xdr:row>
      <xdr:rowOff>552450</xdr:rowOff>
    </xdr:to>
    <xdr:sp macro="[1]!asht18">
      <xdr:nvSpPr>
        <xdr:cNvPr id="25" name="12">
          <a:hlinkClick xmlns:r="http://schemas.openxmlformats.org/officeDocument/2006/relationships" r:id="rId3"/>
        </xdr:cNvPr>
        <xdr:cNvSpPr/>
      </xdr:nvSpPr>
      <xdr:spPr>
        <a:xfrm>
          <a:off x="1571625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144145</xdr:colOff>
      <xdr:row>0</xdr:row>
      <xdr:rowOff>198120</xdr:rowOff>
    </xdr:from>
    <xdr:to>
      <xdr:col>22</xdr:col>
      <xdr:colOff>276225</xdr:colOff>
      <xdr:row>0</xdr:row>
      <xdr:rowOff>552450</xdr:rowOff>
    </xdr:to>
    <xdr:sp macro="[1]!asht18">
      <xdr:nvSpPr>
        <xdr:cNvPr id="26" name="12">
          <a:hlinkClick xmlns:r="http://schemas.openxmlformats.org/officeDocument/2006/relationships" r:id="rId4"/>
        </xdr:cNvPr>
        <xdr:cNvSpPr/>
      </xdr:nvSpPr>
      <xdr:spPr>
        <a:xfrm>
          <a:off x="1650809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277495</xdr:colOff>
      <xdr:row>0</xdr:row>
      <xdr:rowOff>198120</xdr:rowOff>
    </xdr:from>
    <xdr:to>
      <xdr:col>23</xdr:col>
      <xdr:colOff>409575</xdr:colOff>
      <xdr:row>0</xdr:row>
      <xdr:rowOff>552450</xdr:rowOff>
    </xdr:to>
    <xdr:sp macro="[1]!asht18">
      <xdr:nvSpPr>
        <xdr:cNvPr id="27" name="12">
          <a:hlinkClick xmlns:r="http://schemas.openxmlformats.org/officeDocument/2006/relationships" r:id="rId5"/>
        </xdr:cNvPr>
        <xdr:cNvSpPr/>
      </xdr:nvSpPr>
      <xdr:spPr>
        <a:xfrm>
          <a:off x="1732724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363220</xdr:colOff>
      <xdr:row>0</xdr:row>
      <xdr:rowOff>198120</xdr:rowOff>
    </xdr:from>
    <xdr:to>
      <xdr:col>24</xdr:col>
      <xdr:colOff>495300</xdr:colOff>
      <xdr:row>0</xdr:row>
      <xdr:rowOff>552450</xdr:rowOff>
    </xdr:to>
    <xdr:sp macro="[1]!asht18">
      <xdr:nvSpPr>
        <xdr:cNvPr id="28" name="12">
          <a:hlinkClick xmlns:r="http://schemas.openxmlformats.org/officeDocument/2006/relationships" r:id="rId6"/>
        </xdr:cNvPr>
        <xdr:cNvSpPr/>
      </xdr:nvSpPr>
      <xdr:spPr>
        <a:xfrm>
          <a:off x="1809877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467995</xdr:colOff>
      <xdr:row>0</xdr:row>
      <xdr:rowOff>198120</xdr:rowOff>
    </xdr:from>
    <xdr:to>
      <xdr:col>25</xdr:col>
      <xdr:colOff>600075</xdr:colOff>
      <xdr:row>0</xdr:row>
      <xdr:rowOff>552450</xdr:rowOff>
    </xdr:to>
    <xdr:sp macro="[1]!asht18">
      <xdr:nvSpPr>
        <xdr:cNvPr id="29" name="12">
          <a:hlinkClick xmlns:r="http://schemas.openxmlformats.org/officeDocument/2006/relationships" r:id="rId7"/>
        </xdr:cNvPr>
        <xdr:cNvSpPr/>
      </xdr:nvSpPr>
      <xdr:spPr>
        <a:xfrm>
          <a:off x="1888934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25</xdr:col>
      <xdr:colOff>658495</xdr:colOff>
      <xdr:row>0</xdr:row>
      <xdr:rowOff>198120</xdr:rowOff>
    </xdr:from>
    <xdr:to>
      <xdr:col>27</xdr:col>
      <xdr:colOff>104775</xdr:colOff>
      <xdr:row>0</xdr:row>
      <xdr:rowOff>552450</xdr:rowOff>
    </xdr:to>
    <xdr:sp macro="[1]!asht18">
      <xdr:nvSpPr>
        <xdr:cNvPr id="30" name="12">
          <a:hlinkClick xmlns:r="http://schemas.openxmlformats.org/officeDocument/2006/relationships" r:id="rId8"/>
        </xdr:cNvPr>
        <xdr:cNvSpPr/>
      </xdr:nvSpPr>
      <xdr:spPr>
        <a:xfrm>
          <a:off x="19765645" y="198120"/>
          <a:ext cx="817880" cy="354330"/>
        </a:xfrm>
        <a:prstGeom prst="rect">
          <a:avLst/>
        </a:prstGeom>
      </xdr:spPr>
      <xdr:style>
        <a:lnRef idx="2">
          <a:schemeClr val="lt1"/>
        </a:lnRef>
        <a:fillRef idx="1">
          <a:schemeClr val="accent1"/>
        </a:fillRef>
        <a:effectRef idx="1">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采购退货统计</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27</xdr:col>
      <xdr:colOff>144145</xdr:colOff>
      <xdr:row>0</xdr:row>
      <xdr:rowOff>198120</xdr:rowOff>
    </xdr:from>
    <xdr:to>
      <xdr:col>28</xdr:col>
      <xdr:colOff>276225</xdr:colOff>
      <xdr:row>0</xdr:row>
      <xdr:rowOff>552450</xdr:rowOff>
    </xdr:to>
    <xdr:sp macro="[1]!asht18">
      <xdr:nvSpPr>
        <xdr:cNvPr id="31" name="12">
          <a:hlinkClick xmlns:r="http://schemas.openxmlformats.org/officeDocument/2006/relationships" r:id="rId9"/>
        </xdr:cNvPr>
        <xdr:cNvSpPr/>
      </xdr:nvSpPr>
      <xdr:spPr>
        <a:xfrm>
          <a:off x="2062289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28</xdr:col>
      <xdr:colOff>363220</xdr:colOff>
      <xdr:row>0</xdr:row>
      <xdr:rowOff>198120</xdr:rowOff>
    </xdr:from>
    <xdr:to>
      <xdr:col>29</xdr:col>
      <xdr:colOff>495300</xdr:colOff>
      <xdr:row>0</xdr:row>
      <xdr:rowOff>552450</xdr:rowOff>
    </xdr:to>
    <xdr:sp macro="[1]!asht18">
      <xdr:nvSpPr>
        <xdr:cNvPr id="32" name="12">
          <a:hlinkClick xmlns:r="http://schemas.openxmlformats.org/officeDocument/2006/relationships" r:id="rId10"/>
        </xdr:cNvPr>
        <xdr:cNvSpPr/>
      </xdr:nvSpPr>
      <xdr:spPr>
        <a:xfrm>
          <a:off x="2152777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467995</xdr:colOff>
      <xdr:row>0</xdr:row>
      <xdr:rowOff>198120</xdr:rowOff>
    </xdr:from>
    <xdr:to>
      <xdr:col>30</xdr:col>
      <xdr:colOff>600075</xdr:colOff>
      <xdr:row>0</xdr:row>
      <xdr:rowOff>552450</xdr:rowOff>
    </xdr:to>
    <xdr:sp macro="[1]!asht18">
      <xdr:nvSpPr>
        <xdr:cNvPr id="33" name="12">
          <a:hlinkClick xmlns:r="http://schemas.openxmlformats.org/officeDocument/2006/relationships" r:id="rId11"/>
        </xdr:cNvPr>
        <xdr:cNvSpPr/>
      </xdr:nvSpPr>
      <xdr:spPr>
        <a:xfrm>
          <a:off x="2231834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31</xdr:col>
      <xdr:colOff>20320</xdr:colOff>
      <xdr:row>0</xdr:row>
      <xdr:rowOff>198120</xdr:rowOff>
    </xdr:from>
    <xdr:to>
      <xdr:col>32</xdr:col>
      <xdr:colOff>152400</xdr:colOff>
      <xdr:row>0</xdr:row>
      <xdr:rowOff>552450</xdr:rowOff>
    </xdr:to>
    <xdr:sp macro="[1]!asht18">
      <xdr:nvSpPr>
        <xdr:cNvPr id="34" name="12">
          <a:hlinkClick xmlns:r="http://schemas.openxmlformats.org/officeDocument/2006/relationships" r:id="rId12"/>
        </xdr:cNvPr>
        <xdr:cNvSpPr/>
      </xdr:nvSpPr>
      <xdr:spPr>
        <a:xfrm>
          <a:off x="2324227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32</xdr:col>
      <xdr:colOff>153670</xdr:colOff>
      <xdr:row>0</xdr:row>
      <xdr:rowOff>198120</xdr:rowOff>
    </xdr:from>
    <xdr:to>
      <xdr:col>33</xdr:col>
      <xdr:colOff>285750</xdr:colOff>
      <xdr:row>0</xdr:row>
      <xdr:rowOff>552450</xdr:rowOff>
    </xdr:to>
    <xdr:sp macro="[1]!asht18">
      <xdr:nvSpPr>
        <xdr:cNvPr id="35" name="12">
          <a:hlinkClick xmlns:r="http://schemas.openxmlformats.org/officeDocument/2006/relationships" r:id="rId13"/>
        </xdr:cNvPr>
        <xdr:cNvSpPr/>
      </xdr:nvSpPr>
      <xdr:spPr>
        <a:xfrm>
          <a:off x="2406142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33</xdr:col>
      <xdr:colOff>290195</xdr:colOff>
      <xdr:row>0</xdr:row>
      <xdr:rowOff>198120</xdr:rowOff>
    </xdr:from>
    <xdr:to>
      <xdr:col>34</xdr:col>
      <xdr:colOff>422275</xdr:colOff>
      <xdr:row>0</xdr:row>
      <xdr:rowOff>552450</xdr:rowOff>
    </xdr:to>
    <xdr:sp macro="[1]!asht18">
      <xdr:nvSpPr>
        <xdr:cNvPr id="36" name="12">
          <a:hlinkClick xmlns:r="http://schemas.openxmlformats.org/officeDocument/2006/relationships" r:id="rId14"/>
        </xdr:cNvPr>
        <xdr:cNvSpPr/>
      </xdr:nvSpPr>
      <xdr:spPr>
        <a:xfrm>
          <a:off x="2488374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18.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161925</xdr:colOff>
      <xdr:row>1</xdr:row>
      <xdr:rowOff>50800</xdr:rowOff>
    </xdr:from>
    <xdr:to>
      <xdr:col>2</xdr:col>
      <xdr:colOff>685800</xdr:colOff>
      <xdr:row>1</xdr:row>
      <xdr:rowOff>441325</xdr:rowOff>
    </xdr:to>
    <xdr:sp macro="[0]!select31">
      <xdr:nvSpPr>
        <xdr:cNvPr id="2" name="圆角矩形 1"/>
        <xdr:cNvSpPr/>
      </xdr:nvSpPr>
      <xdr:spPr>
        <a:xfrm>
          <a:off x="4191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2</xdr:col>
      <xdr:colOff>318135</xdr:colOff>
      <xdr:row>0</xdr:row>
      <xdr:rowOff>127000</xdr:rowOff>
    </xdr:from>
    <xdr:to>
      <xdr:col>34</xdr:col>
      <xdr:colOff>645795</xdr:colOff>
      <xdr:row>0</xdr:row>
      <xdr:rowOff>624205</xdr:rowOff>
    </xdr:to>
    <xdr:sp>
      <xdr:nvSpPr>
        <xdr:cNvPr id="3" name="圆角矩形 14"/>
        <xdr:cNvSpPr/>
      </xdr:nvSpPr>
      <xdr:spPr>
        <a:xfrm>
          <a:off x="1118235" y="127000"/>
          <a:ext cx="2480691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375285</xdr:colOff>
      <xdr:row>0</xdr:row>
      <xdr:rowOff>203200</xdr:rowOff>
    </xdr:from>
    <xdr:to>
      <xdr:col>3</xdr:col>
      <xdr:colOff>57150</xdr:colOff>
      <xdr:row>0</xdr:row>
      <xdr:rowOff>557530</xdr:rowOff>
    </xdr:to>
    <xdr:sp macro="[1]!asht1">
      <xdr:nvSpPr>
        <xdr:cNvPr id="4"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96520</xdr:colOff>
      <xdr:row>0</xdr:row>
      <xdr:rowOff>203200</xdr:rowOff>
    </xdr:from>
    <xdr:to>
      <xdr:col>3</xdr:col>
      <xdr:colOff>911860</xdr:colOff>
      <xdr:row>0</xdr:row>
      <xdr:rowOff>557530</xdr:rowOff>
    </xdr:to>
    <xdr:sp macro="[1]!asht2">
      <xdr:nvSpPr>
        <xdr:cNvPr id="5"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951230</xdr:colOff>
      <xdr:row>0</xdr:row>
      <xdr:rowOff>203200</xdr:rowOff>
    </xdr:from>
    <xdr:to>
      <xdr:col>4</xdr:col>
      <xdr:colOff>480695</xdr:colOff>
      <xdr:row>0</xdr:row>
      <xdr:rowOff>557530</xdr:rowOff>
    </xdr:to>
    <xdr:sp macro="[1]!asht4">
      <xdr:nvSpPr>
        <xdr:cNvPr id="6" name="3"/>
        <xdr:cNvSpPr/>
      </xdr:nvSpPr>
      <xdr:spPr>
        <a:xfrm>
          <a:off x="2884805" y="203200"/>
          <a:ext cx="815340" cy="354330"/>
        </a:xfrm>
        <a:prstGeom prst="rect">
          <a:avLst/>
        </a:prstGeom>
        <a:ln>
          <a:noFill/>
        </a:ln>
      </xdr:spPr>
      <xdr:style>
        <a:lnRef idx="3">
          <a:schemeClr val="accent1"/>
        </a:lnRef>
        <a:fillRef idx="0">
          <a:srgbClr val="FFFFFF"/>
        </a:fillRef>
        <a:effectRef idx="0">
          <a:srgbClr val="FFFFFF"/>
        </a:effectRef>
        <a:fontRef idx="minor">
          <a:schemeClr val="tx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入库</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4</xdr:col>
      <xdr:colOff>520065</xdr:colOff>
      <xdr:row>0</xdr:row>
      <xdr:rowOff>203200</xdr:rowOff>
    </xdr:from>
    <xdr:to>
      <xdr:col>5</xdr:col>
      <xdr:colOff>621030</xdr:colOff>
      <xdr:row>0</xdr:row>
      <xdr:rowOff>557530</xdr:rowOff>
    </xdr:to>
    <xdr:sp macro="[1]!asht16">
      <xdr:nvSpPr>
        <xdr:cNvPr id="7"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660400</xdr:colOff>
      <xdr:row>0</xdr:row>
      <xdr:rowOff>203200</xdr:rowOff>
    </xdr:from>
    <xdr:to>
      <xdr:col>7</xdr:col>
      <xdr:colOff>47625</xdr:colOff>
      <xdr:row>0</xdr:row>
      <xdr:rowOff>557530</xdr:rowOff>
    </xdr:to>
    <xdr:sp macro="[1]!asht14">
      <xdr:nvSpPr>
        <xdr:cNvPr id="8"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86995</xdr:colOff>
      <xdr:row>0</xdr:row>
      <xdr:rowOff>203200</xdr:rowOff>
    </xdr:from>
    <xdr:to>
      <xdr:col>8</xdr:col>
      <xdr:colOff>644525</xdr:colOff>
      <xdr:row>0</xdr:row>
      <xdr:rowOff>557530</xdr:rowOff>
    </xdr:to>
    <xdr:sp macro="[1]!asht17">
      <xdr:nvSpPr>
        <xdr:cNvPr id="9"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683895</xdr:colOff>
      <xdr:row>0</xdr:row>
      <xdr:rowOff>203200</xdr:rowOff>
    </xdr:from>
    <xdr:to>
      <xdr:col>9</xdr:col>
      <xdr:colOff>813435</xdr:colOff>
      <xdr:row>0</xdr:row>
      <xdr:rowOff>557530</xdr:rowOff>
    </xdr:to>
    <xdr:sp macro="[1]!asht5">
      <xdr:nvSpPr>
        <xdr:cNvPr id="10"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852805</xdr:colOff>
      <xdr:row>0</xdr:row>
      <xdr:rowOff>203200</xdr:rowOff>
    </xdr:from>
    <xdr:to>
      <xdr:col>10</xdr:col>
      <xdr:colOff>525145</xdr:colOff>
      <xdr:row>0</xdr:row>
      <xdr:rowOff>557530</xdr:rowOff>
    </xdr:to>
    <xdr:sp macro="[1]!asht6">
      <xdr:nvSpPr>
        <xdr:cNvPr id="11"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564515</xdr:colOff>
      <xdr:row>0</xdr:row>
      <xdr:rowOff>203200</xdr:rowOff>
    </xdr:from>
    <xdr:to>
      <xdr:col>11</xdr:col>
      <xdr:colOff>237490</xdr:colOff>
      <xdr:row>0</xdr:row>
      <xdr:rowOff>557530</xdr:rowOff>
    </xdr:to>
    <xdr:sp macro="[1]!asht7">
      <xdr:nvSpPr>
        <xdr:cNvPr id="12"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276860</xdr:colOff>
      <xdr:row>0</xdr:row>
      <xdr:rowOff>203200</xdr:rowOff>
    </xdr:from>
    <xdr:to>
      <xdr:col>11</xdr:col>
      <xdr:colOff>1092200</xdr:colOff>
      <xdr:row>0</xdr:row>
      <xdr:rowOff>557530</xdr:rowOff>
    </xdr:to>
    <xdr:sp macro="[1]!asht8">
      <xdr:nvSpPr>
        <xdr:cNvPr id="13"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1131570</xdr:colOff>
      <xdr:row>0</xdr:row>
      <xdr:rowOff>203200</xdr:rowOff>
    </xdr:from>
    <xdr:to>
      <xdr:col>12</xdr:col>
      <xdr:colOff>803910</xdr:colOff>
      <xdr:row>0</xdr:row>
      <xdr:rowOff>557530</xdr:rowOff>
    </xdr:to>
    <xdr:sp macro="[1]!asht15">
      <xdr:nvSpPr>
        <xdr:cNvPr id="14"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843280</xdr:colOff>
      <xdr:row>0</xdr:row>
      <xdr:rowOff>203200</xdr:rowOff>
    </xdr:from>
    <xdr:to>
      <xdr:col>13</xdr:col>
      <xdr:colOff>518160</xdr:colOff>
      <xdr:row>0</xdr:row>
      <xdr:rowOff>557530</xdr:rowOff>
    </xdr:to>
    <xdr:sp macro="[1]!asht9">
      <xdr:nvSpPr>
        <xdr:cNvPr id="15"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280670</xdr:colOff>
      <xdr:row>0</xdr:row>
      <xdr:rowOff>607060</xdr:rowOff>
    </xdr:to>
    <xdr:sp>
      <xdr:nvSpPr>
        <xdr:cNvPr id="16" name="文本框 15"/>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进出明细统计</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13</xdr:col>
      <xdr:colOff>557530</xdr:colOff>
      <xdr:row>0</xdr:row>
      <xdr:rowOff>203200</xdr:rowOff>
    </xdr:from>
    <xdr:to>
      <xdr:col>15</xdr:col>
      <xdr:colOff>3810</xdr:colOff>
      <xdr:row>0</xdr:row>
      <xdr:rowOff>557530</xdr:rowOff>
    </xdr:to>
    <xdr:sp macro="[1]!asht10">
      <xdr:nvSpPr>
        <xdr:cNvPr id="17"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43180</xdr:colOff>
      <xdr:row>0</xdr:row>
      <xdr:rowOff>203200</xdr:rowOff>
    </xdr:from>
    <xdr:to>
      <xdr:col>16</xdr:col>
      <xdr:colOff>175260</xdr:colOff>
      <xdr:row>0</xdr:row>
      <xdr:rowOff>557530</xdr:rowOff>
    </xdr:to>
    <xdr:sp macro="[1]!asht11">
      <xdr:nvSpPr>
        <xdr:cNvPr id="18"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214630</xdr:colOff>
      <xdr:row>0</xdr:row>
      <xdr:rowOff>203200</xdr:rowOff>
    </xdr:from>
    <xdr:to>
      <xdr:col>17</xdr:col>
      <xdr:colOff>346710</xdr:colOff>
      <xdr:row>0</xdr:row>
      <xdr:rowOff>557530</xdr:rowOff>
    </xdr:to>
    <xdr:sp macro="[1]!asht12">
      <xdr:nvSpPr>
        <xdr:cNvPr id="19"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17</xdr:col>
      <xdr:colOff>386080</xdr:colOff>
      <xdr:row>0</xdr:row>
      <xdr:rowOff>203200</xdr:rowOff>
    </xdr:from>
    <xdr:to>
      <xdr:col>18</xdr:col>
      <xdr:colOff>518160</xdr:colOff>
      <xdr:row>0</xdr:row>
      <xdr:rowOff>557530</xdr:rowOff>
    </xdr:to>
    <xdr:sp macro="[1]!asht13">
      <xdr:nvSpPr>
        <xdr:cNvPr id="20"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557530</xdr:colOff>
      <xdr:row>0</xdr:row>
      <xdr:rowOff>203200</xdr:rowOff>
    </xdr:from>
    <xdr:to>
      <xdr:col>20</xdr:col>
      <xdr:colOff>3810</xdr:colOff>
      <xdr:row>0</xdr:row>
      <xdr:rowOff>557530</xdr:rowOff>
    </xdr:to>
    <xdr:sp macro="[1]!asht18">
      <xdr:nvSpPr>
        <xdr:cNvPr id="21"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xdr:col>
      <xdr:colOff>1009650</xdr:colOff>
      <xdr:row>1</xdr:row>
      <xdr:rowOff>57150</xdr:rowOff>
    </xdr:from>
    <xdr:to>
      <xdr:col>3</xdr:col>
      <xdr:colOff>942975</xdr:colOff>
      <xdr:row>1</xdr:row>
      <xdr:rowOff>447675</xdr:rowOff>
    </xdr:to>
    <xdr:sp macro="[0]!shaixuan_31">
      <xdr:nvSpPr>
        <xdr:cNvPr id="22" name="圆角矩形 21"/>
        <xdr:cNvSpPr/>
      </xdr:nvSpPr>
      <xdr:spPr>
        <a:xfrm>
          <a:off x="1809750" y="81915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筛选</a:t>
          </a:r>
          <a:endParaRPr lang="en-US" altLang="zh-CN" sz="1400" b="1">
            <a:latin typeface="等线" panose="02010600030101010101" charset="-122"/>
            <a:ea typeface="等线" panose="02010600030101010101" charset="-122"/>
          </a:endParaRPr>
        </a:p>
      </xdr:txBody>
    </xdr:sp>
    <xdr:clientData/>
  </xdr:twoCellAnchor>
  <xdr:twoCellAnchor>
    <xdr:from>
      <xdr:col>9</xdr:col>
      <xdr:colOff>26035</xdr:colOff>
      <xdr:row>4</xdr:row>
      <xdr:rowOff>123190</xdr:rowOff>
    </xdr:from>
    <xdr:to>
      <xdr:col>13</xdr:col>
      <xdr:colOff>269875</xdr:colOff>
      <xdr:row>15</xdr:row>
      <xdr:rowOff>106680</xdr:rowOff>
    </xdr:to>
    <xdr:graphicFrame>
      <xdr:nvGraphicFramePr>
        <xdr:cNvPr id="23" name="图表 22"/>
        <xdr:cNvGraphicFramePr/>
      </xdr:nvGraphicFramePr>
      <xdr:xfrm>
        <a:off x="6331585" y="2028825"/>
        <a:ext cx="4815840" cy="279146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454025</xdr:colOff>
      <xdr:row>4</xdr:row>
      <xdr:rowOff>104775</xdr:rowOff>
    </xdr:from>
    <xdr:to>
      <xdr:col>20</xdr:col>
      <xdr:colOff>479425</xdr:colOff>
      <xdr:row>15</xdr:row>
      <xdr:rowOff>116205</xdr:rowOff>
    </xdr:to>
    <xdr:graphicFrame>
      <xdr:nvGraphicFramePr>
        <xdr:cNvPr id="24" name="图表 23"/>
        <xdr:cNvGraphicFramePr/>
      </xdr:nvGraphicFramePr>
      <xdr:xfrm>
        <a:off x="11331575" y="2010410"/>
        <a:ext cx="4826000" cy="281940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20</xdr:col>
      <xdr:colOff>0</xdr:colOff>
      <xdr:row>0</xdr:row>
      <xdr:rowOff>217170</xdr:rowOff>
    </xdr:from>
    <xdr:to>
      <xdr:col>21</xdr:col>
      <xdr:colOff>132080</xdr:colOff>
      <xdr:row>0</xdr:row>
      <xdr:rowOff>571500</xdr:rowOff>
    </xdr:to>
    <xdr:sp macro="[1]!asht18">
      <xdr:nvSpPr>
        <xdr:cNvPr id="25" name="12">
          <a:hlinkClick xmlns:r="http://schemas.openxmlformats.org/officeDocument/2006/relationships" r:id="rId3"/>
        </xdr:cNvPr>
        <xdr:cNvSpPr/>
      </xdr:nvSpPr>
      <xdr:spPr>
        <a:xfrm>
          <a:off x="15678150"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106045</xdr:colOff>
      <xdr:row>0</xdr:row>
      <xdr:rowOff>217170</xdr:rowOff>
    </xdr:from>
    <xdr:to>
      <xdr:col>22</xdr:col>
      <xdr:colOff>238125</xdr:colOff>
      <xdr:row>0</xdr:row>
      <xdr:rowOff>571500</xdr:rowOff>
    </xdr:to>
    <xdr:sp macro="[1]!asht18">
      <xdr:nvSpPr>
        <xdr:cNvPr id="26" name="12">
          <a:hlinkClick xmlns:r="http://schemas.openxmlformats.org/officeDocument/2006/relationships" r:id="rId4"/>
        </xdr:cNvPr>
        <xdr:cNvSpPr/>
      </xdr:nvSpPr>
      <xdr:spPr>
        <a:xfrm>
          <a:off x="16469995"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239395</xdr:colOff>
      <xdr:row>0</xdr:row>
      <xdr:rowOff>217170</xdr:rowOff>
    </xdr:from>
    <xdr:to>
      <xdr:col>23</xdr:col>
      <xdr:colOff>371475</xdr:colOff>
      <xdr:row>0</xdr:row>
      <xdr:rowOff>571500</xdr:rowOff>
    </xdr:to>
    <xdr:sp macro="[1]!asht18">
      <xdr:nvSpPr>
        <xdr:cNvPr id="27" name="12">
          <a:hlinkClick xmlns:r="http://schemas.openxmlformats.org/officeDocument/2006/relationships" r:id="rId5"/>
        </xdr:cNvPr>
        <xdr:cNvSpPr/>
      </xdr:nvSpPr>
      <xdr:spPr>
        <a:xfrm>
          <a:off x="17289145"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325120</xdr:colOff>
      <xdr:row>0</xdr:row>
      <xdr:rowOff>217170</xdr:rowOff>
    </xdr:from>
    <xdr:to>
      <xdr:col>24</xdr:col>
      <xdr:colOff>457200</xdr:colOff>
      <xdr:row>0</xdr:row>
      <xdr:rowOff>571500</xdr:rowOff>
    </xdr:to>
    <xdr:sp macro="[1]!asht18">
      <xdr:nvSpPr>
        <xdr:cNvPr id="28" name="12">
          <a:hlinkClick xmlns:r="http://schemas.openxmlformats.org/officeDocument/2006/relationships" r:id="rId6"/>
        </xdr:cNvPr>
        <xdr:cNvSpPr/>
      </xdr:nvSpPr>
      <xdr:spPr>
        <a:xfrm>
          <a:off x="18060670"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429895</xdr:colOff>
      <xdr:row>0</xdr:row>
      <xdr:rowOff>217170</xdr:rowOff>
    </xdr:from>
    <xdr:to>
      <xdr:col>25</xdr:col>
      <xdr:colOff>561975</xdr:colOff>
      <xdr:row>0</xdr:row>
      <xdr:rowOff>571500</xdr:rowOff>
    </xdr:to>
    <xdr:sp macro="[1]!asht18">
      <xdr:nvSpPr>
        <xdr:cNvPr id="29" name="12">
          <a:hlinkClick xmlns:r="http://schemas.openxmlformats.org/officeDocument/2006/relationships" r:id="rId7"/>
        </xdr:cNvPr>
        <xdr:cNvSpPr/>
      </xdr:nvSpPr>
      <xdr:spPr>
        <a:xfrm>
          <a:off x="18851245"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25</xdr:col>
      <xdr:colOff>620395</xdr:colOff>
      <xdr:row>0</xdr:row>
      <xdr:rowOff>217170</xdr:rowOff>
    </xdr:from>
    <xdr:to>
      <xdr:col>27</xdr:col>
      <xdr:colOff>66675</xdr:colOff>
      <xdr:row>0</xdr:row>
      <xdr:rowOff>571500</xdr:rowOff>
    </xdr:to>
    <xdr:sp macro="[1]!asht18">
      <xdr:nvSpPr>
        <xdr:cNvPr id="30" name="12">
          <a:hlinkClick xmlns:r="http://schemas.openxmlformats.org/officeDocument/2006/relationships" r:id="rId8"/>
        </xdr:cNvPr>
        <xdr:cNvSpPr/>
      </xdr:nvSpPr>
      <xdr:spPr>
        <a:xfrm>
          <a:off x="19727545"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106045</xdr:colOff>
      <xdr:row>0</xdr:row>
      <xdr:rowOff>217170</xdr:rowOff>
    </xdr:from>
    <xdr:to>
      <xdr:col>28</xdr:col>
      <xdr:colOff>238125</xdr:colOff>
      <xdr:row>0</xdr:row>
      <xdr:rowOff>571500</xdr:rowOff>
    </xdr:to>
    <xdr:sp macro="[1]!asht18">
      <xdr:nvSpPr>
        <xdr:cNvPr id="31" name="12">
          <a:hlinkClick xmlns:r="http://schemas.openxmlformats.org/officeDocument/2006/relationships" r:id="rId9"/>
        </xdr:cNvPr>
        <xdr:cNvSpPr/>
      </xdr:nvSpPr>
      <xdr:spPr>
        <a:xfrm>
          <a:off x="20584795" y="217170"/>
          <a:ext cx="817880" cy="354330"/>
        </a:xfrm>
        <a:prstGeom prst="rect">
          <a:avLst/>
        </a:prstGeom>
      </xdr:spPr>
      <xdr:style>
        <a:lnRef idx="2">
          <a:schemeClr val="lt1"/>
        </a:lnRef>
        <a:fillRef idx="1">
          <a:schemeClr val="accent1"/>
        </a:fillRef>
        <a:effectRef idx="1">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进出明细统计</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28</xdr:col>
      <xdr:colOff>325120</xdr:colOff>
      <xdr:row>0</xdr:row>
      <xdr:rowOff>217170</xdr:rowOff>
    </xdr:from>
    <xdr:to>
      <xdr:col>29</xdr:col>
      <xdr:colOff>457200</xdr:colOff>
      <xdr:row>0</xdr:row>
      <xdr:rowOff>571500</xdr:rowOff>
    </xdr:to>
    <xdr:sp macro="[1]!asht18">
      <xdr:nvSpPr>
        <xdr:cNvPr id="32" name="12">
          <a:hlinkClick xmlns:r="http://schemas.openxmlformats.org/officeDocument/2006/relationships" r:id="rId10"/>
        </xdr:cNvPr>
        <xdr:cNvSpPr/>
      </xdr:nvSpPr>
      <xdr:spPr>
        <a:xfrm>
          <a:off x="21489670"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429895</xdr:colOff>
      <xdr:row>0</xdr:row>
      <xdr:rowOff>217170</xdr:rowOff>
    </xdr:from>
    <xdr:to>
      <xdr:col>30</xdr:col>
      <xdr:colOff>561975</xdr:colOff>
      <xdr:row>0</xdr:row>
      <xdr:rowOff>571500</xdr:rowOff>
    </xdr:to>
    <xdr:sp macro="[1]!asht18">
      <xdr:nvSpPr>
        <xdr:cNvPr id="33" name="12">
          <a:hlinkClick xmlns:r="http://schemas.openxmlformats.org/officeDocument/2006/relationships" r:id="rId11"/>
        </xdr:cNvPr>
        <xdr:cNvSpPr/>
      </xdr:nvSpPr>
      <xdr:spPr>
        <a:xfrm>
          <a:off x="22280245"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30</xdr:col>
      <xdr:colOff>668020</xdr:colOff>
      <xdr:row>0</xdr:row>
      <xdr:rowOff>217170</xdr:rowOff>
    </xdr:from>
    <xdr:to>
      <xdr:col>32</xdr:col>
      <xdr:colOff>114300</xdr:colOff>
      <xdr:row>0</xdr:row>
      <xdr:rowOff>571500</xdr:rowOff>
    </xdr:to>
    <xdr:sp macro="[1]!asht18">
      <xdr:nvSpPr>
        <xdr:cNvPr id="34" name="12">
          <a:hlinkClick xmlns:r="http://schemas.openxmlformats.org/officeDocument/2006/relationships" r:id="rId12"/>
        </xdr:cNvPr>
        <xdr:cNvSpPr/>
      </xdr:nvSpPr>
      <xdr:spPr>
        <a:xfrm>
          <a:off x="23204170"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32</xdr:col>
      <xdr:colOff>115570</xdr:colOff>
      <xdr:row>0</xdr:row>
      <xdr:rowOff>217170</xdr:rowOff>
    </xdr:from>
    <xdr:to>
      <xdr:col>33</xdr:col>
      <xdr:colOff>247650</xdr:colOff>
      <xdr:row>0</xdr:row>
      <xdr:rowOff>571500</xdr:rowOff>
    </xdr:to>
    <xdr:sp macro="[1]!asht18">
      <xdr:nvSpPr>
        <xdr:cNvPr id="35" name="12">
          <a:hlinkClick xmlns:r="http://schemas.openxmlformats.org/officeDocument/2006/relationships" r:id="rId13"/>
        </xdr:cNvPr>
        <xdr:cNvSpPr/>
      </xdr:nvSpPr>
      <xdr:spPr>
        <a:xfrm>
          <a:off x="24023320"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33</xdr:col>
      <xdr:colOff>252095</xdr:colOff>
      <xdr:row>0</xdr:row>
      <xdr:rowOff>217170</xdr:rowOff>
    </xdr:from>
    <xdr:to>
      <xdr:col>34</xdr:col>
      <xdr:colOff>384175</xdr:colOff>
      <xdr:row>0</xdr:row>
      <xdr:rowOff>571500</xdr:rowOff>
    </xdr:to>
    <xdr:sp macro="[1]!asht18">
      <xdr:nvSpPr>
        <xdr:cNvPr id="36" name="12">
          <a:hlinkClick xmlns:r="http://schemas.openxmlformats.org/officeDocument/2006/relationships" r:id="rId14"/>
        </xdr:cNvPr>
        <xdr:cNvSpPr/>
      </xdr:nvSpPr>
      <xdr:spPr>
        <a:xfrm>
          <a:off x="24845645"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19.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219075</xdr:colOff>
      <xdr:row>1</xdr:row>
      <xdr:rowOff>50800</xdr:rowOff>
    </xdr:from>
    <xdr:to>
      <xdr:col>2</xdr:col>
      <xdr:colOff>1028700</xdr:colOff>
      <xdr:row>1</xdr:row>
      <xdr:rowOff>441325</xdr:rowOff>
    </xdr:to>
    <xdr:sp macro="[0]!select28">
      <xdr:nvSpPr>
        <xdr:cNvPr id="2" name="圆角矩形 1"/>
        <xdr:cNvSpPr/>
      </xdr:nvSpPr>
      <xdr:spPr>
        <a:xfrm>
          <a:off x="5715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95250</xdr:colOff>
      <xdr:row>1</xdr:row>
      <xdr:rowOff>50800</xdr:rowOff>
    </xdr:from>
    <xdr:to>
      <xdr:col>3</xdr:col>
      <xdr:colOff>1162050</xdr:colOff>
      <xdr:row>1</xdr:row>
      <xdr:rowOff>441325</xdr:rowOff>
    </xdr:to>
    <xdr:sp macro="[0]!query_28_show">
      <xdr:nvSpPr>
        <xdr:cNvPr id="3" name="圆角矩形 2"/>
        <xdr:cNvSpPr/>
      </xdr:nvSpPr>
      <xdr:spPr>
        <a:xfrm>
          <a:off x="19907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xdr:twoCellAnchor>
  <xdr:twoCellAnchor editAs="absolute">
    <xdr:from>
      <xdr:col>2</xdr:col>
      <xdr:colOff>508635</xdr:colOff>
      <xdr:row>0</xdr:row>
      <xdr:rowOff>127000</xdr:rowOff>
    </xdr:from>
    <xdr:to>
      <xdr:col>34</xdr:col>
      <xdr:colOff>579755</xdr:colOff>
      <xdr:row>0</xdr:row>
      <xdr:rowOff>624205</xdr:rowOff>
    </xdr:to>
    <xdr:sp>
      <xdr:nvSpPr>
        <xdr:cNvPr id="4" name="圆角矩形 14"/>
        <xdr:cNvSpPr/>
      </xdr:nvSpPr>
      <xdr:spPr>
        <a:xfrm>
          <a:off x="1118235" y="127000"/>
          <a:ext cx="2482659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3</xdr:col>
      <xdr:colOff>95250</xdr:colOff>
      <xdr:row>0</xdr:row>
      <xdr:rowOff>557530</xdr:rowOff>
    </xdr:to>
    <xdr:sp macro="[1]!asht1">
      <xdr:nvSpPr>
        <xdr:cNvPr id="5"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134620</xdr:colOff>
      <xdr:row>0</xdr:row>
      <xdr:rowOff>203200</xdr:rowOff>
    </xdr:from>
    <xdr:to>
      <xdr:col>3</xdr:col>
      <xdr:colOff>949960</xdr:colOff>
      <xdr:row>0</xdr:row>
      <xdr:rowOff>557530</xdr:rowOff>
    </xdr:to>
    <xdr:sp macro="[1]!asht2">
      <xdr:nvSpPr>
        <xdr:cNvPr id="6"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989330</xdr:colOff>
      <xdr:row>0</xdr:row>
      <xdr:rowOff>203200</xdr:rowOff>
    </xdr:from>
    <xdr:to>
      <xdr:col>4</xdr:col>
      <xdr:colOff>518795</xdr:colOff>
      <xdr:row>0</xdr:row>
      <xdr:rowOff>557530</xdr:rowOff>
    </xdr:to>
    <xdr:sp macro="[1]!asht4">
      <xdr:nvSpPr>
        <xdr:cNvPr id="7"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558165</xdr:colOff>
      <xdr:row>0</xdr:row>
      <xdr:rowOff>203200</xdr:rowOff>
    </xdr:from>
    <xdr:to>
      <xdr:col>5</xdr:col>
      <xdr:colOff>87630</xdr:colOff>
      <xdr:row>0</xdr:row>
      <xdr:rowOff>557530</xdr:rowOff>
    </xdr:to>
    <xdr:sp macro="[1]!asht16">
      <xdr:nvSpPr>
        <xdr:cNvPr id="8"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127000</xdr:colOff>
      <xdr:row>0</xdr:row>
      <xdr:rowOff>203200</xdr:rowOff>
    </xdr:from>
    <xdr:to>
      <xdr:col>5</xdr:col>
      <xdr:colOff>942975</xdr:colOff>
      <xdr:row>0</xdr:row>
      <xdr:rowOff>557530</xdr:rowOff>
    </xdr:to>
    <xdr:sp macro="[1]!asht14">
      <xdr:nvSpPr>
        <xdr:cNvPr id="9"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982345</xdr:colOff>
      <xdr:row>0</xdr:row>
      <xdr:rowOff>203200</xdr:rowOff>
    </xdr:from>
    <xdr:to>
      <xdr:col>6</xdr:col>
      <xdr:colOff>511175</xdr:colOff>
      <xdr:row>0</xdr:row>
      <xdr:rowOff>557530</xdr:rowOff>
    </xdr:to>
    <xdr:sp macro="[1]!asht17">
      <xdr:nvSpPr>
        <xdr:cNvPr id="10"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550545</xdr:colOff>
      <xdr:row>0</xdr:row>
      <xdr:rowOff>203200</xdr:rowOff>
    </xdr:from>
    <xdr:to>
      <xdr:col>7</xdr:col>
      <xdr:colOff>80010</xdr:colOff>
      <xdr:row>0</xdr:row>
      <xdr:rowOff>557530</xdr:rowOff>
    </xdr:to>
    <xdr:sp macro="[1]!asht5">
      <xdr:nvSpPr>
        <xdr:cNvPr id="11" name="7"/>
        <xdr:cNvSpPr/>
      </xdr:nvSpPr>
      <xdr:spPr>
        <a:xfrm>
          <a:off x="6303645" y="203200"/>
          <a:ext cx="815340" cy="354330"/>
        </a:xfrm>
        <a:prstGeom prst="rect">
          <a:avLst/>
        </a:prstGeom>
        <a:ln>
          <a:noFill/>
        </a:ln>
      </xdr:spPr>
      <xdr:style>
        <a:lnRef idx="3">
          <a:schemeClr val="accent1"/>
        </a:lnRef>
        <a:fillRef idx="0">
          <a:srgbClr val="FFFFFF"/>
        </a:fillRef>
        <a:effectRef idx="0">
          <a:srgbClr val="FFFFFF"/>
        </a:effectRef>
        <a:fontRef idx="minor">
          <a:schemeClr val="tx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119380</xdr:colOff>
      <xdr:row>0</xdr:row>
      <xdr:rowOff>203200</xdr:rowOff>
    </xdr:from>
    <xdr:to>
      <xdr:col>7</xdr:col>
      <xdr:colOff>934720</xdr:colOff>
      <xdr:row>0</xdr:row>
      <xdr:rowOff>557530</xdr:rowOff>
    </xdr:to>
    <xdr:sp macro="[1]!asht6">
      <xdr:nvSpPr>
        <xdr:cNvPr id="12"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974090</xdr:colOff>
      <xdr:row>0</xdr:row>
      <xdr:rowOff>203200</xdr:rowOff>
    </xdr:from>
    <xdr:to>
      <xdr:col>9</xdr:col>
      <xdr:colOff>247015</xdr:colOff>
      <xdr:row>0</xdr:row>
      <xdr:rowOff>557530</xdr:rowOff>
    </xdr:to>
    <xdr:sp macro="[1]!asht7">
      <xdr:nvSpPr>
        <xdr:cNvPr id="13"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286385</xdr:colOff>
      <xdr:row>0</xdr:row>
      <xdr:rowOff>203200</xdr:rowOff>
    </xdr:from>
    <xdr:to>
      <xdr:col>11</xdr:col>
      <xdr:colOff>92075</xdr:colOff>
      <xdr:row>0</xdr:row>
      <xdr:rowOff>557530</xdr:rowOff>
    </xdr:to>
    <xdr:sp macro="[1]!asht8">
      <xdr:nvSpPr>
        <xdr:cNvPr id="14"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131445</xdr:colOff>
      <xdr:row>0</xdr:row>
      <xdr:rowOff>203200</xdr:rowOff>
    </xdr:from>
    <xdr:to>
      <xdr:col>12</xdr:col>
      <xdr:colOff>260985</xdr:colOff>
      <xdr:row>0</xdr:row>
      <xdr:rowOff>557530</xdr:rowOff>
    </xdr:to>
    <xdr:sp macro="[1]!asht15">
      <xdr:nvSpPr>
        <xdr:cNvPr id="15"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300355</xdr:colOff>
      <xdr:row>0</xdr:row>
      <xdr:rowOff>203200</xdr:rowOff>
    </xdr:from>
    <xdr:to>
      <xdr:col>13</xdr:col>
      <xdr:colOff>432435</xdr:colOff>
      <xdr:row>0</xdr:row>
      <xdr:rowOff>557530</xdr:rowOff>
    </xdr:to>
    <xdr:sp macro="[1]!asht9">
      <xdr:nvSpPr>
        <xdr:cNvPr id="16"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17" name="文本框 16"/>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库存积压统计</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13</xdr:col>
      <xdr:colOff>471805</xdr:colOff>
      <xdr:row>0</xdr:row>
      <xdr:rowOff>203200</xdr:rowOff>
    </xdr:from>
    <xdr:to>
      <xdr:col>14</xdr:col>
      <xdr:colOff>603885</xdr:colOff>
      <xdr:row>0</xdr:row>
      <xdr:rowOff>557530</xdr:rowOff>
    </xdr:to>
    <xdr:sp macro="[1]!asht10">
      <xdr:nvSpPr>
        <xdr:cNvPr id="18"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643255</xdr:colOff>
      <xdr:row>0</xdr:row>
      <xdr:rowOff>203200</xdr:rowOff>
    </xdr:from>
    <xdr:to>
      <xdr:col>16</xdr:col>
      <xdr:colOff>89535</xdr:colOff>
      <xdr:row>0</xdr:row>
      <xdr:rowOff>557530</xdr:rowOff>
    </xdr:to>
    <xdr:sp macro="[1]!asht11">
      <xdr:nvSpPr>
        <xdr:cNvPr id="19"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128905</xdr:colOff>
      <xdr:row>0</xdr:row>
      <xdr:rowOff>203200</xdr:rowOff>
    </xdr:from>
    <xdr:to>
      <xdr:col>17</xdr:col>
      <xdr:colOff>260985</xdr:colOff>
      <xdr:row>0</xdr:row>
      <xdr:rowOff>557530</xdr:rowOff>
    </xdr:to>
    <xdr:sp macro="[1]!asht12">
      <xdr:nvSpPr>
        <xdr:cNvPr id="20"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17</xdr:col>
      <xdr:colOff>300355</xdr:colOff>
      <xdr:row>0</xdr:row>
      <xdr:rowOff>203200</xdr:rowOff>
    </xdr:from>
    <xdr:to>
      <xdr:col>18</xdr:col>
      <xdr:colOff>432435</xdr:colOff>
      <xdr:row>0</xdr:row>
      <xdr:rowOff>557530</xdr:rowOff>
    </xdr:to>
    <xdr:sp macro="[1]!asht13">
      <xdr:nvSpPr>
        <xdr:cNvPr id="21"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471805</xdr:colOff>
      <xdr:row>0</xdr:row>
      <xdr:rowOff>203200</xdr:rowOff>
    </xdr:from>
    <xdr:to>
      <xdr:col>19</xdr:col>
      <xdr:colOff>603885</xdr:colOff>
      <xdr:row>0</xdr:row>
      <xdr:rowOff>557530</xdr:rowOff>
    </xdr:to>
    <xdr:sp macro="[1]!asht18">
      <xdr:nvSpPr>
        <xdr:cNvPr id="22"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28575</xdr:colOff>
      <xdr:row>0</xdr:row>
      <xdr:rowOff>231140</xdr:rowOff>
    </xdr:from>
    <xdr:to>
      <xdr:col>21</xdr:col>
      <xdr:colOff>160655</xdr:colOff>
      <xdr:row>0</xdr:row>
      <xdr:rowOff>585470</xdr:rowOff>
    </xdr:to>
    <xdr:sp macro="[1]!asht18">
      <xdr:nvSpPr>
        <xdr:cNvPr id="23" name="12">
          <a:hlinkClick xmlns:r="http://schemas.openxmlformats.org/officeDocument/2006/relationships" r:id="rId1"/>
        </xdr:cNvPr>
        <xdr:cNvSpPr/>
      </xdr:nvSpPr>
      <xdr:spPr>
        <a:xfrm>
          <a:off x="15792450" y="2311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134620</xdr:colOff>
      <xdr:row>0</xdr:row>
      <xdr:rowOff>231140</xdr:rowOff>
    </xdr:from>
    <xdr:to>
      <xdr:col>22</xdr:col>
      <xdr:colOff>266700</xdr:colOff>
      <xdr:row>0</xdr:row>
      <xdr:rowOff>585470</xdr:rowOff>
    </xdr:to>
    <xdr:sp macro="[1]!asht18">
      <xdr:nvSpPr>
        <xdr:cNvPr id="24" name="12">
          <a:hlinkClick xmlns:r="http://schemas.openxmlformats.org/officeDocument/2006/relationships" r:id="rId2"/>
        </xdr:cNvPr>
        <xdr:cNvSpPr/>
      </xdr:nvSpPr>
      <xdr:spPr>
        <a:xfrm>
          <a:off x="16584295" y="2311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267970</xdr:colOff>
      <xdr:row>0</xdr:row>
      <xdr:rowOff>231140</xdr:rowOff>
    </xdr:from>
    <xdr:to>
      <xdr:col>23</xdr:col>
      <xdr:colOff>400050</xdr:colOff>
      <xdr:row>0</xdr:row>
      <xdr:rowOff>585470</xdr:rowOff>
    </xdr:to>
    <xdr:sp macro="[1]!asht18">
      <xdr:nvSpPr>
        <xdr:cNvPr id="25" name="12">
          <a:hlinkClick xmlns:r="http://schemas.openxmlformats.org/officeDocument/2006/relationships" r:id="rId3"/>
        </xdr:cNvPr>
        <xdr:cNvSpPr/>
      </xdr:nvSpPr>
      <xdr:spPr>
        <a:xfrm>
          <a:off x="17403445" y="2311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353695</xdr:colOff>
      <xdr:row>0</xdr:row>
      <xdr:rowOff>231140</xdr:rowOff>
    </xdr:from>
    <xdr:to>
      <xdr:col>24</xdr:col>
      <xdr:colOff>485775</xdr:colOff>
      <xdr:row>0</xdr:row>
      <xdr:rowOff>585470</xdr:rowOff>
    </xdr:to>
    <xdr:sp macro="[1]!asht18">
      <xdr:nvSpPr>
        <xdr:cNvPr id="26" name="12">
          <a:hlinkClick xmlns:r="http://schemas.openxmlformats.org/officeDocument/2006/relationships" r:id="rId4"/>
        </xdr:cNvPr>
        <xdr:cNvSpPr/>
      </xdr:nvSpPr>
      <xdr:spPr>
        <a:xfrm>
          <a:off x="18174970" y="2311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458470</xdr:colOff>
      <xdr:row>0</xdr:row>
      <xdr:rowOff>231140</xdr:rowOff>
    </xdr:from>
    <xdr:to>
      <xdr:col>25</xdr:col>
      <xdr:colOff>590550</xdr:colOff>
      <xdr:row>0</xdr:row>
      <xdr:rowOff>585470</xdr:rowOff>
    </xdr:to>
    <xdr:sp macro="[1]!asht18">
      <xdr:nvSpPr>
        <xdr:cNvPr id="27" name="12">
          <a:hlinkClick xmlns:r="http://schemas.openxmlformats.org/officeDocument/2006/relationships" r:id="rId5"/>
        </xdr:cNvPr>
        <xdr:cNvSpPr/>
      </xdr:nvSpPr>
      <xdr:spPr>
        <a:xfrm>
          <a:off x="18965545" y="2311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25</xdr:col>
      <xdr:colOff>648970</xdr:colOff>
      <xdr:row>0</xdr:row>
      <xdr:rowOff>231140</xdr:rowOff>
    </xdr:from>
    <xdr:to>
      <xdr:col>27</xdr:col>
      <xdr:colOff>95250</xdr:colOff>
      <xdr:row>0</xdr:row>
      <xdr:rowOff>585470</xdr:rowOff>
    </xdr:to>
    <xdr:sp macro="[1]!asht18">
      <xdr:nvSpPr>
        <xdr:cNvPr id="28" name="12">
          <a:hlinkClick xmlns:r="http://schemas.openxmlformats.org/officeDocument/2006/relationships" r:id="rId6"/>
        </xdr:cNvPr>
        <xdr:cNvSpPr/>
      </xdr:nvSpPr>
      <xdr:spPr>
        <a:xfrm>
          <a:off x="19841845" y="2311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134620</xdr:colOff>
      <xdr:row>0</xdr:row>
      <xdr:rowOff>231140</xdr:rowOff>
    </xdr:from>
    <xdr:to>
      <xdr:col>28</xdr:col>
      <xdr:colOff>266700</xdr:colOff>
      <xdr:row>0</xdr:row>
      <xdr:rowOff>585470</xdr:rowOff>
    </xdr:to>
    <xdr:sp macro="[1]!asht18">
      <xdr:nvSpPr>
        <xdr:cNvPr id="29" name="12">
          <a:hlinkClick xmlns:r="http://schemas.openxmlformats.org/officeDocument/2006/relationships" r:id="rId7"/>
        </xdr:cNvPr>
        <xdr:cNvSpPr/>
      </xdr:nvSpPr>
      <xdr:spPr>
        <a:xfrm>
          <a:off x="20699095" y="2311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28</xdr:col>
      <xdr:colOff>353695</xdr:colOff>
      <xdr:row>0</xdr:row>
      <xdr:rowOff>231140</xdr:rowOff>
    </xdr:from>
    <xdr:to>
      <xdr:col>29</xdr:col>
      <xdr:colOff>485775</xdr:colOff>
      <xdr:row>0</xdr:row>
      <xdr:rowOff>585470</xdr:rowOff>
    </xdr:to>
    <xdr:sp macro="[1]!asht18">
      <xdr:nvSpPr>
        <xdr:cNvPr id="30" name="12">
          <a:hlinkClick xmlns:r="http://schemas.openxmlformats.org/officeDocument/2006/relationships" r:id="rId8"/>
        </xdr:cNvPr>
        <xdr:cNvSpPr/>
      </xdr:nvSpPr>
      <xdr:spPr>
        <a:xfrm>
          <a:off x="21603970" y="2311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458470</xdr:colOff>
      <xdr:row>0</xdr:row>
      <xdr:rowOff>231140</xdr:rowOff>
    </xdr:from>
    <xdr:to>
      <xdr:col>30</xdr:col>
      <xdr:colOff>590550</xdr:colOff>
      <xdr:row>0</xdr:row>
      <xdr:rowOff>585470</xdr:rowOff>
    </xdr:to>
    <xdr:sp macro="[1]!asht18">
      <xdr:nvSpPr>
        <xdr:cNvPr id="31" name="12">
          <a:hlinkClick xmlns:r="http://schemas.openxmlformats.org/officeDocument/2006/relationships" r:id="rId9"/>
        </xdr:cNvPr>
        <xdr:cNvSpPr/>
      </xdr:nvSpPr>
      <xdr:spPr>
        <a:xfrm>
          <a:off x="22394545" y="231140"/>
          <a:ext cx="817880" cy="354330"/>
        </a:xfrm>
        <a:prstGeom prst="rect">
          <a:avLst/>
        </a:prstGeom>
      </xdr:spPr>
      <xdr:style>
        <a:lnRef idx="0">
          <a:srgbClr val="FFFFFF"/>
        </a:lnRef>
        <a:fillRef idx="1">
          <a:schemeClr val="accent1"/>
        </a:fillRef>
        <a:effectRef idx="1">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库存积压统计</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31</xdr:col>
      <xdr:colOff>10795</xdr:colOff>
      <xdr:row>0</xdr:row>
      <xdr:rowOff>231140</xdr:rowOff>
    </xdr:from>
    <xdr:to>
      <xdr:col>32</xdr:col>
      <xdr:colOff>142875</xdr:colOff>
      <xdr:row>0</xdr:row>
      <xdr:rowOff>585470</xdr:rowOff>
    </xdr:to>
    <xdr:sp macro="[1]!asht18">
      <xdr:nvSpPr>
        <xdr:cNvPr id="32" name="12">
          <a:hlinkClick xmlns:r="http://schemas.openxmlformats.org/officeDocument/2006/relationships" r:id="rId10"/>
        </xdr:cNvPr>
        <xdr:cNvSpPr/>
      </xdr:nvSpPr>
      <xdr:spPr>
        <a:xfrm>
          <a:off x="23318470" y="2311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32</xdr:col>
      <xdr:colOff>144145</xdr:colOff>
      <xdr:row>0</xdr:row>
      <xdr:rowOff>231140</xdr:rowOff>
    </xdr:from>
    <xdr:to>
      <xdr:col>33</xdr:col>
      <xdr:colOff>276225</xdr:colOff>
      <xdr:row>0</xdr:row>
      <xdr:rowOff>585470</xdr:rowOff>
    </xdr:to>
    <xdr:sp macro="[1]!asht18">
      <xdr:nvSpPr>
        <xdr:cNvPr id="33" name="12">
          <a:hlinkClick xmlns:r="http://schemas.openxmlformats.org/officeDocument/2006/relationships" r:id="rId11"/>
        </xdr:cNvPr>
        <xdr:cNvSpPr/>
      </xdr:nvSpPr>
      <xdr:spPr>
        <a:xfrm>
          <a:off x="24137620" y="2311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33</xdr:col>
      <xdr:colOff>280670</xdr:colOff>
      <xdr:row>0</xdr:row>
      <xdr:rowOff>231140</xdr:rowOff>
    </xdr:from>
    <xdr:to>
      <xdr:col>34</xdr:col>
      <xdr:colOff>412750</xdr:colOff>
      <xdr:row>0</xdr:row>
      <xdr:rowOff>585470</xdr:rowOff>
    </xdr:to>
    <xdr:sp macro="[1]!asht18">
      <xdr:nvSpPr>
        <xdr:cNvPr id="34" name="12">
          <a:hlinkClick xmlns:r="http://schemas.openxmlformats.org/officeDocument/2006/relationships" r:id="rId12"/>
        </xdr:cNvPr>
        <xdr:cNvSpPr/>
      </xdr:nvSpPr>
      <xdr:spPr>
        <a:xfrm>
          <a:off x="24959945" y="2311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20.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3</xdr:col>
      <xdr:colOff>1066800</xdr:colOff>
      <xdr:row>1</xdr:row>
      <xdr:rowOff>441325</xdr:rowOff>
    </xdr:to>
    <xdr:sp macro="[0]!select06">
      <xdr:nvSpPr>
        <xdr:cNvPr id="21" name="圆角矩形 20"/>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4</xdr:col>
      <xdr:colOff>130810</xdr:colOff>
      <xdr:row>1</xdr:row>
      <xdr:rowOff>50800</xdr:rowOff>
    </xdr:from>
    <xdr:to>
      <xdr:col>4</xdr:col>
      <xdr:colOff>1197610</xdr:colOff>
      <xdr:row>1</xdr:row>
      <xdr:rowOff>441325</xdr:rowOff>
    </xdr:to>
    <xdr:sp macro="[0]!PLSC_id">
      <xdr:nvSpPr>
        <xdr:cNvPr id="22" name="圆角矩形 21"/>
        <xdr:cNvSpPr/>
      </xdr:nvSpPr>
      <xdr:spPr>
        <a:xfrm>
          <a:off x="202628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5</xdr:col>
      <xdr:colOff>261620</xdr:colOff>
      <xdr:row>1</xdr:row>
      <xdr:rowOff>50800</xdr:rowOff>
    </xdr:from>
    <xdr:to>
      <xdr:col>6</xdr:col>
      <xdr:colOff>42545</xdr:colOff>
      <xdr:row>1</xdr:row>
      <xdr:rowOff>441325</xdr:rowOff>
    </xdr:to>
    <xdr:sp macro="[0]!select06_query">
      <xdr:nvSpPr>
        <xdr:cNvPr id="23" name="圆角矩形 22"/>
        <xdr:cNvSpPr/>
      </xdr:nvSpPr>
      <xdr:spPr>
        <a:xfrm>
          <a:off x="344297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6</xdr:col>
      <xdr:colOff>392430</xdr:colOff>
      <xdr:row>1</xdr:row>
      <xdr:rowOff>50800</xdr:rowOff>
    </xdr:from>
    <xdr:to>
      <xdr:col>7</xdr:col>
      <xdr:colOff>173355</xdr:colOff>
      <xdr:row>1</xdr:row>
      <xdr:rowOff>441325</xdr:rowOff>
    </xdr:to>
    <xdr:sp macro="[0]!save06">
      <xdr:nvSpPr>
        <xdr:cNvPr id="24" name="圆角矩形 23"/>
        <xdr:cNvSpPr/>
      </xdr:nvSpPr>
      <xdr:spPr>
        <a:xfrm>
          <a:off x="485965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保存</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7</xdr:col>
      <xdr:colOff>523240</xdr:colOff>
      <xdr:row>1</xdr:row>
      <xdr:rowOff>50800</xdr:rowOff>
    </xdr:from>
    <xdr:to>
      <xdr:col>8</xdr:col>
      <xdr:colOff>304165</xdr:colOff>
      <xdr:row>1</xdr:row>
      <xdr:rowOff>441325</xdr:rowOff>
    </xdr:to>
    <xdr:sp macro="[0]!baocun_show">
      <xdr:nvSpPr>
        <xdr:cNvPr id="25" name="圆角矩形 24"/>
        <xdr:cNvSpPr/>
      </xdr:nvSpPr>
      <xdr:spPr>
        <a:xfrm>
          <a:off x="627634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导出</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3</xdr:col>
      <xdr:colOff>508635</xdr:colOff>
      <xdr:row>0</xdr:row>
      <xdr:rowOff>127000</xdr:rowOff>
    </xdr:from>
    <xdr:to>
      <xdr:col>17</xdr:col>
      <xdr:colOff>132080</xdr:colOff>
      <xdr:row>0</xdr:row>
      <xdr:rowOff>624205</xdr:rowOff>
    </xdr:to>
    <xdr:sp>
      <xdr:nvSpPr>
        <xdr:cNvPr id="2"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4</xdr:col>
      <xdr:colOff>95250</xdr:colOff>
      <xdr:row>0</xdr:row>
      <xdr:rowOff>557530</xdr:rowOff>
    </xdr:to>
    <xdr:sp macro="[0]!asht1">
      <xdr:nvSpPr>
        <xdr:cNvPr id="26"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134620</xdr:colOff>
      <xdr:row>0</xdr:row>
      <xdr:rowOff>203200</xdr:rowOff>
    </xdr:from>
    <xdr:to>
      <xdr:col>4</xdr:col>
      <xdr:colOff>949960</xdr:colOff>
      <xdr:row>0</xdr:row>
      <xdr:rowOff>557530</xdr:rowOff>
    </xdr:to>
    <xdr:sp macro="[0]!asht2">
      <xdr:nvSpPr>
        <xdr:cNvPr id="27"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989330</xdr:colOff>
      <xdr:row>0</xdr:row>
      <xdr:rowOff>203200</xdr:rowOff>
    </xdr:from>
    <xdr:to>
      <xdr:col>5</xdr:col>
      <xdr:colOff>518795</xdr:colOff>
      <xdr:row>0</xdr:row>
      <xdr:rowOff>557530</xdr:rowOff>
    </xdr:to>
    <xdr:sp macro="[0]!asht4">
      <xdr:nvSpPr>
        <xdr:cNvPr id="28"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558165</xdr:colOff>
      <xdr:row>0</xdr:row>
      <xdr:rowOff>203200</xdr:rowOff>
    </xdr:from>
    <xdr:to>
      <xdr:col>6</xdr:col>
      <xdr:colOff>87630</xdr:colOff>
      <xdr:row>0</xdr:row>
      <xdr:rowOff>557530</xdr:rowOff>
    </xdr:to>
    <xdr:sp macro="[0]!asht16">
      <xdr:nvSpPr>
        <xdr:cNvPr id="29"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127000</xdr:colOff>
      <xdr:row>0</xdr:row>
      <xdr:rowOff>203200</xdr:rowOff>
    </xdr:from>
    <xdr:to>
      <xdr:col>6</xdr:col>
      <xdr:colOff>942975</xdr:colOff>
      <xdr:row>0</xdr:row>
      <xdr:rowOff>557530</xdr:rowOff>
    </xdr:to>
    <xdr:sp macro="[0]!asht14">
      <xdr:nvSpPr>
        <xdr:cNvPr id="30"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982345</xdr:colOff>
      <xdr:row>0</xdr:row>
      <xdr:rowOff>203200</xdr:rowOff>
    </xdr:from>
    <xdr:to>
      <xdr:col>7</xdr:col>
      <xdr:colOff>511175</xdr:colOff>
      <xdr:row>0</xdr:row>
      <xdr:rowOff>557530</xdr:rowOff>
    </xdr:to>
    <xdr:sp macro="[0]!asht17">
      <xdr:nvSpPr>
        <xdr:cNvPr id="31"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550545</xdr:colOff>
      <xdr:row>0</xdr:row>
      <xdr:rowOff>203200</xdr:rowOff>
    </xdr:from>
    <xdr:to>
      <xdr:col>8</xdr:col>
      <xdr:colOff>80010</xdr:colOff>
      <xdr:row>0</xdr:row>
      <xdr:rowOff>557530</xdr:rowOff>
    </xdr:to>
    <xdr:sp macro="[0]!asht5">
      <xdr:nvSpPr>
        <xdr:cNvPr id="32"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119380</xdr:colOff>
      <xdr:row>0</xdr:row>
      <xdr:rowOff>203200</xdr:rowOff>
    </xdr:from>
    <xdr:to>
      <xdr:col>8</xdr:col>
      <xdr:colOff>934720</xdr:colOff>
      <xdr:row>0</xdr:row>
      <xdr:rowOff>557530</xdr:rowOff>
    </xdr:to>
    <xdr:sp macro="[0]!asht6">
      <xdr:nvSpPr>
        <xdr:cNvPr id="33" name="8"/>
        <xdr:cNvSpPr/>
      </xdr:nvSpPr>
      <xdr:spPr>
        <a:xfrm>
          <a:off x="7158355" y="203200"/>
          <a:ext cx="81534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明细</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8</xdr:col>
      <xdr:colOff>974090</xdr:colOff>
      <xdr:row>0</xdr:row>
      <xdr:rowOff>203200</xdr:rowOff>
    </xdr:from>
    <xdr:to>
      <xdr:col>9</xdr:col>
      <xdr:colOff>504190</xdr:colOff>
      <xdr:row>0</xdr:row>
      <xdr:rowOff>557530</xdr:rowOff>
    </xdr:to>
    <xdr:sp macro="[0]!asht7">
      <xdr:nvSpPr>
        <xdr:cNvPr id="34"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543560</xdr:colOff>
      <xdr:row>0</xdr:row>
      <xdr:rowOff>203200</xdr:rowOff>
    </xdr:from>
    <xdr:to>
      <xdr:col>10</xdr:col>
      <xdr:colOff>73025</xdr:colOff>
      <xdr:row>0</xdr:row>
      <xdr:rowOff>557530</xdr:rowOff>
    </xdr:to>
    <xdr:sp macro="[0]!asht8">
      <xdr:nvSpPr>
        <xdr:cNvPr id="35"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112395</xdr:colOff>
      <xdr:row>0</xdr:row>
      <xdr:rowOff>203200</xdr:rowOff>
    </xdr:from>
    <xdr:to>
      <xdr:col>10</xdr:col>
      <xdr:colOff>927735</xdr:colOff>
      <xdr:row>0</xdr:row>
      <xdr:rowOff>557530</xdr:rowOff>
    </xdr:to>
    <xdr:sp macro="[0]!asht15">
      <xdr:nvSpPr>
        <xdr:cNvPr id="36"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967105</xdr:colOff>
      <xdr:row>0</xdr:row>
      <xdr:rowOff>203200</xdr:rowOff>
    </xdr:from>
    <xdr:to>
      <xdr:col>11</xdr:col>
      <xdr:colOff>499110</xdr:colOff>
      <xdr:row>0</xdr:row>
      <xdr:rowOff>557530</xdr:rowOff>
    </xdr:to>
    <xdr:sp macro="[0]!asht9">
      <xdr:nvSpPr>
        <xdr:cNvPr id="37"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38" name="文本框 37"/>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明细</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538480</xdr:colOff>
      <xdr:row>0</xdr:row>
      <xdr:rowOff>203200</xdr:rowOff>
    </xdr:from>
    <xdr:to>
      <xdr:col>12</xdr:col>
      <xdr:colOff>70485</xdr:colOff>
      <xdr:row>0</xdr:row>
      <xdr:rowOff>557530</xdr:rowOff>
    </xdr:to>
    <xdr:sp macro="[0]!asht10">
      <xdr:nvSpPr>
        <xdr:cNvPr id="39"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109855</xdr:colOff>
      <xdr:row>0</xdr:row>
      <xdr:rowOff>203200</xdr:rowOff>
    </xdr:from>
    <xdr:to>
      <xdr:col>12</xdr:col>
      <xdr:colOff>927735</xdr:colOff>
      <xdr:row>0</xdr:row>
      <xdr:rowOff>557530</xdr:rowOff>
    </xdr:to>
    <xdr:sp macro="[0]!asht11">
      <xdr:nvSpPr>
        <xdr:cNvPr id="40"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967105</xdr:colOff>
      <xdr:row>0</xdr:row>
      <xdr:rowOff>203200</xdr:rowOff>
    </xdr:from>
    <xdr:to>
      <xdr:col>13</xdr:col>
      <xdr:colOff>499110</xdr:colOff>
      <xdr:row>0</xdr:row>
      <xdr:rowOff>557530</xdr:rowOff>
    </xdr:to>
    <xdr:sp macro="[0]!asht12">
      <xdr:nvSpPr>
        <xdr:cNvPr id="41"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538480</xdr:colOff>
      <xdr:row>0</xdr:row>
      <xdr:rowOff>203200</xdr:rowOff>
    </xdr:from>
    <xdr:to>
      <xdr:col>14</xdr:col>
      <xdr:colOff>70485</xdr:colOff>
      <xdr:row>0</xdr:row>
      <xdr:rowOff>557530</xdr:rowOff>
    </xdr:to>
    <xdr:sp macro="[0]!asht13">
      <xdr:nvSpPr>
        <xdr:cNvPr id="42"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109855</xdr:colOff>
      <xdr:row>0</xdr:row>
      <xdr:rowOff>203200</xdr:rowOff>
    </xdr:from>
    <xdr:to>
      <xdr:col>16</xdr:col>
      <xdr:colOff>670560</xdr:colOff>
      <xdr:row>0</xdr:row>
      <xdr:rowOff>557530</xdr:rowOff>
    </xdr:to>
    <xdr:sp macro="[0]!asht18">
      <xdr:nvSpPr>
        <xdr:cNvPr id="43"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714375</xdr:colOff>
      <xdr:row>1</xdr:row>
      <xdr:rowOff>50800</xdr:rowOff>
    </xdr:from>
    <xdr:to>
      <xdr:col>9</xdr:col>
      <xdr:colOff>637540</xdr:colOff>
      <xdr:row>1</xdr:row>
      <xdr:rowOff>441325</xdr:rowOff>
    </xdr:to>
    <xdr:sp macro="[0]!qrcode06">
      <xdr:nvSpPr>
        <xdr:cNvPr id="3" name="圆角矩形 2"/>
        <xdr:cNvSpPr/>
      </xdr:nvSpPr>
      <xdr:spPr>
        <a:xfrm>
          <a:off x="7753350" y="812800"/>
          <a:ext cx="120904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生成二维码</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9</xdr:col>
      <xdr:colOff>1095375</xdr:colOff>
      <xdr:row>1</xdr:row>
      <xdr:rowOff>50800</xdr:rowOff>
    </xdr:from>
    <xdr:to>
      <xdr:col>10</xdr:col>
      <xdr:colOff>1018540</xdr:colOff>
      <xdr:row>1</xdr:row>
      <xdr:rowOff>441325</xdr:rowOff>
    </xdr:to>
    <xdr:sp macro="[0]!barcode06">
      <xdr:nvSpPr>
        <xdr:cNvPr id="4" name="圆角矩形 3"/>
        <xdr:cNvSpPr/>
      </xdr:nvSpPr>
      <xdr:spPr>
        <a:xfrm>
          <a:off x="9420225" y="812800"/>
          <a:ext cx="120904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生成条形码</a:t>
          </a:r>
          <a:endParaRPr lang="zh-CN" altLang="en-US" sz="1400" b="1">
            <a:latin typeface="等线" panose="02010600030101010101" charset="-122"/>
            <a:ea typeface="等线" panose="02010600030101010101" charset="-122"/>
          </a:endParaRPr>
        </a:p>
      </xdr:txBody>
    </xdr:sp>
    <xdr:clientData fPrintsWithSheet="0"/>
  </xdr:twoCellAnchor>
</xdr:wsDr>
</file>

<file path=xl/drawings/drawing21.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3</xdr:col>
      <xdr:colOff>1066800</xdr:colOff>
      <xdr:row>1</xdr:row>
      <xdr:rowOff>441325</xdr:rowOff>
    </xdr:to>
    <xdr:sp macro="[0]!select07">
      <xdr:nvSpPr>
        <xdr:cNvPr id="20" name="圆角矩形 19"/>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4</xdr:col>
      <xdr:colOff>95250</xdr:colOff>
      <xdr:row>1</xdr:row>
      <xdr:rowOff>50800</xdr:rowOff>
    </xdr:from>
    <xdr:to>
      <xdr:col>4</xdr:col>
      <xdr:colOff>1162050</xdr:colOff>
      <xdr:row>1</xdr:row>
      <xdr:rowOff>441325</xdr:rowOff>
    </xdr:to>
    <xdr:sp macro="[0]!select07_query">
      <xdr:nvSpPr>
        <xdr:cNvPr id="21" name="圆角矩形 20"/>
        <xdr:cNvSpPr/>
      </xdr:nvSpPr>
      <xdr:spPr>
        <a:xfrm>
          <a:off x="19907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5</xdr:col>
      <xdr:colOff>190500</xdr:colOff>
      <xdr:row>1</xdr:row>
      <xdr:rowOff>50800</xdr:rowOff>
    </xdr:from>
    <xdr:to>
      <xdr:col>5</xdr:col>
      <xdr:colOff>1257300</xdr:colOff>
      <xdr:row>1</xdr:row>
      <xdr:rowOff>441325</xdr:rowOff>
    </xdr:to>
    <xdr:sp macro="[0]!baocun_show">
      <xdr:nvSpPr>
        <xdr:cNvPr id="22" name="圆角矩形 21"/>
        <xdr:cNvSpPr/>
      </xdr:nvSpPr>
      <xdr:spPr>
        <a:xfrm>
          <a:off x="33718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导出</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3</xdr:col>
      <xdr:colOff>508635</xdr:colOff>
      <xdr:row>0</xdr:row>
      <xdr:rowOff>127000</xdr:rowOff>
    </xdr:from>
    <xdr:to>
      <xdr:col>14</xdr:col>
      <xdr:colOff>1075055</xdr:colOff>
      <xdr:row>0</xdr:row>
      <xdr:rowOff>624205</xdr:rowOff>
    </xdr:to>
    <xdr:sp>
      <xdr:nvSpPr>
        <xdr:cNvPr id="23"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4</xdr:col>
      <xdr:colOff>95250</xdr:colOff>
      <xdr:row>0</xdr:row>
      <xdr:rowOff>557530</xdr:rowOff>
    </xdr:to>
    <xdr:sp macro="[0]!asht1">
      <xdr:nvSpPr>
        <xdr:cNvPr id="24"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134620</xdr:colOff>
      <xdr:row>0</xdr:row>
      <xdr:rowOff>203200</xdr:rowOff>
    </xdr:from>
    <xdr:to>
      <xdr:col>4</xdr:col>
      <xdr:colOff>949960</xdr:colOff>
      <xdr:row>0</xdr:row>
      <xdr:rowOff>557530</xdr:rowOff>
    </xdr:to>
    <xdr:sp macro="[0]!asht2">
      <xdr:nvSpPr>
        <xdr:cNvPr id="25"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989330</xdr:colOff>
      <xdr:row>0</xdr:row>
      <xdr:rowOff>203200</xdr:rowOff>
    </xdr:from>
    <xdr:to>
      <xdr:col>5</xdr:col>
      <xdr:colOff>518795</xdr:colOff>
      <xdr:row>0</xdr:row>
      <xdr:rowOff>557530</xdr:rowOff>
    </xdr:to>
    <xdr:sp macro="[0]!asht4">
      <xdr:nvSpPr>
        <xdr:cNvPr id="26"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558165</xdr:colOff>
      <xdr:row>0</xdr:row>
      <xdr:rowOff>203200</xdr:rowOff>
    </xdr:from>
    <xdr:to>
      <xdr:col>6</xdr:col>
      <xdr:colOff>87630</xdr:colOff>
      <xdr:row>0</xdr:row>
      <xdr:rowOff>557530</xdr:rowOff>
    </xdr:to>
    <xdr:sp macro="[0]!asht16">
      <xdr:nvSpPr>
        <xdr:cNvPr id="27"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127000</xdr:colOff>
      <xdr:row>0</xdr:row>
      <xdr:rowOff>203200</xdr:rowOff>
    </xdr:from>
    <xdr:to>
      <xdr:col>6</xdr:col>
      <xdr:colOff>942975</xdr:colOff>
      <xdr:row>0</xdr:row>
      <xdr:rowOff>557530</xdr:rowOff>
    </xdr:to>
    <xdr:sp macro="[0]!asht14">
      <xdr:nvSpPr>
        <xdr:cNvPr id="28"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982345</xdr:colOff>
      <xdr:row>0</xdr:row>
      <xdr:rowOff>203200</xdr:rowOff>
    </xdr:from>
    <xdr:to>
      <xdr:col>7</xdr:col>
      <xdr:colOff>511175</xdr:colOff>
      <xdr:row>0</xdr:row>
      <xdr:rowOff>557530</xdr:rowOff>
    </xdr:to>
    <xdr:sp macro="[0]!asht17">
      <xdr:nvSpPr>
        <xdr:cNvPr id="29"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550545</xdr:colOff>
      <xdr:row>0</xdr:row>
      <xdr:rowOff>203200</xdr:rowOff>
    </xdr:from>
    <xdr:to>
      <xdr:col>8</xdr:col>
      <xdr:colOff>80010</xdr:colOff>
      <xdr:row>0</xdr:row>
      <xdr:rowOff>557530</xdr:rowOff>
    </xdr:to>
    <xdr:sp macro="[0]!asht5">
      <xdr:nvSpPr>
        <xdr:cNvPr id="30"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119380</xdr:colOff>
      <xdr:row>0</xdr:row>
      <xdr:rowOff>203200</xdr:rowOff>
    </xdr:from>
    <xdr:to>
      <xdr:col>8</xdr:col>
      <xdr:colOff>934720</xdr:colOff>
      <xdr:row>0</xdr:row>
      <xdr:rowOff>557530</xdr:rowOff>
    </xdr:to>
    <xdr:sp macro="[0]!asht6">
      <xdr:nvSpPr>
        <xdr:cNvPr id="31"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974090</xdr:colOff>
      <xdr:row>0</xdr:row>
      <xdr:rowOff>203200</xdr:rowOff>
    </xdr:from>
    <xdr:to>
      <xdr:col>9</xdr:col>
      <xdr:colOff>504190</xdr:colOff>
      <xdr:row>0</xdr:row>
      <xdr:rowOff>557530</xdr:rowOff>
    </xdr:to>
    <xdr:sp macro="[0]!asht7">
      <xdr:nvSpPr>
        <xdr:cNvPr id="32" name="9"/>
        <xdr:cNvSpPr/>
      </xdr:nvSpPr>
      <xdr:spPr>
        <a:xfrm>
          <a:off x="8013065" y="203200"/>
          <a:ext cx="815975"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进销存</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9</xdr:col>
      <xdr:colOff>543560</xdr:colOff>
      <xdr:row>0</xdr:row>
      <xdr:rowOff>203200</xdr:rowOff>
    </xdr:from>
    <xdr:to>
      <xdr:col>10</xdr:col>
      <xdr:colOff>73025</xdr:colOff>
      <xdr:row>0</xdr:row>
      <xdr:rowOff>557530</xdr:rowOff>
    </xdr:to>
    <xdr:sp macro="[0]!asht8">
      <xdr:nvSpPr>
        <xdr:cNvPr id="33"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112395</xdr:colOff>
      <xdr:row>0</xdr:row>
      <xdr:rowOff>203200</xdr:rowOff>
    </xdr:from>
    <xdr:to>
      <xdr:col>10</xdr:col>
      <xdr:colOff>927735</xdr:colOff>
      <xdr:row>0</xdr:row>
      <xdr:rowOff>557530</xdr:rowOff>
    </xdr:to>
    <xdr:sp macro="[0]!asht15">
      <xdr:nvSpPr>
        <xdr:cNvPr id="34"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967105</xdr:colOff>
      <xdr:row>0</xdr:row>
      <xdr:rowOff>203200</xdr:rowOff>
    </xdr:from>
    <xdr:to>
      <xdr:col>11</xdr:col>
      <xdr:colOff>499110</xdr:colOff>
      <xdr:row>0</xdr:row>
      <xdr:rowOff>557530</xdr:rowOff>
    </xdr:to>
    <xdr:sp macro="[0]!asht9">
      <xdr:nvSpPr>
        <xdr:cNvPr id="35"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36" name="文本框 35"/>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进销存</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538480</xdr:colOff>
      <xdr:row>0</xdr:row>
      <xdr:rowOff>203200</xdr:rowOff>
    </xdr:from>
    <xdr:to>
      <xdr:col>12</xdr:col>
      <xdr:colOff>70485</xdr:colOff>
      <xdr:row>0</xdr:row>
      <xdr:rowOff>557530</xdr:rowOff>
    </xdr:to>
    <xdr:sp macro="[0]!asht10">
      <xdr:nvSpPr>
        <xdr:cNvPr id="37"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109855</xdr:colOff>
      <xdr:row>0</xdr:row>
      <xdr:rowOff>203200</xdr:rowOff>
    </xdr:from>
    <xdr:to>
      <xdr:col>12</xdr:col>
      <xdr:colOff>927735</xdr:colOff>
      <xdr:row>0</xdr:row>
      <xdr:rowOff>557530</xdr:rowOff>
    </xdr:to>
    <xdr:sp macro="[0]!asht11">
      <xdr:nvSpPr>
        <xdr:cNvPr id="38"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967105</xdr:colOff>
      <xdr:row>0</xdr:row>
      <xdr:rowOff>203200</xdr:rowOff>
    </xdr:from>
    <xdr:to>
      <xdr:col>13</xdr:col>
      <xdr:colOff>499110</xdr:colOff>
      <xdr:row>0</xdr:row>
      <xdr:rowOff>557530</xdr:rowOff>
    </xdr:to>
    <xdr:sp macro="[0]!asht12">
      <xdr:nvSpPr>
        <xdr:cNvPr id="39"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538480</xdr:colOff>
      <xdr:row>0</xdr:row>
      <xdr:rowOff>203200</xdr:rowOff>
    </xdr:from>
    <xdr:to>
      <xdr:col>14</xdr:col>
      <xdr:colOff>70485</xdr:colOff>
      <xdr:row>0</xdr:row>
      <xdr:rowOff>557530</xdr:rowOff>
    </xdr:to>
    <xdr:sp macro="[0]!asht13">
      <xdr:nvSpPr>
        <xdr:cNvPr id="40"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109855</xdr:colOff>
      <xdr:row>0</xdr:row>
      <xdr:rowOff>203200</xdr:rowOff>
    </xdr:from>
    <xdr:to>
      <xdr:col>14</xdr:col>
      <xdr:colOff>927735</xdr:colOff>
      <xdr:row>0</xdr:row>
      <xdr:rowOff>557530</xdr:rowOff>
    </xdr:to>
    <xdr:sp macro="[0]!asht18">
      <xdr:nvSpPr>
        <xdr:cNvPr id="41"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buNone/>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22.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3</xdr:col>
      <xdr:colOff>1066800</xdr:colOff>
      <xdr:row>1</xdr:row>
      <xdr:rowOff>441325</xdr:rowOff>
    </xdr:to>
    <xdr:sp macro="[0]!jinchu_kehu_query">
      <xdr:nvSpPr>
        <xdr:cNvPr id="20" name="圆角矩形 19"/>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客户查询</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3</xdr:col>
      <xdr:colOff>1219200</xdr:colOff>
      <xdr:row>1</xdr:row>
      <xdr:rowOff>50800</xdr:rowOff>
    </xdr:from>
    <xdr:to>
      <xdr:col>4</xdr:col>
      <xdr:colOff>1000125</xdr:colOff>
      <xdr:row>1</xdr:row>
      <xdr:rowOff>441325</xdr:rowOff>
    </xdr:to>
    <xdr:sp macro="[0]!print_out1">
      <xdr:nvSpPr>
        <xdr:cNvPr id="21" name="圆角矩形 20"/>
        <xdr:cNvSpPr/>
      </xdr:nvSpPr>
      <xdr:spPr>
        <a:xfrm>
          <a:off x="18288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打印</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508635</xdr:colOff>
      <xdr:row>0</xdr:row>
      <xdr:rowOff>127000</xdr:rowOff>
    </xdr:from>
    <xdr:to>
      <xdr:col>20</xdr:col>
      <xdr:colOff>389255</xdr:colOff>
      <xdr:row>0</xdr:row>
      <xdr:rowOff>624205</xdr:rowOff>
    </xdr:to>
    <xdr:sp>
      <xdr:nvSpPr>
        <xdr:cNvPr id="22"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4</xdr:col>
      <xdr:colOff>95250</xdr:colOff>
      <xdr:row>0</xdr:row>
      <xdr:rowOff>557530</xdr:rowOff>
    </xdr:to>
    <xdr:sp macro="[0]!asht1">
      <xdr:nvSpPr>
        <xdr:cNvPr id="23"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134620</xdr:colOff>
      <xdr:row>0</xdr:row>
      <xdr:rowOff>203200</xdr:rowOff>
    </xdr:from>
    <xdr:to>
      <xdr:col>4</xdr:col>
      <xdr:colOff>949960</xdr:colOff>
      <xdr:row>0</xdr:row>
      <xdr:rowOff>557530</xdr:rowOff>
    </xdr:to>
    <xdr:sp macro="[0]!asht2">
      <xdr:nvSpPr>
        <xdr:cNvPr id="24"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989330</xdr:colOff>
      <xdr:row>0</xdr:row>
      <xdr:rowOff>203200</xdr:rowOff>
    </xdr:from>
    <xdr:to>
      <xdr:col>5</xdr:col>
      <xdr:colOff>518795</xdr:colOff>
      <xdr:row>0</xdr:row>
      <xdr:rowOff>557530</xdr:rowOff>
    </xdr:to>
    <xdr:sp macro="[0]!asht4">
      <xdr:nvSpPr>
        <xdr:cNvPr id="25"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558165</xdr:colOff>
      <xdr:row>0</xdr:row>
      <xdr:rowOff>203200</xdr:rowOff>
    </xdr:from>
    <xdr:to>
      <xdr:col>6</xdr:col>
      <xdr:colOff>87630</xdr:colOff>
      <xdr:row>0</xdr:row>
      <xdr:rowOff>557530</xdr:rowOff>
    </xdr:to>
    <xdr:sp macro="[0]!asht16">
      <xdr:nvSpPr>
        <xdr:cNvPr id="26"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127000</xdr:colOff>
      <xdr:row>0</xdr:row>
      <xdr:rowOff>203200</xdr:rowOff>
    </xdr:from>
    <xdr:to>
      <xdr:col>6</xdr:col>
      <xdr:colOff>942975</xdr:colOff>
      <xdr:row>0</xdr:row>
      <xdr:rowOff>557530</xdr:rowOff>
    </xdr:to>
    <xdr:sp macro="[0]!asht14">
      <xdr:nvSpPr>
        <xdr:cNvPr id="27"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982345</xdr:colOff>
      <xdr:row>0</xdr:row>
      <xdr:rowOff>203200</xdr:rowOff>
    </xdr:from>
    <xdr:to>
      <xdr:col>7</xdr:col>
      <xdr:colOff>511175</xdr:colOff>
      <xdr:row>0</xdr:row>
      <xdr:rowOff>557530</xdr:rowOff>
    </xdr:to>
    <xdr:sp macro="[0]!asht17">
      <xdr:nvSpPr>
        <xdr:cNvPr id="28"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550545</xdr:colOff>
      <xdr:row>0</xdr:row>
      <xdr:rowOff>203200</xdr:rowOff>
    </xdr:from>
    <xdr:to>
      <xdr:col>8</xdr:col>
      <xdr:colOff>80010</xdr:colOff>
      <xdr:row>0</xdr:row>
      <xdr:rowOff>557530</xdr:rowOff>
    </xdr:to>
    <xdr:sp macro="[0]!asht5">
      <xdr:nvSpPr>
        <xdr:cNvPr id="29"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119380</xdr:colOff>
      <xdr:row>0</xdr:row>
      <xdr:rowOff>203200</xdr:rowOff>
    </xdr:from>
    <xdr:to>
      <xdr:col>8</xdr:col>
      <xdr:colOff>934720</xdr:colOff>
      <xdr:row>0</xdr:row>
      <xdr:rowOff>557530</xdr:rowOff>
    </xdr:to>
    <xdr:sp macro="[0]!asht6">
      <xdr:nvSpPr>
        <xdr:cNvPr id="30"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974090</xdr:colOff>
      <xdr:row>0</xdr:row>
      <xdr:rowOff>203200</xdr:rowOff>
    </xdr:from>
    <xdr:to>
      <xdr:col>10</xdr:col>
      <xdr:colOff>247015</xdr:colOff>
      <xdr:row>0</xdr:row>
      <xdr:rowOff>557530</xdr:rowOff>
    </xdr:to>
    <xdr:sp macro="[0]!asht7">
      <xdr:nvSpPr>
        <xdr:cNvPr id="31"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286385</xdr:colOff>
      <xdr:row>0</xdr:row>
      <xdr:rowOff>203200</xdr:rowOff>
    </xdr:from>
    <xdr:to>
      <xdr:col>11</xdr:col>
      <xdr:colOff>415925</xdr:colOff>
      <xdr:row>0</xdr:row>
      <xdr:rowOff>557530</xdr:rowOff>
    </xdr:to>
    <xdr:sp macro="[0]!asht8">
      <xdr:nvSpPr>
        <xdr:cNvPr id="32" name="10"/>
        <xdr:cNvSpPr/>
      </xdr:nvSpPr>
      <xdr:spPr>
        <a:xfrm>
          <a:off x="8868410" y="203200"/>
          <a:ext cx="81534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客户\供应商</a:t>
          </a:r>
          <a:endParaRPr lang="zh-CN" altLang="en-US" sz="1000" b="1">
            <a:latin typeface="微软雅黑" panose="020B0503020204020204" charset="-122"/>
            <a:ea typeface="微软雅黑" panose="020B0503020204020204" charset="-122"/>
          </a:endParaRPr>
        </a:p>
        <a:p>
          <a:pPr algn="ctr">
            <a:buClrTx/>
            <a:buSzTx/>
            <a:buFontTx/>
          </a:pP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11</xdr:col>
      <xdr:colOff>455295</xdr:colOff>
      <xdr:row>0</xdr:row>
      <xdr:rowOff>203200</xdr:rowOff>
    </xdr:from>
    <xdr:to>
      <xdr:col>12</xdr:col>
      <xdr:colOff>584835</xdr:colOff>
      <xdr:row>0</xdr:row>
      <xdr:rowOff>557530</xdr:rowOff>
    </xdr:to>
    <xdr:sp macro="[0]!asht15">
      <xdr:nvSpPr>
        <xdr:cNvPr id="33"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624205</xdr:colOff>
      <xdr:row>0</xdr:row>
      <xdr:rowOff>203200</xdr:rowOff>
    </xdr:from>
    <xdr:to>
      <xdr:col>14</xdr:col>
      <xdr:colOff>70485</xdr:colOff>
      <xdr:row>0</xdr:row>
      <xdr:rowOff>557530</xdr:rowOff>
    </xdr:to>
    <xdr:sp macro="[0]!asht9">
      <xdr:nvSpPr>
        <xdr:cNvPr id="34"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35" name="文本框 34"/>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客户</a:t>
          </a:r>
          <a:r>
            <a:rPr lang="en-US" altLang="zh-CN"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a:t>
          </a: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供应商</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查询</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14</xdr:col>
      <xdr:colOff>109855</xdr:colOff>
      <xdr:row>0</xdr:row>
      <xdr:rowOff>203200</xdr:rowOff>
    </xdr:from>
    <xdr:to>
      <xdr:col>15</xdr:col>
      <xdr:colOff>241935</xdr:colOff>
      <xdr:row>0</xdr:row>
      <xdr:rowOff>557530</xdr:rowOff>
    </xdr:to>
    <xdr:sp macro="[0]!asht10">
      <xdr:nvSpPr>
        <xdr:cNvPr id="36"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281305</xdr:colOff>
      <xdr:row>0</xdr:row>
      <xdr:rowOff>203200</xdr:rowOff>
    </xdr:from>
    <xdr:to>
      <xdr:col>16</xdr:col>
      <xdr:colOff>413385</xdr:colOff>
      <xdr:row>0</xdr:row>
      <xdr:rowOff>557530</xdr:rowOff>
    </xdr:to>
    <xdr:sp macro="[0]!asht11">
      <xdr:nvSpPr>
        <xdr:cNvPr id="37"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452755</xdr:colOff>
      <xdr:row>0</xdr:row>
      <xdr:rowOff>203200</xdr:rowOff>
    </xdr:from>
    <xdr:to>
      <xdr:col>17</xdr:col>
      <xdr:colOff>584835</xdr:colOff>
      <xdr:row>0</xdr:row>
      <xdr:rowOff>557530</xdr:rowOff>
    </xdr:to>
    <xdr:sp macro="[0]!asht12">
      <xdr:nvSpPr>
        <xdr:cNvPr id="38"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17</xdr:col>
      <xdr:colOff>624205</xdr:colOff>
      <xdr:row>0</xdr:row>
      <xdr:rowOff>203200</xdr:rowOff>
    </xdr:from>
    <xdr:to>
      <xdr:col>19</xdr:col>
      <xdr:colOff>70485</xdr:colOff>
      <xdr:row>0</xdr:row>
      <xdr:rowOff>557530</xdr:rowOff>
    </xdr:to>
    <xdr:sp macro="[0]!asht13">
      <xdr:nvSpPr>
        <xdr:cNvPr id="39"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109855</xdr:colOff>
      <xdr:row>0</xdr:row>
      <xdr:rowOff>203200</xdr:rowOff>
    </xdr:from>
    <xdr:to>
      <xdr:col>20</xdr:col>
      <xdr:colOff>241935</xdr:colOff>
      <xdr:row>0</xdr:row>
      <xdr:rowOff>557530</xdr:rowOff>
    </xdr:to>
    <xdr:sp macro="[0]!asht18">
      <xdr:nvSpPr>
        <xdr:cNvPr id="40" name="12"/>
        <xdr:cNvSpPr/>
      </xdr:nvSpPr>
      <xdr:spPr>
        <a:xfrm>
          <a:off x="14864080" y="203200"/>
          <a:ext cx="81788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buNone/>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23.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3</xdr:col>
      <xdr:colOff>1066800</xdr:colOff>
      <xdr:row>1</xdr:row>
      <xdr:rowOff>441325</xdr:rowOff>
    </xdr:to>
    <xdr:sp macro="[0]!jinchu_item_query">
      <xdr:nvSpPr>
        <xdr:cNvPr id="21" name="圆角矩形 20"/>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商品查询</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4</xdr:col>
      <xdr:colOff>0</xdr:colOff>
      <xdr:row>1</xdr:row>
      <xdr:rowOff>50800</xdr:rowOff>
    </xdr:from>
    <xdr:to>
      <xdr:col>4</xdr:col>
      <xdr:colOff>1066800</xdr:colOff>
      <xdr:row>1</xdr:row>
      <xdr:rowOff>441325</xdr:rowOff>
    </xdr:to>
    <xdr:sp macro="[0]!print_out2">
      <xdr:nvSpPr>
        <xdr:cNvPr id="3" name="圆角矩形 2"/>
        <xdr:cNvSpPr/>
      </xdr:nvSpPr>
      <xdr:spPr>
        <a:xfrm>
          <a:off x="20478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打印</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508635</xdr:colOff>
      <xdr:row>0</xdr:row>
      <xdr:rowOff>127000</xdr:rowOff>
    </xdr:from>
    <xdr:to>
      <xdr:col>19</xdr:col>
      <xdr:colOff>322580</xdr:colOff>
      <xdr:row>0</xdr:row>
      <xdr:rowOff>624205</xdr:rowOff>
    </xdr:to>
    <xdr:sp>
      <xdr:nvSpPr>
        <xdr:cNvPr id="41"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3</xdr:col>
      <xdr:colOff>1381125</xdr:colOff>
      <xdr:row>0</xdr:row>
      <xdr:rowOff>557530</xdr:rowOff>
    </xdr:to>
    <xdr:sp macro="[0]!asht1">
      <xdr:nvSpPr>
        <xdr:cNvPr id="42"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1420495</xdr:colOff>
      <xdr:row>0</xdr:row>
      <xdr:rowOff>203200</xdr:rowOff>
    </xdr:from>
    <xdr:to>
      <xdr:col>4</xdr:col>
      <xdr:colOff>797560</xdr:colOff>
      <xdr:row>0</xdr:row>
      <xdr:rowOff>557530</xdr:rowOff>
    </xdr:to>
    <xdr:sp macro="[0]!asht2">
      <xdr:nvSpPr>
        <xdr:cNvPr id="43"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836930</xdr:colOff>
      <xdr:row>0</xdr:row>
      <xdr:rowOff>203200</xdr:rowOff>
    </xdr:from>
    <xdr:to>
      <xdr:col>5</xdr:col>
      <xdr:colOff>366395</xdr:colOff>
      <xdr:row>0</xdr:row>
      <xdr:rowOff>557530</xdr:rowOff>
    </xdr:to>
    <xdr:sp macro="[0]!asht4">
      <xdr:nvSpPr>
        <xdr:cNvPr id="44"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405765</xdr:colOff>
      <xdr:row>0</xdr:row>
      <xdr:rowOff>203200</xdr:rowOff>
    </xdr:from>
    <xdr:to>
      <xdr:col>5</xdr:col>
      <xdr:colOff>1221105</xdr:colOff>
      <xdr:row>0</xdr:row>
      <xdr:rowOff>557530</xdr:rowOff>
    </xdr:to>
    <xdr:sp macro="[0]!asht16">
      <xdr:nvSpPr>
        <xdr:cNvPr id="45"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1260475</xdr:colOff>
      <xdr:row>0</xdr:row>
      <xdr:rowOff>203200</xdr:rowOff>
    </xdr:from>
    <xdr:to>
      <xdr:col>6</xdr:col>
      <xdr:colOff>790575</xdr:colOff>
      <xdr:row>0</xdr:row>
      <xdr:rowOff>557530</xdr:rowOff>
    </xdr:to>
    <xdr:sp macro="[0]!asht14">
      <xdr:nvSpPr>
        <xdr:cNvPr id="46"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829945</xdr:colOff>
      <xdr:row>0</xdr:row>
      <xdr:rowOff>203200</xdr:rowOff>
    </xdr:from>
    <xdr:to>
      <xdr:col>7</xdr:col>
      <xdr:colOff>358775</xdr:colOff>
      <xdr:row>0</xdr:row>
      <xdr:rowOff>557530</xdr:rowOff>
    </xdr:to>
    <xdr:sp macro="[0]!asht17">
      <xdr:nvSpPr>
        <xdr:cNvPr id="47"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398145</xdr:colOff>
      <xdr:row>0</xdr:row>
      <xdr:rowOff>203200</xdr:rowOff>
    </xdr:from>
    <xdr:to>
      <xdr:col>7</xdr:col>
      <xdr:colOff>1213485</xdr:colOff>
      <xdr:row>0</xdr:row>
      <xdr:rowOff>557530</xdr:rowOff>
    </xdr:to>
    <xdr:sp macro="[0]!asht5">
      <xdr:nvSpPr>
        <xdr:cNvPr id="48"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1252855</xdr:colOff>
      <xdr:row>0</xdr:row>
      <xdr:rowOff>203200</xdr:rowOff>
    </xdr:from>
    <xdr:to>
      <xdr:col>8</xdr:col>
      <xdr:colOff>782320</xdr:colOff>
      <xdr:row>0</xdr:row>
      <xdr:rowOff>557530</xdr:rowOff>
    </xdr:to>
    <xdr:sp macro="[0]!asht6">
      <xdr:nvSpPr>
        <xdr:cNvPr id="49"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821690</xdr:colOff>
      <xdr:row>0</xdr:row>
      <xdr:rowOff>203200</xdr:rowOff>
    </xdr:from>
    <xdr:to>
      <xdr:col>9</xdr:col>
      <xdr:colOff>351790</xdr:colOff>
      <xdr:row>0</xdr:row>
      <xdr:rowOff>557530</xdr:rowOff>
    </xdr:to>
    <xdr:sp macro="[0]!asht7">
      <xdr:nvSpPr>
        <xdr:cNvPr id="50"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391160</xdr:colOff>
      <xdr:row>0</xdr:row>
      <xdr:rowOff>203200</xdr:rowOff>
    </xdr:from>
    <xdr:to>
      <xdr:col>9</xdr:col>
      <xdr:colOff>1206500</xdr:colOff>
      <xdr:row>0</xdr:row>
      <xdr:rowOff>557530</xdr:rowOff>
    </xdr:to>
    <xdr:sp macro="[0]!asht8">
      <xdr:nvSpPr>
        <xdr:cNvPr id="51"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1245870</xdr:colOff>
      <xdr:row>0</xdr:row>
      <xdr:rowOff>203200</xdr:rowOff>
    </xdr:from>
    <xdr:to>
      <xdr:col>11</xdr:col>
      <xdr:colOff>518160</xdr:colOff>
      <xdr:row>0</xdr:row>
      <xdr:rowOff>557530</xdr:rowOff>
    </xdr:to>
    <xdr:sp macro="[0]!asht15">
      <xdr:nvSpPr>
        <xdr:cNvPr id="52" name="11"/>
        <xdr:cNvSpPr/>
      </xdr:nvSpPr>
      <xdr:spPr>
        <a:xfrm>
          <a:off x="9723120" y="203200"/>
          <a:ext cx="81534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商品进出</a:t>
          </a:r>
          <a:endParaRPr lang="zh-CN" altLang="en-US" sz="1000" b="1">
            <a:latin typeface="微软雅黑" panose="020B0503020204020204" charset="-122"/>
            <a:ea typeface="微软雅黑" panose="020B0503020204020204" charset="-122"/>
          </a:endParaRPr>
        </a:p>
        <a:p>
          <a:pPr algn="ctr">
            <a:buClrTx/>
            <a:buSzTx/>
            <a:buFontTx/>
          </a:pP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11</xdr:col>
      <xdr:colOff>557530</xdr:colOff>
      <xdr:row>0</xdr:row>
      <xdr:rowOff>203200</xdr:rowOff>
    </xdr:from>
    <xdr:to>
      <xdr:col>13</xdr:col>
      <xdr:colOff>3810</xdr:colOff>
      <xdr:row>0</xdr:row>
      <xdr:rowOff>557530</xdr:rowOff>
    </xdr:to>
    <xdr:sp macro="[0]!asht9">
      <xdr:nvSpPr>
        <xdr:cNvPr id="53"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54" name="文本框 53"/>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商品进出</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查询</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13</xdr:col>
      <xdr:colOff>43180</xdr:colOff>
      <xdr:row>0</xdr:row>
      <xdr:rowOff>203200</xdr:rowOff>
    </xdr:from>
    <xdr:to>
      <xdr:col>14</xdr:col>
      <xdr:colOff>175260</xdr:colOff>
      <xdr:row>0</xdr:row>
      <xdr:rowOff>557530</xdr:rowOff>
    </xdr:to>
    <xdr:sp macro="[0]!asht10">
      <xdr:nvSpPr>
        <xdr:cNvPr id="55"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214630</xdr:colOff>
      <xdr:row>0</xdr:row>
      <xdr:rowOff>203200</xdr:rowOff>
    </xdr:from>
    <xdr:to>
      <xdr:col>15</xdr:col>
      <xdr:colOff>346710</xdr:colOff>
      <xdr:row>0</xdr:row>
      <xdr:rowOff>557530</xdr:rowOff>
    </xdr:to>
    <xdr:sp macro="[0]!asht11">
      <xdr:nvSpPr>
        <xdr:cNvPr id="56"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386080</xdr:colOff>
      <xdr:row>0</xdr:row>
      <xdr:rowOff>203200</xdr:rowOff>
    </xdr:from>
    <xdr:to>
      <xdr:col>16</xdr:col>
      <xdr:colOff>518160</xdr:colOff>
      <xdr:row>0</xdr:row>
      <xdr:rowOff>557530</xdr:rowOff>
    </xdr:to>
    <xdr:sp macro="[0]!asht12">
      <xdr:nvSpPr>
        <xdr:cNvPr id="57"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557530</xdr:colOff>
      <xdr:row>0</xdr:row>
      <xdr:rowOff>203200</xdr:rowOff>
    </xdr:from>
    <xdr:to>
      <xdr:col>18</xdr:col>
      <xdr:colOff>3810</xdr:colOff>
      <xdr:row>0</xdr:row>
      <xdr:rowOff>557530</xdr:rowOff>
    </xdr:to>
    <xdr:sp macro="[0]!asht13">
      <xdr:nvSpPr>
        <xdr:cNvPr id="58"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43180</xdr:colOff>
      <xdr:row>0</xdr:row>
      <xdr:rowOff>203200</xdr:rowOff>
    </xdr:from>
    <xdr:to>
      <xdr:col>19</xdr:col>
      <xdr:colOff>175260</xdr:colOff>
      <xdr:row>0</xdr:row>
      <xdr:rowOff>557530</xdr:rowOff>
    </xdr:to>
    <xdr:sp macro="[0]!asht18">
      <xdr:nvSpPr>
        <xdr:cNvPr id="59"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24.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3</xdr:col>
      <xdr:colOff>1066800</xdr:colOff>
      <xdr:row>1</xdr:row>
      <xdr:rowOff>441325</xdr:rowOff>
    </xdr:to>
    <xdr:sp macro="[0]!select09">
      <xdr:nvSpPr>
        <xdr:cNvPr id="20" name="圆角矩形 19"/>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4</xdr:col>
      <xdr:colOff>139700</xdr:colOff>
      <xdr:row>1</xdr:row>
      <xdr:rowOff>50800</xdr:rowOff>
    </xdr:from>
    <xdr:to>
      <xdr:col>4</xdr:col>
      <xdr:colOff>1206500</xdr:colOff>
      <xdr:row>1</xdr:row>
      <xdr:rowOff>441325</xdr:rowOff>
    </xdr:to>
    <xdr:sp macro="[0]!save09">
      <xdr:nvSpPr>
        <xdr:cNvPr id="21" name="圆角矩形 20"/>
        <xdr:cNvSpPr/>
      </xdr:nvSpPr>
      <xdr:spPr>
        <a:xfrm>
          <a:off x="20351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保存</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5</xdr:col>
      <xdr:colOff>279400</xdr:colOff>
      <xdr:row>1</xdr:row>
      <xdr:rowOff>50800</xdr:rowOff>
    </xdr:from>
    <xdr:to>
      <xdr:col>6</xdr:col>
      <xdr:colOff>60325</xdr:colOff>
      <xdr:row>1</xdr:row>
      <xdr:rowOff>441325</xdr:rowOff>
    </xdr:to>
    <xdr:sp macro="[0]!PLSC">
      <xdr:nvSpPr>
        <xdr:cNvPr id="22" name="圆角矩形 21"/>
        <xdr:cNvSpPr/>
      </xdr:nvSpPr>
      <xdr:spPr>
        <a:xfrm>
          <a:off x="34607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6</xdr:col>
      <xdr:colOff>381000</xdr:colOff>
      <xdr:row>1</xdr:row>
      <xdr:rowOff>50800</xdr:rowOff>
    </xdr:from>
    <xdr:to>
      <xdr:col>7</xdr:col>
      <xdr:colOff>161925</xdr:colOff>
      <xdr:row>1</xdr:row>
      <xdr:rowOff>441325</xdr:rowOff>
    </xdr:to>
    <xdr:sp macro="[0]!query_09_show">
      <xdr:nvSpPr>
        <xdr:cNvPr id="23" name="圆角矩形 22"/>
        <xdr:cNvSpPr/>
      </xdr:nvSpPr>
      <xdr:spPr>
        <a:xfrm>
          <a:off x="4848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7</xdr:col>
      <xdr:colOff>523875</xdr:colOff>
      <xdr:row>1</xdr:row>
      <xdr:rowOff>50800</xdr:rowOff>
    </xdr:from>
    <xdr:to>
      <xdr:col>8</xdr:col>
      <xdr:colOff>447040</xdr:colOff>
      <xdr:row>1</xdr:row>
      <xdr:rowOff>441325</xdr:rowOff>
    </xdr:to>
    <xdr:sp macro="[0]!barcode09">
      <xdr:nvSpPr>
        <xdr:cNvPr id="24" name="圆角矩形 23"/>
        <xdr:cNvSpPr/>
      </xdr:nvSpPr>
      <xdr:spPr>
        <a:xfrm>
          <a:off x="6276975" y="812800"/>
          <a:ext cx="120904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生成二维码</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3</xdr:col>
      <xdr:colOff>508635</xdr:colOff>
      <xdr:row>0</xdr:row>
      <xdr:rowOff>127000</xdr:rowOff>
    </xdr:from>
    <xdr:to>
      <xdr:col>18</xdr:col>
      <xdr:colOff>646430</xdr:colOff>
      <xdr:row>0</xdr:row>
      <xdr:rowOff>624205</xdr:rowOff>
    </xdr:to>
    <xdr:sp>
      <xdr:nvSpPr>
        <xdr:cNvPr id="25"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4</xdr:col>
      <xdr:colOff>95250</xdr:colOff>
      <xdr:row>0</xdr:row>
      <xdr:rowOff>557530</xdr:rowOff>
    </xdr:to>
    <xdr:sp macro="[0]!asht1">
      <xdr:nvSpPr>
        <xdr:cNvPr id="26"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134620</xdr:colOff>
      <xdr:row>0</xdr:row>
      <xdr:rowOff>203200</xdr:rowOff>
    </xdr:from>
    <xdr:to>
      <xdr:col>4</xdr:col>
      <xdr:colOff>949960</xdr:colOff>
      <xdr:row>0</xdr:row>
      <xdr:rowOff>557530</xdr:rowOff>
    </xdr:to>
    <xdr:sp macro="[0]!asht2">
      <xdr:nvSpPr>
        <xdr:cNvPr id="27"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989330</xdr:colOff>
      <xdr:row>0</xdr:row>
      <xdr:rowOff>203200</xdr:rowOff>
    </xdr:from>
    <xdr:to>
      <xdr:col>5</xdr:col>
      <xdr:colOff>518795</xdr:colOff>
      <xdr:row>0</xdr:row>
      <xdr:rowOff>557530</xdr:rowOff>
    </xdr:to>
    <xdr:sp macro="[0]!asht4">
      <xdr:nvSpPr>
        <xdr:cNvPr id="28"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558165</xdr:colOff>
      <xdr:row>0</xdr:row>
      <xdr:rowOff>203200</xdr:rowOff>
    </xdr:from>
    <xdr:to>
      <xdr:col>6</xdr:col>
      <xdr:colOff>87630</xdr:colOff>
      <xdr:row>0</xdr:row>
      <xdr:rowOff>557530</xdr:rowOff>
    </xdr:to>
    <xdr:sp macro="[0]!asht16">
      <xdr:nvSpPr>
        <xdr:cNvPr id="29"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127000</xdr:colOff>
      <xdr:row>0</xdr:row>
      <xdr:rowOff>203200</xdr:rowOff>
    </xdr:from>
    <xdr:to>
      <xdr:col>6</xdr:col>
      <xdr:colOff>942975</xdr:colOff>
      <xdr:row>0</xdr:row>
      <xdr:rowOff>557530</xdr:rowOff>
    </xdr:to>
    <xdr:sp macro="[0]!asht14">
      <xdr:nvSpPr>
        <xdr:cNvPr id="30"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982345</xdr:colOff>
      <xdr:row>0</xdr:row>
      <xdr:rowOff>203200</xdr:rowOff>
    </xdr:from>
    <xdr:to>
      <xdr:col>7</xdr:col>
      <xdr:colOff>511175</xdr:colOff>
      <xdr:row>0</xdr:row>
      <xdr:rowOff>557530</xdr:rowOff>
    </xdr:to>
    <xdr:sp macro="[0]!asht17">
      <xdr:nvSpPr>
        <xdr:cNvPr id="31"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550545</xdr:colOff>
      <xdr:row>0</xdr:row>
      <xdr:rowOff>203200</xdr:rowOff>
    </xdr:from>
    <xdr:to>
      <xdr:col>8</xdr:col>
      <xdr:colOff>80010</xdr:colOff>
      <xdr:row>0</xdr:row>
      <xdr:rowOff>557530</xdr:rowOff>
    </xdr:to>
    <xdr:sp macro="[0]!asht5">
      <xdr:nvSpPr>
        <xdr:cNvPr id="32"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119380</xdr:colOff>
      <xdr:row>0</xdr:row>
      <xdr:rowOff>203200</xdr:rowOff>
    </xdr:from>
    <xdr:to>
      <xdr:col>8</xdr:col>
      <xdr:colOff>934720</xdr:colOff>
      <xdr:row>0</xdr:row>
      <xdr:rowOff>557530</xdr:rowOff>
    </xdr:to>
    <xdr:sp macro="[0]!asht6">
      <xdr:nvSpPr>
        <xdr:cNvPr id="33"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974090</xdr:colOff>
      <xdr:row>0</xdr:row>
      <xdr:rowOff>203200</xdr:rowOff>
    </xdr:from>
    <xdr:to>
      <xdr:col>9</xdr:col>
      <xdr:colOff>504190</xdr:colOff>
      <xdr:row>0</xdr:row>
      <xdr:rowOff>557530</xdr:rowOff>
    </xdr:to>
    <xdr:sp macro="[0]!asht7">
      <xdr:nvSpPr>
        <xdr:cNvPr id="34"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543560</xdr:colOff>
      <xdr:row>0</xdr:row>
      <xdr:rowOff>203200</xdr:rowOff>
    </xdr:from>
    <xdr:to>
      <xdr:col>10</xdr:col>
      <xdr:colOff>73025</xdr:colOff>
      <xdr:row>0</xdr:row>
      <xdr:rowOff>557530</xdr:rowOff>
    </xdr:to>
    <xdr:sp macro="[0]!asht8">
      <xdr:nvSpPr>
        <xdr:cNvPr id="35"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112395</xdr:colOff>
      <xdr:row>0</xdr:row>
      <xdr:rowOff>203200</xdr:rowOff>
    </xdr:from>
    <xdr:to>
      <xdr:col>10</xdr:col>
      <xdr:colOff>927735</xdr:colOff>
      <xdr:row>0</xdr:row>
      <xdr:rowOff>557530</xdr:rowOff>
    </xdr:to>
    <xdr:sp macro="[0]!asht15">
      <xdr:nvSpPr>
        <xdr:cNvPr id="36"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967105</xdr:colOff>
      <xdr:row>0</xdr:row>
      <xdr:rowOff>203200</xdr:rowOff>
    </xdr:from>
    <xdr:to>
      <xdr:col>11</xdr:col>
      <xdr:colOff>499110</xdr:colOff>
      <xdr:row>0</xdr:row>
      <xdr:rowOff>557530</xdr:rowOff>
    </xdr:to>
    <xdr:sp macro="[0]!asht9">
      <xdr:nvSpPr>
        <xdr:cNvPr id="37" name="12"/>
        <xdr:cNvSpPr/>
      </xdr:nvSpPr>
      <xdr:spPr>
        <a:xfrm>
          <a:off x="10577830" y="203200"/>
          <a:ext cx="81788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基础资料</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38" name="文本框 37"/>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基础资料</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538480</xdr:colOff>
      <xdr:row>0</xdr:row>
      <xdr:rowOff>203200</xdr:rowOff>
    </xdr:from>
    <xdr:to>
      <xdr:col>12</xdr:col>
      <xdr:colOff>70485</xdr:colOff>
      <xdr:row>0</xdr:row>
      <xdr:rowOff>557530</xdr:rowOff>
    </xdr:to>
    <xdr:sp macro="[0]!asht10">
      <xdr:nvSpPr>
        <xdr:cNvPr id="39"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109855</xdr:colOff>
      <xdr:row>0</xdr:row>
      <xdr:rowOff>203200</xdr:rowOff>
    </xdr:from>
    <xdr:to>
      <xdr:col>14</xdr:col>
      <xdr:colOff>670560</xdr:colOff>
      <xdr:row>0</xdr:row>
      <xdr:rowOff>557530</xdr:rowOff>
    </xdr:to>
    <xdr:sp macro="[0]!asht11">
      <xdr:nvSpPr>
        <xdr:cNvPr id="40"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24130</xdr:colOff>
      <xdr:row>0</xdr:row>
      <xdr:rowOff>203200</xdr:rowOff>
    </xdr:from>
    <xdr:to>
      <xdr:col>16</xdr:col>
      <xdr:colOff>156210</xdr:colOff>
      <xdr:row>0</xdr:row>
      <xdr:rowOff>557530</xdr:rowOff>
    </xdr:to>
    <xdr:sp macro="[0]!asht12">
      <xdr:nvSpPr>
        <xdr:cNvPr id="41"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195580</xdr:colOff>
      <xdr:row>0</xdr:row>
      <xdr:rowOff>203200</xdr:rowOff>
    </xdr:from>
    <xdr:to>
      <xdr:col>17</xdr:col>
      <xdr:colOff>327660</xdr:colOff>
      <xdr:row>0</xdr:row>
      <xdr:rowOff>557530</xdr:rowOff>
    </xdr:to>
    <xdr:sp macro="[0]!asht13">
      <xdr:nvSpPr>
        <xdr:cNvPr id="42"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17</xdr:col>
      <xdr:colOff>367030</xdr:colOff>
      <xdr:row>0</xdr:row>
      <xdr:rowOff>203200</xdr:rowOff>
    </xdr:from>
    <xdr:to>
      <xdr:col>18</xdr:col>
      <xdr:colOff>499110</xdr:colOff>
      <xdr:row>0</xdr:row>
      <xdr:rowOff>557530</xdr:rowOff>
    </xdr:to>
    <xdr:sp macro="[0]!asht18">
      <xdr:nvSpPr>
        <xdr:cNvPr id="43"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800100</xdr:colOff>
      <xdr:row>1</xdr:row>
      <xdr:rowOff>50800</xdr:rowOff>
    </xdr:from>
    <xdr:to>
      <xdr:col>9</xdr:col>
      <xdr:colOff>723265</xdr:colOff>
      <xdr:row>1</xdr:row>
      <xdr:rowOff>441325</xdr:rowOff>
    </xdr:to>
    <xdr:sp macro="[0]!qrcode09">
      <xdr:nvSpPr>
        <xdr:cNvPr id="2" name="圆角矩形 1"/>
        <xdr:cNvSpPr/>
      </xdr:nvSpPr>
      <xdr:spPr>
        <a:xfrm>
          <a:off x="7839075" y="812800"/>
          <a:ext cx="120904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生成条形码</a:t>
          </a:r>
          <a:endParaRPr lang="zh-CN" altLang="en-US" sz="1400" b="1">
            <a:latin typeface="等线" panose="02010600030101010101" charset="-122"/>
            <a:ea typeface="等线" panose="02010600030101010101" charset="-122"/>
          </a:endParaRPr>
        </a:p>
      </xdr:txBody>
    </xdr:sp>
    <xdr:clientData fPrintsWithSheet="0"/>
  </xdr:twoCellAnchor>
</xdr:wsDr>
</file>

<file path=xl/drawings/drawing25.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3</xdr:col>
      <xdr:colOff>1066800</xdr:colOff>
      <xdr:row>1</xdr:row>
      <xdr:rowOff>441325</xdr:rowOff>
    </xdr:to>
    <xdr:sp macro="[0]!select10">
      <xdr:nvSpPr>
        <xdr:cNvPr id="38" name="圆角矩形 37"/>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4</xdr:col>
      <xdr:colOff>139700</xdr:colOff>
      <xdr:row>1</xdr:row>
      <xdr:rowOff>50800</xdr:rowOff>
    </xdr:from>
    <xdr:to>
      <xdr:col>4</xdr:col>
      <xdr:colOff>1206500</xdr:colOff>
      <xdr:row>1</xdr:row>
      <xdr:rowOff>441325</xdr:rowOff>
    </xdr:to>
    <xdr:sp macro="[0]!save10">
      <xdr:nvSpPr>
        <xdr:cNvPr id="39" name="圆角矩形 38"/>
        <xdr:cNvSpPr/>
      </xdr:nvSpPr>
      <xdr:spPr>
        <a:xfrm>
          <a:off x="20351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保存</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5</xdr:col>
      <xdr:colOff>279400</xdr:colOff>
      <xdr:row>1</xdr:row>
      <xdr:rowOff>50800</xdr:rowOff>
    </xdr:from>
    <xdr:to>
      <xdr:col>6</xdr:col>
      <xdr:colOff>60325</xdr:colOff>
      <xdr:row>1</xdr:row>
      <xdr:rowOff>441325</xdr:rowOff>
    </xdr:to>
    <xdr:sp macro="[0]!PLSC_id">
      <xdr:nvSpPr>
        <xdr:cNvPr id="40" name="圆角矩形 39"/>
        <xdr:cNvSpPr/>
      </xdr:nvSpPr>
      <xdr:spPr>
        <a:xfrm>
          <a:off x="34607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6</xdr:col>
      <xdr:colOff>381000</xdr:colOff>
      <xdr:row>1</xdr:row>
      <xdr:rowOff>50800</xdr:rowOff>
    </xdr:from>
    <xdr:to>
      <xdr:col>7</xdr:col>
      <xdr:colOff>161925</xdr:colOff>
      <xdr:row>1</xdr:row>
      <xdr:rowOff>441325</xdr:rowOff>
    </xdr:to>
    <xdr:sp macro="[0]!query_10_show">
      <xdr:nvSpPr>
        <xdr:cNvPr id="19" name="圆角矩形 18"/>
        <xdr:cNvSpPr/>
      </xdr:nvSpPr>
      <xdr:spPr>
        <a:xfrm>
          <a:off x="4848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3</xdr:col>
      <xdr:colOff>508635</xdr:colOff>
      <xdr:row>0</xdr:row>
      <xdr:rowOff>127000</xdr:rowOff>
    </xdr:from>
    <xdr:to>
      <xdr:col>23</xdr:col>
      <xdr:colOff>217805</xdr:colOff>
      <xdr:row>0</xdr:row>
      <xdr:rowOff>624205</xdr:rowOff>
    </xdr:to>
    <xdr:sp>
      <xdr:nvSpPr>
        <xdr:cNvPr id="20"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4</xdr:col>
      <xdr:colOff>95250</xdr:colOff>
      <xdr:row>0</xdr:row>
      <xdr:rowOff>557530</xdr:rowOff>
    </xdr:to>
    <xdr:sp macro="[0]!asht1">
      <xdr:nvSpPr>
        <xdr:cNvPr id="21"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134620</xdr:colOff>
      <xdr:row>0</xdr:row>
      <xdr:rowOff>203200</xdr:rowOff>
    </xdr:from>
    <xdr:to>
      <xdr:col>4</xdr:col>
      <xdr:colOff>949960</xdr:colOff>
      <xdr:row>0</xdr:row>
      <xdr:rowOff>557530</xdr:rowOff>
    </xdr:to>
    <xdr:sp macro="[0]!asht2">
      <xdr:nvSpPr>
        <xdr:cNvPr id="22"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989330</xdr:colOff>
      <xdr:row>0</xdr:row>
      <xdr:rowOff>203200</xdr:rowOff>
    </xdr:from>
    <xdr:to>
      <xdr:col>5</xdr:col>
      <xdr:colOff>518795</xdr:colOff>
      <xdr:row>0</xdr:row>
      <xdr:rowOff>557530</xdr:rowOff>
    </xdr:to>
    <xdr:sp macro="[0]!asht4">
      <xdr:nvSpPr>
        <xdr:cNvPr id="23"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558165</xdr:colOff>
      <xdr:row>0</xdr:row>
      <xdr:rowOff>203200</xdr:rowOff>
    </xdr:from>
    <xdr:to>
      <xdr:col>6</xdr:col>
      <xdr:colOff>87630</xdr:colOff>
      <xdr:row>0</xdr:row>
      <xdr:rowOff>557530</xdr:rowOff>
    </xdr:to>
    <xdr:sp macro="[0]!asht16">
      <xdr:nvSpPr>
        <xdr:cNvPr id="24"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127000</xdr:colOff>
      <xdr:row>0</xdr:row>
      <xdr:rowOff>203200</xdr:rowOff>
    </xdr:from>
    <xdr:to>
      <xdr:col>6</xdr:col>
      <xdr:colOff>942975</xdr:colOff>
      <xdr:row>0</xdr:row>
      <xdr:rowOff>557530</xdr:rowOff>
    </xdr:to>
    <xdr:sp macro="[0]!asht14">
      <xdr:nvSpPr>
        <xdr:cNvPr id="25"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982345</xdr:colOff>
      <xdr:row>0</xdr:row>
      <xdr:rowOff>203200</xdr:rowOff>
    </xdr:from>
    <xdr:to>
      <xdr:col>9</xdr:col>
      <xdr:colOff>254000</xdr:colOff>
      <xdr:row>0</xdr:row>
      <xdr:rowOff>557530</xdr:rowOff>
    </xdr:to>
    <xdr:sp macro="[0]!asht17">
      <xdr:nvSpPr>
        <xdr:cNvPr id="26"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293370</xdr:colOff>
      <xdr:row>0</xdr:row>
      <xdr:rowOff>203200</xdr:rowOff>
    </xdr:from>
    <xdr:to>
      <xdr:col>10</xdr:col>
      <xdr:colOff>422910</xdr:colOff>
      <xdr:row>0</xdr:row>
      <xdr:rowOff>557530</xdr:rowOff>
    </xdr:to>
    <xdr:sp macro="[0]!asht5">
      <xdr:nvSpPr>
        <xdr:cNvPr id="27"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462280</xdr:colOff>
      <xdr:row>0</xdr:row>
      <xdr:rowOff>203200</xdr:rowOff>
    </xdr:from>
    <xdr:to>
      <xdr:col>11</xdr:col>
      <xdr:colOff>591820</xdr:colOff>
      <xdr:row>0</xdr:row>
      <xdr:rowOff>557530</xdr:rowOff>
    </xdr:to>
    <xdr:sp macro="[0]!asht6">
      <xdr:nvSpPr>
        <xdr:cNvPr id="28"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631190</xdr:colOff>
      <xdr:row>0</xdr:row>
      <xdr:rowOff>203200</xdr:rowOff>
    </xdr:from>
    <xdr:to>
      <xdr:col>13</xdr:col>
      <xdr:colOff>75565</xdr:colOff>
      <xdr:row>0</xdr:row>
      <xdr:rowOff>557530</xdr:rowOff>
    </xdr:to>
    <xdr:sp macro="[0]!asht7">
      <xdr:nvSpPr>
        <xdr:cNvPr id="29"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114935</xdr:colOff>
      <xdr:row>0</xdr:row>
      <xdr:rowOff>203200</xdr:rowOff>
    </xdr:from>
    <xdr:to>
      <xdr:col>14</xdr:col>
      <xdr:colOff>244475</xdr:colOff>
      <xdr:row>0</xdr:row>
      <xdr:rowOff>557530</xdr:rowOff>
    </xdr:to>
    <xdr:sp macro="[0]!asht8">
      <xdr:nvSpPr>
        <xdr:cNvPr id="30"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283845</xdr:colOff>
      <xdr:row>0</xdr:row>
      <xdr:rowOff>203200</xdr:rowOff>
    </xdr:from>
    <xdr:to>
      <xdr:col>15</xdr:col>
      <xdr:colOff>413385</xdr:colOff>
      <xdr:row>0</xdr:row>
      <xdr:rowOff>557530</xdr:rowOff>
    </xdr:to>
    <xdr:sp macro="[0]!asht15">
      <xdr:nvSpPr>
        <xdr:cNvPr id="32"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452755</xdr:colOff>
      <xdr:row>0</xdr:row>
      <xdr:rowOff>203200</xdr:rowOff>
    </xdr:from>
    <xdr:to>
      <xdr:col>16</xdr:col>
      <xdr:colOff>584835</xdr:colOff>
      <xdr:row>0</xdr:row>
      <xdr:rowOff>557530</xdr:rowOff>
    </xdr:to>
    <xdr:sp macro="[0]!asht9">
      <xdr:nvSpPr>
        <xdr:cNvPr id="33"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34" name="文本框 33"/>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客户资料</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16</xdr:col>
      <xdr:colOff>624205</xdr:colOff>
      <xdr:row>0</xdr:row>
      <xdr:rowOff>203200</xdr:rowOff>
    </xdr:from>
    <xdr:to>
      <xdr:col>18</xdr:col>
      <xdr:colOff>70485</xdr:colOff>
      <xdr:row>0</xdr:row>
      <xdr:rowOff>557530</xdr:rowOff>
    </xdr:to>
    <xdr:sp macro="[0]!asht10">
      <xdr:nvSpPr>
        <xdr:cNvPr id="35" name="12"/>
        <xdr:cNvSpPr/>
      </xdr:nvSpPr>
      <xdr:spPr>
        <a:xfrm>
          <a:off x="11435080" y="203200"/>
          <a:ext cx="81788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客户资料</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18</xdr:col>
      <xdr:colOff>109855</xdr:colOff>
      <xdr:row>0</xdr:row>
      <xdr:rowOff>203200</xdr:rowOff>
    </xdr:from>
    <xdr:to>
      <xdr:col>19</xdr:col>
      <xdr:colOff>241935</xdr:colOff>
      <xdr:row>0</xdr:row>
      <xdr:rowOff>557530</xdr:rowOff>
    </xdr:to>
    <xdr:sp macro="[0]!asht11">
      <xdr:nvSpPr>
        <xdr:cNvPr id="36"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281305</xdr:colOff>
      <xdr:row>0</xdr:row>
      <xdr:rowOff>203200</xdr:rowOff>
    </xdr:from>
    <xdr:to>
      <xdr:col>20</xdr:col>
      <xdr:colOff>413385</xdr:colOff>
      <xdr:row>0</xdr:row>
      <xdr:rowOff>557530</xdr:rowOff>
    </xdr:to>
    <xdr:sp macro="[0]!asht12">
      <xdr:nvSpPr>
        <xdr:cNvPr id="37"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452755</xdr:colOff>
      <xdr:row>0</xdr:row>
      <xdr:rowOff>203200</xdr:rowOff>
    </xdr:from>
    <xdr:to>
      <xdr:col>21</xdr:col>
      <xdr:colOff>584835</xdr:colOff>
      <xdr:row>0</xdr:row>
      <xdr:rowOff>557530</xdr:rowOff>
    </xdr:to>
    <xdr:sp macro="[0]!asht13">
      <xdr:nvSpPr>
        <xdr:cNvPr id="41"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624205</xdr:colOff>
      <xdr:row>0</xdr:row>
      <xdr:rowOff>203200</xdr:rowOff>
    </xdr:from>
    <xdr:to>
      <xdr:col>23</xdr:col>
      <xdr:colOff>70485</xdr:colOff>
      <xdr:row>0</xdr:row>
      <xdr:rowOff>557530</xdr:rowOff>
    </xdr:to>
    <xdr:sp macro="[0]!asht18">
      <xdr:nvSpPr>
        <xdr:cNvPr id="42"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26.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3</xdr:col>
      <xdr:colOff>1066800</xdr:colOff>
      <xdr:row>1</xdr:row>
      <xdr:rowOff>441325</xdr:rowOff>
    </xdr:to>
    <xdr:sp macro="[0]!select11">
      <xdr:nvSpPr>
        <xdr:cNvPr id="20" name="圆角矩形 19"/>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4</xdr:col>
      <xdr:colOff>139700</xdr:colOff>
      <xdr:row>1</xdr:row>
      <xdr:rowOff>50800</xdr:rowOff>
    </xdr:from>
    <xdr:to>
      <xdr:col>4</xdr:col>
      <xdr:colOff>1206500</xdr:colOff>
      <xdr:row>1</xdr:row>
      <xdr:rowOff>441325</xdr:rowOff>
    </xdr:to>
    <xdr:sp macro="[0]!save11">
      <xdr:nvSpPr>
        <xdr:cNvPr id="21" name="圆角矩形 20"/>
        <xdr:cNvSpPr/>
      </xdr:nvSpPr>
      <xdr:spPr>
        <a:xfrm>
          <a:off x="20351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保存</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5</xdr:col>
      <xdr:colOff>279400</xdr:colOff>
      <xdr:row>1</xdr:row>
      <xdr:rowOff>50800</xdr:rowOff>
    </xdr:from>
    <xdr:to>
      <xdr:col>6</xdr:col>
      <xdr:colOff>60325</xdr:colOff>
      <xdr:row>1</xdr:row>
      <xdr:rowOff>441325</xdr:rowOff>
    </xdr:to>
    <xdr:sp macro="[0]!PLSC_id">
      <xdr:nvSpPr>
        <xdr:cNvPr id="22" name="圆角矩形 21"/>
        <xdr:cNvSpPr/>
      </xdr:nvSpPr>
      <xdr:spPr>
        <a:xfrm>
          <a:off x="34607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6</xdr:col>
      <xdr:colOff>381000</xdr:colOff>
      <xdr:row>1</xdr:row>
      <xdr:rowOff>50800</xdr:rowOff>
    </xdr:from>
    <xdr:to>
      <xdr:col>7</xdr:col>
      <xdr:colOff>161925</xdr:colOff>
      <xdr:row>1</xdr:row>
      <xdr:rowOff>441325</xdr:rowOff>
    </xdr:to>
    <xdr:sp macro="[0]!query_11_show">
      <xdr:nvSpPr>
        <xdr:cNvPr id="23" name="圆角矩形 22"/>
        <xdr:cNvSpPr/>
      </xdr:nvSpPr>
      <xdr:spPr>
        <a:xfrm>
          <a:off x="4848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3</xdr:col>
      <xdr:colOff>508635</xdr:colOff>
      <xdr:row>0</xdr:row>
      <xdr:rowOff>127000</xdr:rowOff>
    </xdr:from>
    <xdr:to>
      <xdr:col>23</xdr:col>
      <xdr:colOff>217805</xdr:colOff>
      <xdr:row>0</xdr:row>
      <xdr:rowOff>624205</xdr:rowOff>
    </xdr:to>
    <xdr:sp>
      <xdr:nvSpPr>
        <xdr:cNvPr id="24"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4</xdr:col>
      <xdr:colOff>95250</xdr:colOff>
      <xdr:row>0</xdr:row>
      <xdr:rowOff>557530</xdr:rowOff>
    </xdr:to>
    <xdr:sp macro="[0]!asht1">
      <xdr:nvSpPr>
        <xdr:cNvPr id="25"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134620</xdr:colOff>
      <xdr:row>0</xdr:row>
      <xdr:rowOff>203200</xdr:rowOff>
    </xdr:from>
    <xdr:to>
      <xdr:col>4</xdr:col>
      <xdr:colOff>949960</xdr:colOff>
      <xdr:row>0</xdr:row>
      <xdr:rowOff>557530</xdr:rowOff>
    </xdr:to>
    <xdr:sp macro="[0]!asht2">
      <xdr:nvSpPr>
        <xdr:cNvPr id="26"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989330</xdr:colOff>
      <xdr:row>0</xdr:row>
      <xdr:rowOff>203200</xdr:rowOff>
    </xdr:from>
    <xdr:to>
      <xdr:col>5</xdr:col>
      <xdr:colOff>518795</xdr:colOff>
      <xdr:row>0</xdr:row>
      <xdr:rowOff>557530</xdr:rowOff>
    </xdr:to>
    <xdr:sp macro="[0]!asht4">
      <xdr:nvSpPr>
        <xdr:cNvPr id="27"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558165</xdr:colOff>
      <xdr:row>0</xdr:row>
      <xdr:rowOff>203200</xdr:rowOff>
    </xdr:from>
    <xdr:to>
      <xdr:col>6</xdr:col>
      <xdr:colOff>87630</xdr:colOff>
      <xdr:row>0</xdr:row>
      <xdr:rowOff>557530</xdr:rowOff>
    </xdr:to>
    <xdr:sp macro="[0]!asht16">
      <xdr:nvSpPr>
        <xdr:cNvPr id="28"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127000</xdr:colOff>
      <xdr:row>0</xdr:row>
      <xdr:rowOff>203200</xdr:rowOff>
    </xdr:from>
    <xdr:to>
      <xdr:col>6</xdr:col>
      <xdr:colOff>942975</xdr:colOff>
      <xdr:row>0</xdr:row>
      <xdr:rowOff>557530</xdr:rowOff>
    </xdr:to>
    <xdr:sp macro="[0]!asht14">
      <xdr:nvSpPr>
        <xdr:cNvPr id="29"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982345</xdr:colOff>
      <xdr:row>0</xdr:row>
      <xdr:rowOff>203200</xdr:rowOff>
    </xdr:from>
    <xdr:to>
      <xdr:col>9</xdr:col>
      <xdr:colOff>254000</xdr:colOff>
      <xdr:row>0</xdr:row>
      <xdr:rowOff>557530</xdr:rowOff>
    </xdr:to>
    <xdr:sp macro="[0]!asht17">
      <xdr:nvSpPr>
        <xdr:cNvPr id="30"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293370</xdr:colOff>
      <xdr:row>0</xdr:row>
      <xdr:rowOff>203200</xdr:rowOff>
    </xdr:from>
    <xdr:to>
      <xdr:col>10</xdr:col>
      <xdr:colOff>422910</xdr:colOff>
      <xdr:row>0</xdr:row>
      <xdr:rowOff>557530</xdr:rowOff>
    </xdr:to>
    <xdr:sp macro="[0]!asht5">
      <xdr:nvSpPr>
        <xdr:cNvPr id="31"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462280</xdr:colOff>
      <xdr:row>0</xdr:row>
      <xdr:rowOff>203200</xdr:rowOff>
    </xdr:from>
    <xdr:to>
      <xdr:col>11</xdr:col>
      <xdr:colOff>591820</xdr:colOff>
      <xdr:row>0</xdr:row>
      <xdr:rowOff>557530</xdr:rowOff>
    </xdr:to>
    <xdr:sp macro="[0]!asht6">
      <xdr:nvSpPr>
        <xdr:cNvPr id="32"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631190</xdr:colOff>
      <xdr:row>0</xdr:row>
      <xdr:rowOff>203200</xdr:rowOff>
    </xdr:from>
    <xdr:to>
      <xdr:col>13</xdr:col>
      <xdr:colOff>75565</xdr:colOff>
      <xdr:row>0</xdr:row>
      <xdr:rowOff>557530</xdr:rowOff>
    </xdr:to>
    <xdr:sp macro="[0]!asht7">
      <xdr:nvSpPr>
        <xdr:cNvPr id="33"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114935</xdr:colOff>
      <xdr:row>0</xdr:row>
      <xdr:rowOff>203200</xdr:rowOff>
    </xdr:from>
    <xdr:to>
      <xdr:col>14</xdr:col>
      <xdr:colOff>244475</xdr:colOff>
      <xdr:row>0</xdr:row>
      <xdr:rowOff>557530</xdr:rowOff>
    </xdr:to>
    <xdr:sp macro="[0]!asht8">
      <xdr:nvSpPr>
        <xdr:cNvPr id="34"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283845</xdr:colOff>
      <xdr:row>0</xdr:row>
      <xdr:rowOff>203200</xdr:rowOff>
    </xdr:from>
    <xdr:to>
      <xdr:col>15</xdr:col>
      <xdr:colOff>413385</xdr:colOff>
      <xdr:row>0</xdr:row>
      <xdr:rowOff>557530</xdr:rowOff>
    </xdr:to>
    <xdr:sp macro="[0]!asht15">
      <xdr:nvSpPr>
        <xdr:cNvPr id="35"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452755</xdr:colOff>
      <xdr:row>0</xdr:row>
      <xdr:rowOff>203200</xdr:rowOff>
    </xdr:from>
    <xdr:to>
      <xdr:col>16</xdr:col>
      <xdr:colOff>584835</xdr:colOff>
      <xdr:row>0</xdr:row>
      <xdr:rowOff>557530</xdr:rowOff>
    </xdr:to>
    <xdr:sp macro="[0]!asht9">
      <xdr:nvSpPr>
        <xdr:cNvPr id="36"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37" name="文本框 36"/>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供应商资料</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16</xdr:col>
      <xdr:colOff>624205</xdr:colOff>
      <xdr:row>0</xdr:row>
      <xdr:rowOff>203200</xdr:rowOff>
    </xdr:from>
    <xdr:to>
      <xdr:col>18</xdr:col>
      <xdr:colOff>70485</xdr:colOff>
      <xdr:row>0</xdr:row>
      <xdr:rowOff>557530</xdr:rowOff>
    </xdr:to>
    <xdr:sp macro="[0]!asht10">
      <xdr:nvSpPr>
        <xdr:cNvPr id="38"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109855</xdr:colOff>
      <xdr:row>0</xdr:row>
      <xdr:rowOff>203200</xdr:rowOff>
    </xdr:from>
    <xdr:to>
      <xdr:col>19</xdr:col>
      <xdr:colOff>241935</xdr:colOff>
      <xdr:row>0</xdr:row>
      <xdr:rowOff>557530</xdr:rowOff>
    </xdr:to>
    <xdr:sp macro="[0]!asht11">
      <xdr:nvSpPr>
        <xdr:cNvPr id="39" name="12"/>
        <xdr:cNvSpPr/>
      </xdr:nvSpPr>
      <xdr:spPr>
        <a:xfrm>
          <a:off x="12292330" y="203200"/>
          <a:ext cx="81788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供应商资料</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19</xdr:col>
      <xdr:colOff>281305</xdr:colOff>
      <xdr:row>0</xdr:row>
      <xdr:rowOff>203200</xdr:rowOff>
    </xdr:from>
    <xdr:to>
      <xdr:col>20</xdr:col>
      <xdr:colOff>413385</xdr:colOff>
      <xdr:row>0</xdr:row>
      <xdr:rowOff>557530</xdr:rowOff>
    </xdr:to>
    <xdr:sp macro="[0]!asht12">
      <xdr:nvSpPr>
        <xdr:cNvPr id="40"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452755</xdr:colOff>
      <xdr:row>0</xdr:row>
      <xdr:rowOff>203200</xdr:rowOff>
    </xdr:from>
    <xdr:to>
      <xdr:col>21</xdr:col>
      <xdr:colOff>584835</xdr:colOff>
      <xdr:row>0</xdr:row>
      <xdr:rowOff>557530</xdr:rowOff>
    </xdr:to>
    <xdr:sp macro="[0]!asht13">
      <xdr:nvSpPr>
        <xdr:cNvPr id="41"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624205</xdr:colOff>
      <xdr:row>0</xdr:row>
      <xdr:rowOff>203200</xdr:rowOff>
    </xdr:from>
    <xdr:to>
      <xdr:col>23</xdr:col>
      <xdr:colOff>70485</xdr:colOff>
      <xdr:row>0</xdr:row>
      <xdr:rowOff>557530</xdr:rowOff>
    </xdr:to>
    <xdr:sp macro="[0]!asht18">
      <xdr:nvSpPr>
        <xdr:cNvPr id="42"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27.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3</xdr:col>
      <xdr:colOff>1066800</xdr:colOff>
      <xdr:row>1</xdr:row>
      <xdr:rowOff>441325</xdr:rowOff>
    </xdr:to>
    <xdr:sp macro="[0]!select21">
      <xdr:nvSpPr>
        <xdr:cNvPr id="2" name="圆角矩形 1"/>
        <xdr:cNvSpPr/>
      </xdr:nvSpPr>
      <xdr:spPr>
        <a:xfrm>
          <a:off x="6286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4</xdr:col>
      <xdr:colOff>139700</xdr:colOff>
      <xdr:row>1</xdr:row>
      <xdr:rowOff>50800</xdr:rowOff>
    </xdr:from>
    <xdr:to>
      <xdr:col>6</xdr:col>
      <xdr:colOff>415925</xdr:colOff>
      <xdr:row>1</xdr:row>
      <xdr:rowOff>441325</xdr:rowOff>
    </xdr:to>
    <xdr:sp macro="[0]!save21">
      <xdr:nvSpPr>
        <xdr:cNvPr id="3" name="圆角矩形 2"/>
        <xdr:cNvSpPr/>
      </xdr:nvSpPr>
      <xdr:spPr>
        <a:xfrm>
          <a:off x="2054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保存</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7</xdr:col>
      <xdr:colOff>88900</xdr:colOff>
      <xdr:row>1</xdr:row>
      <xdr:rowOff>50800</xdr:rowOff>
    </xdr:from>
    <xdr:to>
      <xdr:col>8</xdr:col>
      <xdr:colOff>469900</xdr:colOff>
      <xdr:row>1</xdr:row>
      <xdr:rowOff>441325</xdr:rowOff>
    </xdr:to>
    <xdr:sp macro="[0]!PLSC">
      <xdr:nvSpPr>
        <xdr:cNvPr id="4" name="圆角矩形 3"/>
        <xdr:cNvSpPr/>
      </xdr:nvSpPr>
      <xdr:spPr>
        <a:xfrm>
          <a:off x="34798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3</xdr:col>
      <xdr:colOff>489585</xdr:colOff>
      <xdr:row>0</xdr:row>
      <xdr:rowOff>127000</xdr:rowOff>
    </xdr:from>
    <xdr:to>
      <xdr:col>41</xdr:col>
      <xdr:colOff>66040</xdr:colOff>
      <xdr:row>0</xdr:row>
      <xdr:rowOff>624205</xdr:rowOff>
    </xdr:to>
    <xdr:sp>
      <xdr:nvSpPr>
        <xdr:cNvPr id="5" name="圆角矩形 14"/>
        <xdr:cNvSpPr/>
      </xdr:nvSpPr>
      <xdr:spPr>
        <a:xfrm>
          <a:off x="1118235" y="127000"/>
          <a:ext cx="2497010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546735</xdr:colOff>
      <xdr:row>0</xdr:row>
      <xdr:rowOff>203200</xdr:rowOff>
    </xdr:from>
    <xdr:to>
      <xdr:col>4</xdr:col>
      <xdr:colOff>76200</xdr:colOff>
      <xdr:row>0</xdr:row>
      <xdr:rowOff>557530</xdr:rowOff>
    </xdr:to>
    <xdr:sp macro="[1]!asht1">
      <xdr:nvSpPr>
        <xdr:cNvPr id="6"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115570</xdr:colOff>
      <xdr:row>0</xdr:row>
      <xdr:rowOff>203200</xdr:rowOff>
    </xdr:from>
    <xdr:to>
      <xdr:col>6</xdr:col>
      <xdr:colOff>140335</xdr:colOff>
      <xdr:row>0</xdr:row>
      <xdr:rowOff>557530</xdr:rowOff>
    </xdr:to>
    <xdr:sp macro="[1]!asht2">
      <xdr:nvSpPr>
        <xdr:cNvPr id="7"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179705</xdr:colOff>
      <xdr:row>0</xdr:row>
      <xdr:rowOff>203200</xdr:rowOff>
    </xdr:from>
    <xdr:to>
      <xdr:col>7</xdr:col>
      <xdr:colOff>309245</xdr:colOff>
      <xdr:row>0</xdr:row>
      <xdr:rowOff>557530</xdr:rowOff>
    </xdr:to>
    <xdr:sp macro="[1]!asht4">
      <xdr:nvSpPr>
        <xdr:cNvPr id="8"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348615</xdr:colOff>
      <xdr:row>0</xdr:row>
      <xdr:rowOff>203200</xdr:rowOff>
    </xdr:from>
    <xdr:to>
      <xdr:col>8</xdr:col>
      <xdr:colOff>478155</xdr:colOff>
      <xdr:row>0</xdr:row>
      <xdr:rowOff>557530</xdr:rowOff>
    </xdr:to>
    <xdr:sp macro="[1]!asht16">
      <xdr:nvSpPr>
        <xdr:cNvPr id="9"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517525</xdr:colOff>
      <xdr:row>0</xdr:row>
      <xdr:rowOff>203200</xdr:rowOff>
    </xdr:from>
    <xdr:to>
      <xdr:col>9</xdr:col>
      <xdr:colOff>647700</xdr:colOff>
      <xdr:row>0</xdr:row>
      <xdr:rowOff>557530</xdr:rowOff>
    </xdr:to>
    <xdr:sp macro="[1]!asht14">
      <xdr:nvSpPr>
        <xdr:cNvPr id="10"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1270</xdr:colOff>
      <xdr:row>0</xdr:row>
      <xdr:rowOff>203200</xdr:rowOff>
    </xdr:from>
    <xdr:to>
      <xdr:col>12</xdr:col>
      <xdr:colOff>130175</xdr:colOff>
      <xdr:row>0</xdr:row>
      <xdr:rowOff>557530</xdr:rowOff>
    </xdr:to>
    <xdr:sp macro="[1]!asht17">
      <xdr:nvSpPr>
        <xdr:cNvPr id="11"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169545</xdr:colOff>
      <xdr:row>0</xdr:row>
      <xdr:rowOff>203200</xdr:rowOff>
    </xdr:from>
    <xdr:to>
      <xdr:col>13</xdr:col>
      <xdr:colOff>299085</xdr:colOff>
      <xdr:row>0</xdr:row>
      <xdr:rowOff>557530</xdr:rowOff>
    </xdr:to>
    <xdr:sp macro="[1]!asht5">
      <xdr:nvSpPr>
        <xdr:cNvPr id="12"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338455</xdr:colOff>
      <xdr:row>0</xdr:row>
      <xdr:rowOff>203200</xdr:rowOff>
    </xdr:from>
    <xdr:to>
      <xdr:col>14</xdr:col>
      <xdr:colOff>467995</xdr:colOff>
      <xdr:row>0</xdr:row>
      <xdr:rowOff>557530</xdr:rowOff>
    </xdr:to>
    <xdr:sp macro="[1]!asht6">
      <xdr:nvSpPr>
        <xdr:cNvPr id="13"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507365</xdr:colOff>
      <xdr:row>0</xdr:row>
      <xdr:rowOff>203200</xdr:rowOff>
    </xdr:from>
    <xdr:to>
      <xdr:col>15</xdr:col>
      <xdr:colOff>637540</xdr:colOff>
      <xdr:row>0</xdr:row>
      <xdr:rowOff>557530</xdr:rowOff>
    </xdr:to>
    <xdr:sp macro="[1]!asht7">
      <xdr:nvSpPr>
        <xdr:cNvPr id="14"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676910</xdr:colOff>
      <xdr:row>0</xdr:row>
      <xdr:rowOff>203200</xdr:rowOff>
    </xdr:from>
    <xdr:to>
      <xdr:col>17</xdr:col>
      <xdr:colOff>120650</xdr:colOff>
      <xdr:row>0</xdr:row>
      <xdr:rowOff>557530</xdr:rowOff>
    </xdr:to>
    <xdr:sp macro="[1]!asht8">
      <xdr:nvSpPr>
        <xdr:cNvPr id="15"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17</xdr:col>
      <xdr:colOff>160020</xdr:colOff>
      <xdr:row>0</xdr:row>
      <xdr:rowOff>203200</xdr:rowOff>
    </xdr:from>
    <xdr:to>
      <xdr:col>18</xdr:col>
      <xdr:colOff>289560</xdr:colOff>
      <xdr:row>0</xdr:row>
      <xdr:rowOff>557530</xdr:rowOff>
    </xdr:to>
    <xdr:sp macro="[1]!asht15">
      <xdr:nvSpPr>
        <xdr:cNvPr id="16"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328930</xdr:colOff>
      <xdr:row>0</xdr:row>
      <xdr:rowOff>203200</xdr:rowOff>
    </xdr:from>
    <xdr:to>
      <xdr:col>19</xdr:col>
      <xdr:colOff>461010</xdr:colOff>
      <xdr:row>0</xdr:row>
      <xdr:rowOff>557530</xdr:rowOff>
    </xdr:to>
    <xdr:sp macro="[1]!asht9">
      <xdr:nvSpPr>
        <xdr:cNvPr id="17"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452120</xdr:colOff>
      <xdr:row>0</xdr:row>
      <xdr:rowOff>607060</xdr:rowOff>
    </xdr:to>
    <xdr:sp>
      <xdr:nvSpPr>
        <xdr:cNvPr id="18" name="文本框 17"/>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仓库资料</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19</xdr:col>
      <xdr:colOff>500380</xdr:colOff>
      <xdr:row>0</xdr:row>
      <xdr:rowOff>203200</xdr:rowOff>
    </xdr:from>
    <xdr:to>
      <xdr:col>20</xdr:col>
      <xdr:colOff>632460</xdr:colOff>
      <xdr:row>0</xdr:row>
      <xdr:rowOff>557530</xdr:rowOff>
    </xdr:to>
    <xdr:sp macro="[1]!asht10">
      <xdr:nvSpPr>
        <xdr:cNvPr id="19"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671830</xdr:colOff>
      <xdr:row>0</xdr:row>
      <xdr:rowOff>203200</xdr:rowOff>
    </xdr:from>
    <xdr:to>
      <xdr:col>22</xdr:col>
      <xdr:colOff>118110</xdr:colOff>
      <xdr:row>0</xdr:row>
      <xdr:rowOff>557530</xdr:rowOff>
    </xdr:to>
    <xdr:sp macro="[1]!asht11">
      <xdr:nvSpPr>
        <xdr:cNvPr id="20"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157480</xdr:colOff>
      <xdr:row>0</xdr:row>
      <xdr:rowOff>203200</xdr:rowOff>
    </xdr:from>
    <xdr:to>
      <xdr:col>23</xdr:col>
      <xdr:colOff>289560</xdr:colOff>
      <xdr:row>0</xdr:row>
      <xdr:rowOff>557530</xdr:rowOff>
    </xdr:to>
    <xdr:sp macro="[1]!asht12">
      <xdr:nvSpPr>
        <xdr:cNvPr id="21" name="12"/>
        <xdr:cNvSpPr/>
      </xdr:nvSpPr>
      <xdr:spPr>
        <a:xfrm>
          <a:off x="13149580" y="203200"/>
          <a:ext cx="817880" cy="354330"/>
        </a:xfrm>
        <a:prstGeom prst="rect">
          <a:avLst/>
        </a:prstGeom>
        <a:ln>
          <a:noFill/>
        </a:ln>
      </xdr:spPr>
      <xdr:style>
        <a:lnRef idx="3">
          <a:schemeClr val="accent1"/>
        </a:lnRef>
        <a:fillRef idx="0">
          <a:srgbClr val="FFFFFF"/>
        </a:fillRef>
        <a:effectRef idx="0">
          <a:srgbClr val="FFFFFF"/>
        </a:effectRef>
        <a:fontRef idx="minor">
          <a:schemeClr val="tx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sym typeface="+mn-ea"/>
          </a:endParaRPr>
        </a:p>
      </xdr:txBody>
    </xdr:sp>
    <xdr:clientData/>
  </xdr:twoCellAnchor>
  <xdr:twoCellAnchor editAs="absolute">
    <xdr:from>
      <xdr:col>23</xdr:col>
      <xdr:colOff>328930</xdr:colOff>
      <xdr:row>0</xdr:row>
      <xdr:rowOff>203200</xdr:rowOff>
    </xdr:from>
    <xdr:to>
      <xdr:col>24</xdr:col>
      <xdr:colOff>461010</xdr:colOff>
      <xdr:row>0</xdr:row>
      <xdr:rowOff>557530</xdr:rowOff>
    </xdr:to>
    <xdr:sp macro="[1]!asht13">
      <xdr:nvSpPr>
        <xdr:cNvPr id="22"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528955</xdr:colOff>
      <xdr:row>0</xdr:row>
      <xdr:rowOff>222250</xdr:rowOff>
    </xdr:from>
    <xdr:to>
      <xdr:col>25</xdr:col>
      <xdr:colOff>661035</xdr:colOff>
      <xdr:row>0</xdr:row>
      <xdr:rowOff>576580</xdr:rowOff>
    </xdr:to>
    <xdr:sp macro="[1]!asht18">
      <xdr:nvSpPr>
        <xdr:cNvPr id="23" name="12"/>
        <xdr:cNvSpPr/>
      </xdr:nvSpPr>
      <xdr:spPr>
        <a:xfrm>
          <a:off x="14892655" y="22225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25</xdr:col>
      <xdr:colOff>609600</xdr:colOff>
      <xdr:row>0</xdr:row>
      <xdr:rowOff>207645</xdr:rowOff>
    </xdr:from>
    <xdr:to>
      <xdr:col>27</xdr:col>
      <xdr:colOff>55880</xdr:colOff>
      <xdr:row>0</xdr:row>
      <xdr:rowOff>561975</xdr:rowOff>
    </xdr:to>
    <xdr:sp macro="[1]!asht18">
      <xdr:nvSpPr>
        <xdr:cNvPr id="24" name="12">
          <a:hlinkClick xmlns:r="http://schemas.openxmlformats.org/officeDocument/2006/relationships" r:id="rId1"/>
        </xdr:cNvPr>
        <xdr:cNvSpPr/>
      </xdr:nvSpPr>
      <xdr:spPr>
        <a:xfrm>
          <a:off x="1565910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29845</xdr:colOff>
      <xdr:row>0</xdr:row>
      <xdr:rowOff>207645</xdr:rowOff>
    </xdr:from>
    <xdr:to>
      <xdr:col>28</xdr:col>
      <xdr:colOff>161925</xdr:colOff>
      <xdr:row>0</xdr:row>
      <xdr:rowOff>561975</xdr:rowOff>
    </xdr:to>
    <xdr:sp macro="[1]!asht18">
      <xdr:nvSpPr>
        <xdr:cNvPr id="25" name="12">
          <a:hlinkClick xmlns:r="http://schemas.openxmlformats.org/officeDocument/2006/relationships" r:id="rId2"/>
        </xdr:cNvPr>
        <xdr:cNvSpPr/>
      </xdr:nvSpPr>
      <xdr:spPr>
        <a:xfrm>
          <a:off x="1645094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28</xdr:col>
      <xdr:colOff>163195</xdr:colOff>
      <xdr:row>0</xdr:row>
      <xdr:rowOff>207645</xdr:rowOff>
    </xdr:from>
    <xdr:to>
      <xdr:col>29</xdr:col>
      <xdr:colOff>295275</xdr:colOff>
      <xdr:row>0</xdr:row>
      <xdr:rowOff>561975</xdr:rowOff>
    </xdr:to>
    <xdr:sp macro="[1]!asht18">
      <xdr:nvSpPr>
        <xdr:cNvPr id="26" name="12">
          <a:hlinkClick xmlns:r="http://schemas.openxmlformats.org/officeDocument/2006/relationships" r:id="rId3"/>
        </xdr:cNvPr>
        <xdr:cNvSpPr/>
      </xdr:nvSpPr>
      <xdr:spPr>
        <a:xfrm>
          <a:off x="172700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248920</xdr:colOff>
      <xdr:row>0</xdr:row>
      <xdr:rowOff>207645</xdr:rowOff>
    </xdr:from>
    <xdr:to>
      <xdr:col>30</xdr:col>
      <xdr:colOff>381000</xdr:colOff>
      <xdr:row>0</xdr:row>
      <xdr:rowOff>561975</xdr:rowOff>
    </xdr:to>
    <xdr:sp macro="[1]!asht18">
      <xdr:nvSpPr>
        <xdr:cNvPr id="27" name="12">
          <a:hlinkClick xmlns:r="http://schemas.openxmlformats.org/officeDocument/2006/relationships" r:id="rId4"/>
        </xdr:cNvPr>
        <xdr:cNvSpPr/>
      </xdr:nvSpPr>
      <xdr:spPr>
        <a:xfrm>
          <a:off x="1804162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30</xdr:col>
      <xdr:colOff>353695</xdr:colOff>
      <xdr:row>0</xdr:row>
      <xdr:rowOff>207645</xdr:rowOff>
    </xdr:from>
    <xdr:to>
      <xdr:col>31</xdr:col>
      <xdr:colOff>485775</xdr:colOff>
      <xdr:row>0</xdr:row>
      <xdr:rowOff>561975</xdr:rowOff>
    </xdr:to>
    <xdr:sp macro="[1]!asht18">
      <xdr:nvSpPr>
        <xdr:cNvPr id="28" name="12">
          <a:hlinkClick xmlns:r="http://schemas.openxmlformats.org/officeDocument/2006/relationships" r:id="rId5"/>
        </xdr:cNvPr>
        <xdr:cNvSpPr/>
      </xdr:nvSpPr>
      <xdr:spPr>
        <a:xfrm>
          <a:off x="188321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31</xdr:col>
      <xdr:colOff>544195</xdr:colOff>
      <xdr:row>0</xdr:row>
      <xdr:rowOff>207645</xdr:rowOff>
    </xdr:from>
    <xdr:to>
      <xdr:col>32</xdr:col>
      <xdr:colOff>676275</xdr:colOff>
      <xdr:row>0</xdr:row>
      <xdr:rowOff>561975</xdr:rowOff>
    </xdr:to>
    <xdr:sp macro="[1]!asht18">
      <xdr:nvSpPr>
        <xdr:cNvPr id="29" name="12">
          <a:hlinkClick xmlns:r="http://schemas.openxmlformats.org/officeDocument/2006/relationships" r:id="rId6"/>
        </xdr:cNvPr>
        <xdr:cNvSpPr/>
      </xdr:nvSpPr>
      <xdr:spPr>
        <a:xfrm>
          <a:off x="197084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33</xdr:col>
      <xdr:colOff>29845</xdr:colOff>
      <xdr:row>0</xdr:row>
      <xdr:rowOff>207645</xdr:rowOff>
    </xdr:from>
    <xdr:to>
      <xdr:col>34</xdr:col>
      <xdr:colOff>161925</xdr:colOff>
      <xdr:row>0</xdr:row>
      <xdr:rowOff>561975</xdr:rowOff>
    </xdr:to>
    <xdr:sp macro="[1]!asht18">
      <xdr:nvSpPr>
        <xdr:cNvPr id="30" name="12">
          <a:hlinkClick xmlns:r="http://schemas.openxmlformats.org/officeDocument/2006/relationships" r:id="rId7"/>
        </xdr:cNvPr>
        <xdr:cNvSpPr/>
      </xdr:nvSpPr>
      <xdr:spPr>
        <a:xfrm>
          <a:off x="2056574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34</xdr:col>
      <xdr:colOff>248920</xdr:colOff>
      <xdr:row>0</xdr:row>
      <xdr:rowOff>207645</xdr:rowOff>
    </xdr:from>
    <xdr:to>
      <xdr:col>35</xdr:col>
      <xdr:colOff>381000</xdr:colOff>
      <xdr:row>0</xdr:row>
      <xdr:rowOff>561975</xdr:rowOff>
    </xdr:to>
    <xdr:sp macro="[1]!asht18">
      <xdr:nvSpPr>
        <xdr:cNvPr id="31" name="12">
          <a:hlinkClick xmlns:r="http://schemas.openxmlformats.org/officeDocument/2006/relationships" r:id="rId8"/>
        </xdr:cNvPr>
        <xdr:cNvSpPr/>
      </xdr:nvSpPr>
      <xdr:spPr>
        <a:xfrm>
          <a:off x="2147062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35</xdr:col>
      <xdr:colOff>353695</xdr:colOff>
      <xdr:row>0</xdr:row>
      <xdr:rowOff>207645</xdr:rowOff>
    </xdr:from>
    <xdr:to>
      <xdr:col>36</xdr:col>
      <xdr:colOff>485775</xdr:colOff>
      <xdr:row>0</xdr:row>
      <xdr:rowOff>561975</xdr:rowOff>
    </xdr:to>
    <xdr:sp macro="[1]!asht18">
      <xdr:nvSpPr>
        <xdr:cNvPr id="32" name="12">
          <a:hlinkClick xmlns:r="http://schemas.openxmlformats.org/officeDocument/2006/relationships" r:id="rId9"/>
        </xdr:cNvPr>
        <xdr:cNvSpPr/>
      </xdr:nvSpPr>
      <xdr:spPr>
        <a:xfrm>
          <a:off x="222611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36</xdr:col>
      <xdr:colOff>591820</xdr:colOff>
      <xdr:row>0</xdr:row>
      <xdr:rowOff>207645</xdr:rowOff>
    </xdr:from>
    <xdr:to>
      <xdr:col>38</xdr:col>
      <xdr:colOff>38100</xdr:colOff>
      <xdr:row>0</xdr:row>
      <xdr:rowOff>561975</xdr:rowOff>
    </xdr:to>
    <xdr:sp macro="[1]!asht18">
      <xdr:nvSpPr>
        <xdr:cNvPr id="33" name="12">
          <a:hlinkClick xmlns:r="http://schemas.openxmlformats.org/officeDocument/2006/relationships" r:id="rId10"/>
        </xdr:cNvPr>
        <xdr:cNvSpPr/>
      </xdr:nvSpPr>
      <xdr:spPr>
        <a:xfrm>
          <a:off x="2318512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38</xdr:col>
      <xdr:colOff>39370</xdr:colOff>
      <xdr:row>0</xdr:row>
      <xdr:rowOff>207645</xdr:rowOff>
    </xdr:from>
    <xdr:to>
      <xdr:col>39</xdr:col>
      <xdr:colOff>171450</xdr:colOff>
      <xdr:row>0</xdr:row>
      <xdr:rowOff>561975</xdr:rowOff>
    </xdr:to>
    <xdr:sp macro="[1]!asht18">
      <xdr:nvSpPr>
        <xdr:cNvPr id="34" name="12">
          <a:hlinkClick xmlns:r="http://schemas.openxmlformats.org/officeDocument/2006/relationships" r:id="rId11"/>
        </xdr:cNvPr>
        <xdr:cNvSpPr/>
      </xdr:nvSpPr>
      <xdr:spPr>
        <a:xfrm>
          <a:off x="24004270" y="207645"/>
          <a:ext cx="817880" cy="354330"/>
        </a:xfrm>
        <a:prstGeom prst="rect">
          <a:avLst/>
        </a:prstGeom>
      </xdr:spPr>
      <xdr:style>
        <a:lnRef idx="2">
          <a:schemeClr val="lt1"/>
        </a:lnRef>
        <a:fillRef idx="1">
          <a:schemeClr val="accent1"/>
        </a:fillRef>
        <a:effectRef idx="1">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仓库资料</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39</xdr:col>
      <xdr:colOff>175895</xdr:colOff>
      <xdr:row>0</xdr:row>
      <xdr:rowOff>207645</xdr:rowOff>
    </xdr:from>
    <xdr:to>
      <xdr:col>40</xdr:col>
      <xdr:colOff>307975</xdr:colOff>
      <xdr:row>0</xdr:row>
      <xdr:rowOff>561975</xdr:rowOff>
    </xdr:to>
    <xdr:sp macro="[1]!asht18">
      <xdr:nvSpPr>
        <xdr:cNvPr id="35" name="12">
          <a:hlinkClick xmlns:r="http://schemas.openxmlformats.org/officeDocument/2006/relationships" r:id="rId12"/>
        </xdr:cNvPr>
        <xdr:cNvSpPr/>
      </xdr:nvSpPr>
      <xdr:spPr>
        <a:xfrm>
          <a:off x="248265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28.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3</xdr:col>
      <xdr:colOff>1066800</xdr:colOff>
      <xdr:row>1</xdr:row>
      <xdr:rowOff>441325</xdr:rowOff>
    </xdr:to>
    <xdr:sp macro="[0]!select12">
      <xdr:nvSpPr>
        <xdr:cNvPr id="20" name="圆角矩形 19"/>
        <xdr:cNvSpPr/>
      </xdr:nvSpPr>
      <xdr:spPr>
        <a:xfrm>
          <a:off x="6286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4</xdr:col>
      <xdr:colOff>139700</xdr:colOff>
      <xdr:row>1</xdr:row>
      <xdr:rowOff>50800</xdr:rowOff>
    </xdr:from>
    <xdr:to>
      <xdr:col>4</xdr:col>
      <xdr:colOff>1206500</xdr:colOff>
      <xdr:row>1</xdr:row>
      <xdr:rowOff>441325</xdr:rowOff>
    </xdr:to>
    <xdr:sp macro="[0]!save12">
      <xdr:nvSpPr>
        <xdr:cNvPr id="21" name="圆角矩形 20"/>
        <xdr:cNvSpPr/>
      </xdr:nvSpPr>
      <xdr:spPr>
        <a:xfrm>
          <a:off x="2054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保存</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5</xdr:col>
      <xdr:colOff>279400</xdr:colOff>
      <xdr:row>1</xdr:row>
      <xdr:rowOff>50800</xdr:rowOff>
    </xdr:from>
    <xdr:to>
      <xdr:col>6</xdr:col>
      <xdr:colOff>60325</xdr:colOff>
      <xdr:row>1</xdr:row>
      <xdr:rowOff>441325</xdr:rowOff>
    </xdr:to>
    <xdr:sp macro="[0]!PLSC">
      <xdr:nvSpPr>
        <xdr:cNvPr id="22" name="圆角矩形 21"/>
        <xdr:cNvSpPr/>
      </xdr:nvSpPr>
      <xdr:spPr>
        <a:xfrm>
          <a:off x="34798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6</xdr:col>
      <xdr:colOff>381000</xdr:colOff>
      <xdr:row>1</xdr:row>
      <xdr:rowOff>50800</xdr:rowOff>
    </xdr:from>
    <xdr:to>
      <xdr:col>7</xdr:col>
      <xdr:colOff>161925</xdr:colOff>
      <xdr:row>1</xdr:row>
      <xdr:rowOff>441325</xdr:rowOff>
    </xdr:to>
    <xdr:sp macro="[0]!query_12_show">
      <xdr:nvSpPr>
        <xdr:cNvPr id="23" name="圆角矩形 22"/>
        <xdr:cNvSpPr/>
      </xdr:nvSpPr>
      <xdr:spPr>
        <a:xfrm>
          <a:off x="48672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3</xdr:col>
      <xdr:colOff>489585</xdr:colOff>
      <xdr:row>0</xdr:row>
      <xdr:rowOff>127000</xdr:rowOff>
    </xdr:from>
    <xdr:to>
      <xdr:col>20</xdr:col>
      <xdr:colOff>522605</xdr:colOff>
      <xdr:row>0</xdr:row>
      <xdr:rowOff>624205</xdr:rowOff>
    </xdr:to>
    <xdr:sp>
      <xdr:nvSpPr>
        <xdr:cNvPr id="24"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546735</xdr:colOff>
      <xdr:row>0</xdr:row>
      <xdr:rowOff>203200</xdr:rowOff>
    </xdr:from>
    <xdr:to>
      <xdr:col>4</xdr:col>
      <xdr:colOff>76200</xdr:colOff>
      <xdr:row>0</xdr:row>
      <xdr:rowOff>557530</xdr:rowOff>
    </xdr:to>
    <xdr:sp macro="[0]!asht1">
      <xdr:nvSpPr>
        <xdr:cNvPr id="25"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115570</xdr:colOff>
      <xdr:row>0</xdr:row>
      <xdr:rowOff>203200</xdr:rowOff>
    </xdr:from>
    <xdr:to>
      <xdr:col>4</xdr:col>
      <xdr:colOff>930910</xdr:colOff>
      <xdr:row>0</xdr:row>
      <xdr:rowOff>557530</xdr:rowOff>
    </xdr:to>
    <xdr:sp macro="[0]!asht2">
      <xdr:nvSpPr>
        <xdr:cNvPr id="26"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970280</xdr:colOff>
      <xdr:row>0</xdr:row>
      <xdr:rowOff>203200</xdr:rowOff>
    </xdr:from>
    <xdr:to>
      <xdr:col>5</xdr:col>
      <xdr:colOff>499745</xdr:colOff>
      <xdr:row>0</xdr:row>
      <xdr:rowOff>557530</xdr:rowOff>
    </xdr:to>
    <xdr:sp macro="[0]!asht4">
      <xdr:nvSpPr>
        <xdr:cNvPr id="27"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539115</xdr:colOff>
      <xdr:row>0</xdr:row>
      <xdr:rowOff>203200</xdr:rowOff>
    </xdr:from>
    <xdr:to>
      <xdr:col>6</xdr:col>
      <xdr:colOff>68580</xdr:colOff>
      <xdr:row>0</xdr:row>
      <xdr:rowOff>557530</xdr:rowOff>
    </xdr:to>
    <xdr:sp macro="[0]!asht16">
      <xdr:nvSpPr>
        <xdr:cNvPr id="28"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107950</xdr:colOff>
      <xdr:row>0</xdr:row>
      <xdr:rowOff>203200</xdr:rowOff>
    </xdr:from>
    <xdr:to>
      <xdr:col>6</xdr:col>
      <xdr:colOff>923925</xdr:colOff>
      <xdr:row>0</xdr:row>
      <xdr:rowOff>557530</xdr:rowOff>
    </xdr:to>
    <xdr:sp macro="[0]!asht14">
      <xdr:nvSpPr>
        <xdr:cNvPr id="29"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963295</xdr:colOff>
      <xdr:row>0</xdr:row>
      <xdr:rowOff>203200</xdr:rowOff>
    </xdr:from>
    <xdr:to>
      <xdr:col>7</xdr:col>
      <xdr:colOff>492125</xdr:colOff>
      <xdr:row>0</xdr:row>
      <xdr:rowOff>557530</xdr:rowOff>
    </xdr:to>
    <xdr:sp macro="[0]!asht17">
      <xdr:nvSpPr>
        <xdr:cNvPr id="30"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531495</xdr:colOff>
      <xdr:row>0</xdr:row>
      <xdr:rowOff>203200</xdr:rowOff>
    </xdr:from>
    <xdr:to>
      <xdr:col>8</xdr:col>
      <xdr:colOff>60960</xdr:colOff>
      <xdr:row>0</xdr:row>
      <xdr:rowOff>557530</xdr:rowOff>
    </xdr:to>
    <xdr:sp macro="[0]!asht5">
      <xdr:nvSpPr>
        <xdr:cNvPr id="31"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100330</xdr:colOff>
      <xdr:row>0</xdr:row>
      <xdr:rowOff>203200</xdr:rowOff>
    </xdr:from>
    <xdr:to>
      <xdr:col>8</xdr:col>
      <xdr:colOff>915670</xdr:colOff>
      <xdr:row>0</xdr:row>
      <xdr:rowOff>557530</xdr:rowOff>
    </xdr:to>
    <xdr:sp macro="[0]!asht6">
      <xdr:nvSpPr>
        <xdr:cNvPr id="32"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955040</xdr:colOff>
      <xdr:row>0</xdr:row>
      <xdr:rowOff>203200</xdr:rowOff>
    </xdr:from>
    <xdr:to>
      <xdr:col>10</xdr:col>
      <xdr:colOff>208915</xdr:colOff>
      <xdr:row>0</xdr:row>
      <xdr:rowOff>557530</xdr:rowOff>
    </xdr:to>
    <xdr:sp macro="[0]!asht7">
      <xdr:nvSpPr>
        <xdr:cNvPr id="33"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248285</xdr:colOff>
      <xdr:row>0</xdr:row>
      <xdr:rowOff>203200</xdr:rowOff>
    </xdr:from>
    <xdr:to>
      <xdr:col>11</xdr:col>
      <xdr:colOff>549275</xdr:colOff>
      <xdr:row>0</xdr:row>
      <xdr:rowOff>557530</xdr:rowOff>
    </xdr:to>
    <xdr:sp macro="[0]!asht8">
      <xdr:nvSpPr>
        <xdr:cNvPr id="34"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588645</xdr:colOff>
      <xdr:row>0</xdr:row>
      <xdr:rowOff>203200</xdr:rowOff>
    </xdr:from>
    <xdr:to>
      <xdr:col>13</xdr:col>
      <xdr:colOff>32385</xdr:colOff>
      <xdr:row>0</xdr:row>
      <xdr:rowOff>557530</xdr:rowOff>
    </xdr:to>
    <xdr:sp macro="[0]!asht15">
      <xdr:nvSpPr>
        <xdr:cNvPr id="35"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71755</xdr:colOff>
      <xdr:row>0</xdr:row>
      <xdr:rowOff>203200</xdr:rowOff>
    </xdr:from>
    <xdr:to>
      <xdr:col>14</xdr:col>
      <xdr:colOff>203835</xdr:colOff>
      <xdr:row>0</xdr:row>
      <xdr:rowOff>557530</xdr:rowOff>
    </xdr:to>
    <xdr:sp macro="[0]!asht9">
      <xdr:nvSpPr>
        <xdr:cNvPr id="36"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452120</xdr:colOff>
      <xdr:row>0</xdr:row>
      <xdr:rowOff>607060</xdr:rowOff>
    </xdr:to>
    <xdr:sp>
      <xdr:nvSpPr>
        <xdr:cNvPr id="37" name="文本框 36"/>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笔记</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14</xdr:col>
      <xdr:colOff>243205</xdr:colOff>
      <xdr:row>0</xdr:row>
      <xdr:rowOff>203200</xdr:rowOff>
    </xdr:from>
    <xdr:to>
      <xdr:col>15</xdr:col>
      <xdr:colOff>375285</xdr:colOff>
      <xdr:row>0</xdr:row>
      <xdr:rowOff>557530</xdr:rowOff>
    </xdr:to>
    <xdr:sp macro="[0]!asht10">
      <xdr:nvSpPr>
        <xdr:cNvPr id="38"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414655</xdr:colOff>
      <xdr:row>0</xdr:row>
      <xdr:rowOff>203200</xdr:rowOff>
    </xdr:from>
    <xdr:to>
      <xdr:col>16</xdr:col>
      <xdr:colOff>546735</xdr:colOff>
      <xdr:row>0</xdr:row>
      <xdr:rowOff>557530</xdr:rowOff>
    </xdr:to>
    <xdr:sp macro="[0]!asht11">
      <xdr:nvSpPr>
        <xdr:cNvPr id="39"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586105</xdr:colOff>
      <xdr:row>0</xdr:row>
      <xdr:rowOff>203200</xdr:rowOff>
    </xdr:from>
    <xdr:to>
      <xdr:col>18</xdr:col>
      <xdr:colOff>32385</xdr:colOff>
      <xdr:row>0</xdr:row>
      <xdr:rowOff>557530</xdr:rowOff>
    </xdr:to>
    <xdr:sp macro="[0]!asht12">
      <xdr:nvSpPr>
        <xdr:cNvPr id="40" name="12"/>
        <xdr:cNvSpPr/>
      </xdr:nvSpPr>
      <xdr:spPr>
        <a:xfrm>
          <a:off x="13149580" y="203200"/>
          <a:ext cx="81788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sym typeface="+mn-ea"/>
            </a:rPr>
            <a:t>笔记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18</xdr:col>
      <xdr:colOff>71755</xdr:colOff>
      <xdr:row>0</xdr:row>
      <xdr:rowOff>203200</xdr:rowOff>
    </xdr:from>
    <xdr:to>
      <xdr:col>19</xdr:col>
      <xdr:colOff>203835</xdr:colOff>
      <xdr:row>0</xdr:row>
      <xdr:rowOff>557530</xdr:rowOff>
    </xdr:to>
    <xdr:sp macro="[0]!asht13">
      <xdr:nvSpPr>
        <xdr:cNvPr id="41"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243205</xdr:colOff>
      <xdr:row>0</xdr:row>
      <xdr:rowOff>203200</xdr:rowOff>
    </xdr:from>
    <xdr:to>
      <xdr:col>20</xdr:col>
      <xdr:colOff>375285</xdr:colOff>
      <xdr:row>0</xdr:row>
      <xdr:rowOff>557530</xdr:rowOff>
    </xdr:to>
    <xdr:sp macro="[0]!asht18">
      <xdr:nvSpPr>
        <xdr:cNvPr id="42"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29.xml><?xml version="1.0" encoding="utf-8"?>
<xdr:wsDr xmlns:xdr="http://schemas.openxmlformats.org/drawingml/2006/spreadsheetDrawing" xmlns:r="http://schemas.openxmlformats.org/officeDocument/2006/relationships" xmlns:a="http://schemas.openxmlformats.org/drawingml/2006/main">
  <xdr:twoCellAnchor editAs="absolute">
    <xdr:from>
      <xdr:col>5</xdr:col>
      <xdr:colOff>939800</xdr:colOff>
      <xdr:row>1</xdr:row>
      <xdr:rowOff>71755</xdr:rowOff>
    </xdr:from>
    <xdr:to>
      <xdr:col>6</xdr:col>
      <xdr:colOff>720725</xdr:colOff>
      <xdr:row>1</xdr:row>
      <xdr:rowOff>462280</xdr:rowOff>
    </xdr:to>
    <xdr:sp macro="[0]!select13_byname">
      <xdr:nvSpPr>
        <xdr:cNvPr id="23" name="圆角矩形 22"/>
        <xdr:cNvSpPr/>
      </xdr:nvSpPr>
      <xdr:spPr>
        <a:xfrm>
          <a:off x="4140200" y="833755"/>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6</xdr:col>
      <xdr:colOff>1079500</xdr:colOff>
      <xdr:row>1</xdr:row>
      <xdr:rowOff>71755</xdr:rowOff>
    </xdr:from>
    <xdr:to>
      <xdr:col>7</xdr:col>
      <xdr:colOff>860425</xdr:colOff>
      <xdr:row>1</xdr:row>
      <xdr:rowOff>462280</xdr:rowOff>
    </xdr:to>
    <xdr:sp macro="[0]!select13">
      <xdr:nvSpPr>
        <xdr:cNvPr id="31" name="圆角矩形 30"/>
        <xdr:cNvSpPr/>
      </xdr:nvSpPr>
      <xdr:spPr>
        <a:xfrm>
          <a:off x="5565775" y="833755"/>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7</xdr:col>
      <xdr:colOff>1219200</xdr:colOff>
      <xdr:row>1</xdr:row>
      <xdr:rowOff>71755</xdr:rowOff>
    </xdr:from>
    <xdr:to>
      <xdr:col>8</xdr:col>
      <xdr:colOff>1000125</xdr:colOff>
      <xdr:row>1</xdr:row>
      <xdr:rowOff>462280</xdr:rowOff>
    </xdr:to>
    <xdr:sp macro="[0]!save13">
      <xdr:nvSpPr>
        <xdr:cNvPr id="41" name="圆角矩形 40"/>
        <xdr:cNvSpPr/>
      </xdr:nvSpPr>
      <xdr:spPr>
        <a:xfrm>
          <a:off x="6991350" y="833755"/>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新增</a:t>
          </a:r>
          <a:endParaRPr lang="zh-CN" altLang="en-US" sz="1400" b="1">
            <a:latin typeface="等线" panose="02010600030101010101" charset="-122"/>
            <a:ea typeface="等线" panose="02010600030101010101" charset="-122"/>
          </a:endParaRPr>
        </a:p>
      </xdr:txBody>
    </xdr:sp>
    <xdr:clientData fPrintsWithSheet="0"/>
  </xdr:twoCellAnchor>
  <mc:AlternateContent xmlns:mc="http://schemas.openxmlformats.org/markup-compatibility/2006">
    <mc:Choice xmlns:a14="http://schemas.microsoft.com/office/drawing/2010/main" Requires="a14">
      <xdr:twoCellAnchor editAs="absolute">
        <xdr:from>
          <xdr:col>3</xdr:col>
          <xdr:colOff>847725</xdr:colOff>
          <xdr:row>1</xdr:row>
          <xdr:rowOff>128905</xdr:rowOff>
        </xdr:from>
        <xdr:to>
          <xdr:col>5</xdr:col>
          <xdr:colOff>800100</xdr:colOff>
          <xdr:row>1</xdr:row>
          <xdr:rowOff>443230</xdr:rowOff>
        </xdr:to>
        <xdr:sp>
          <xdr:nvSpPr>
            <xdr:cNvPr id="4098" name="TextBox1" hidden="1">
              <a:extLst>
                <a:ext uri="{63B3BB69-23CF-44E3-9099-C40C66FF867C}">
                  <a14:compatExt spid="_x0000_s4098"/>
                </a:ext>
              </a:extLst>
            </xdr:cNvPr>
            <xdr:cNvSpPr/>
          </xdr:nvSpPr>
          <xdr:spPr>
            <a:xfrm>
              <a:off x="1476375" y="890905"/>
              <a:ext cx="2524125" cy="314325"/>
            </a:xfrm>
            <a:prstGeom prst="rect">
              <a:avLst/>
            </a:prstGeom>
          </xdr:spPr>
        </xdr:sp>
        <xdr:clientData/>
      </xdr:twoCellAnchor>
    </mc:Choice>
    <mc:Fallback/>
  </mc:AlternateContent>
  <xdr:twoCellAnchor editAs="absolute">
    <xdr:from>
      <xdr:col>2</xdr:col>
      <xdr:colOff>0</xdr:colOff>
      <xdr:row>1</xdr:row>
      <xdr:rowOff>50800</xdr:rowOff>
    </xdr:from>
    <xdr:to>
      <xdr:col>3</xdr:col>
      <xdr:colOff>821055</xdr:colOff>
      <xdr:row>1</xdr:row>
      <xdr:rowOff>504190</xdr:rowOff>
    </xdr:to>
    <xdr:sp>
      <xdr:nvSpPr>
        <xdr:cNvPr id="43" name="文本框 42"/>
        <xdr:cNvSpPr txBox="1"/>
      </xdr:nvSpPr>
      <xdr:spPr>
        <a:xfrm>
          <a:off x="628650" y="812800"/>
          <a:ext cx="821055"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tx1"/>
              </a:solidFill>
              <a:effectLst>
                <a:reflection blurRad="6350" stA="55000" endA="300" endPos="45500" dir="5400000" sy="-100000" algn="bl" rotWithShape="0"/>
              </a:effectLst>
              <a:latin typeface="方正姚体" panose="02010601030101010101" charset="-122"/>
              <a:ea typeface="方正姚体" panose="02010601030101010101" charset="-122"/>
            </a:rPr>
            <a:t>用户名：</a:t>
          </a:r>
          <a:endParaRPr lang="zh-CN" altLang="en-US" sz="1400" b="1">
            <a:solidFill>
              <a:schemeClr val="tx1"/>
            </a:solidFill>
            <a:effectLst>
              <a:reflection blurRad="6350" stA="55000" endA="300" endPos="45500" dir="5400000" sy="-100000" algn="bl" rotWithShape="0"/>
            </a:effectLst>
            <a:latin typeface="方正姚体" panose="02010601030101010101" charset="-122"/>
            <a:ea typeface="方正姚体" panose="02010601030101010101" charset="-122"/>
          </a:endParaRPr>
        </a:p>
      </xdr:txBody>
    </xdr:sp>
    <xdr:clientData/>
  </xdr:twoCellAnchor>
  <xdr:twoCellAnchor editAs="absolute">
    <xdr:from>
      <xdr:col>3</xdr:col>
      <xdr:colOff>489585</xdr:colOff>
      <xdr:row>0</xdr:row>
      <xdr:rowOff>127000</xdr:rowOff>
    </xdr:from>
    <xdr:to>
      <xdr:col>19</xdr:col>
      <xdr:colOff>436880</xdr:colOff>
      <xdr:row>0</xdr:row>
      <xdr:rowOff>624205</xdr:rowOff>
    </xdr:to>
    <xdr:sp>
      <xdr:nvSpPr>
        <xdr:cNvPr id="42"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546735</xdr:colOff>
      <xdr:row>0</xdr:row>
      <xdr:rowOff>203200</xdr:rowOff>
    </xdr:from>
    <xdr:to>
      <xdr:col>4</xdr:col>
      <xdr:colOff>76200</xdr:colOff>
      <xdr:row>0</xdr:row>
      <xdr:rowOff>557530</xdr:rowOff>
    </xdr:to>
    <xdr:sp macro="[0]!asht1">
      <xdr:nvSpPr>
        <xdr:cNvPr id="44"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115570</xdr:colOff>
      <xdr:row>0</xdr:row>
      <xdr:rowOff>203200</xdr:rowOff>
    </xdr:from>
    <xdr:to>
      <xdr:col>4</xdr:col>
      <xdr:colOff>930910</xdr:colOff>
      <xdr:row>0</xdr:row>
      <xdr:rowOff>557530</xdr:rowOff>
    </xdr:to>
    <xdr:sp macro="[0]!asht2">
      <xdr:nvSpPr>
        <xdr:cNvPr id="45"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970280</xdr:colOff>
      <xdr:row>0</xdr:row>
      <xdr:rowOff>203200</xdr:rowOff>
    </xdr:from>
    <xdr:to>
      <xdr:col>5</xdr:col>
      <xdr:colOff>499745</xdr:colOff>
      <xdr:row>0</xdr:row>
      <xdr:rowOff>557530</xdr:rowOff>
    </xdr:to>
    <xdr:sp macro="[0]!asht4">
      <xdr:nvSpPr>
        <xdr:cNvPr id="46"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539115</xdr:colOff>
      <xdr:row>0</xdr:row>
      <xdr:rowOff>203200</xdr:rowOff>
    </xdr:from>
    <xdr:to>
      <xdr:col>6</xdr:col>
      <xdr:colOff>68580</xdr:colOff>
      <xdr:row>0</xdr:row>
      <xdr:rowOff>557530</xdr:rowOff>
    </xdr:to>
    <xdr:sp macro="[0]!asht16">
      <xdr:nvSpPr>
        <xdr:cNvPr id="47"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107950</xdr:colOff>
      <xdr:row>0</xdr:row>
      <xdr:rowOff>203200</xdr:rowOff>
    </xdr:from>
    <xdr:to>
      <xdr:col>6</xdr:col>
      <xdr:colOff>923925</xdr:colOff>
      <xdr:row>0</xdr:row>
      <xdr:rowOff>557530</xdr:rowOff>
    </xdr:to>
    <xdr:sp macro="[0]!asht14">
      <xdr:nvSpPr>
        <xdr:cNvPr id="48"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963295</xdr:colOff>
      <xdr:row>0</xdr:row>
      <xdr:rowOff>203200</xdr:rowOff>
    </xdr:from>
    <xdr:to>
      <xdr:col>7</xdr:col>
      <xdr:colOff>492125</xdr:colOff>
      <xdr:row>0</xdr:row>
      <xdr:rowOff>557530</xdr:rowOff>
    </xdr:to>
    <xdr:sp macro="[0]!asht17">
      <xdr:nvSpPr>
        <xdr:cNvPr id="49"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531495</xdr:colOff>
      <xdr:row>0</xdr:row>
      <xdr:rowOff>203200</xdr:rowOff>
    </xdr:from>
    <xdr:to>
      <xdr:col>8</xdr:col>
      <xdr:colOff>60960</xdr:colOff>
      <xdr:row>0</xdr:row>
      <xdr:rowOff>557530</xdr:rowOff>
    </xdr:to>
    <xdr:sp macro="[0]!asht5">
      <xdr:nvSpPr>
        <xdr:cNvPr id="50"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100330</xdr:colOff>
      <xdr:row>0</xdr:row>
      <xdr:rowOff>203200</xdr:rowOff>
    </xdr:from>
    <xdr:to>
      <xdr:col>8</xdr:col>
      <xdr:colOff>915670</xdr:colOff>
      <xdr:row>0</xdr:row>
      <xdr:rowOff>557530</xdr:rowOff>
    </xdr:to>
    <xdr:sp macro="[0]!asht6">
      <xdr:nvSpPr>
        <xdr:cNvPr id="51"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955040</xdr:colOff>
      <xdr:row>0</xdr:row>
      <xdr:rowOff>203200</xdr:rowOff>
    </xdr:from>
    <xdr:to>
      <xdr:col>9</xdr:col>
      <xdr:colOff>485140</xdr:colOff>
      <xdr:row>0</xdr:row>
      <xdr:rowOff>557530</xdr:rowOff>
    </xdr:to>
    <xdr:sp macro="[0]!asht7">
      <xdr:nvSpPr>
        <xdr:cNvPr id="52"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524510</xdr:colOff>
      <xdr:row>0</xdr:row>
      <xdr:rowOff>203200</xdr:rowOff>
    </xdr:from>
    <xdr:to>
      <xdr:col>10</xdr:col>
      <xdr:colOff>53975</xdr:colOff>
      <xdr:row>0</xdr:row>
      <xdr:rowOff>557530</xdr:rowOff>
    </xdr:to>
    <xdr:sp macro="[0]!asht8">
      <xdr:nvSpPr>
        <xdr:cNvPr id="53"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93345</xdr:colOff>
      <xdr:row>0</xdr:row>
      <xdr:rowOff>203200</xdr:rowOff>
    </xdr:from>
    <xdr:to>
      <xdr:col>11</xdr:col>
      <xdr:colOff>632460</xdr:colOff>
      <xdr:row>0</xdr:row>
      <xdr:rowOff>557530</xdr:rowOff>
    </xdr:to>
    <xdr:sp macro="[0]!asht15">
      <xdr:nvSpPr>
        <xdr:cNvPr id="54"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671830</xdr:colOff>
      <xdr:row>0</xdr:row>
      <xdr:rowOff>203200</xdr:rowOff>
    </xdr:from>
    <xdr:to>
      <xdr:col>13</xdr:col>
      <xdr:colOff>118110</xdr:colOff>
      <xdr:row>0</xdr:row>
      <xdr:rowOff>557530</xdr:rowOff>
    </xdr:to>
    <xdr:sp macro="[0]!asht9">
      <xdr:nvSpPr>
        <xdr:cNvPr id="55"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452120</xdr:colOff>
      <xdr:row>0</xdr:row>
      <xdr:rowOff>607060</xdr:rowOff>
    </xdr:to>
    <xdr:sp>
      <xdr:nvSpPr>
        <xdr:cNvPr id="56" name="文本框 55"/>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用户管理</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13</xdr:col>
      <xdr:colOff>157480</xdr:colOff>
      <xdr:row>0</xdr:row>
      <xdr:rowOff>203200</xdr:rowOff>
    </xdr:from>
    <xdr:to>
      <xdr:col>14</xdr:col>
      <xdr:colOff>289560</xdr:colOff>
      <xdr:row>0</xdr:row>
      <xdr:rowOff>557530</xdr:rowOff>
    </xdr:to>
    <xdr:sp macro="[0]!asht10">
      <xdr:nvSpPr>
        <xdr:cNvPr id="57"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328930</xdr:colOff>
      <xdr:row>0</xdr:row>
      <xdr:rowOff>203200</xdr:rowOff>
    </xdr:from>
    <xdr:to>
      <xdr:col>15</xdr:col>
      <xdr:colOff>461010</xdr:colOff>
      <xdr:row>0</xdr:row>
      <xdr:rowOff>557530</xdr:rowOff>
    </xdr:to>
    <xdr:sp macro="[0]!asht11">
      <xdr:nvSpPr>
        <xdr:cNvPr id="58"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500380</xdr:colOff>
      <xdr:row>0</xdr:row>
      <xdr:rowOff>203200</xdr:rowOff>
    </xdr:from>
    <xdr:to>
      <xdr:col>16</xdr:col>
      <xdr:colOff>632460</xdr:colOff>
      <xdr:row>0</xdr:row>
      <xdr:rowOff>557530</xdr:rowOff>
    </xdr:to>
    <xdr:sp macro="[0]!asht12">
      <xdr:nvSpPr>
        <xdr:cNvPr id="59"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671830</xdr:colOff>
      <xdr:row>0</xdr:row>
      <xdr:rowOff>203200</xdr:rowOff>
    </xdr:from>
    <xdr:to>
      <xdr:col>18</xdr:col>
      <xdr:colOff>118110</xdr:colOff>
      <xdr:row>0</xdr:row>
      <xdr:rowOff>557530</xdr:rowOff>
    </xdr:to>
    <xdr:sp macro="[0]!asht13">
      <xdr:nvSpPr>
        <xdr:cNvPr id="60" name="12"/>
        <xdr:cNvSpPr/>
      </xdr:nvSpPr>
      <xdr:spPr>
        <a:xfrm>
          <a:off x="14006830" y="203200"/>
          <a:ext cx="81788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用户管理</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18</xdr:col>
      <xdr:colOff>157480</xdr:colOff>
      <xdr:row>0</xdr:row>
      <xdr:rowOff>203200</xdr:rowOff>
    </xdr:from>
    <xdr:to>
      <xdr:col>19</xdr:col>
      <xdr:colOff>289560</xdr:colOff>
      <xdr:row>0</xdr:row>
      <xdr:rowOff>557530</xdr:rowOff>
    </xdr:to>
    <xdr:sp macro="[0]!asht18">
      <xdr:nvSpPr>
        <xdr:cNvPr id="61"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30.xml><?xml version="1.0" encoding="utf-8"?>
<xdr:wsDr xmlns:xdr="http://schemas.openxmlformats.org/drawingml/2006/spreadsheetDrawing" xmlns:r="http://schemas.openxmlformats.org/officeDocument/2006/relationships" xmlns:a="http://schemas.openxmlformats.org/drawingml/2006/main">
  <xdr:twoCellAnchor editAs="absolute">
    <xdr:from>
      <xdr:col>3</xdr:col>
      <xdr:colOff>508635</xdr:colOff>
      <xdr:row>0</xdr:row>
      <xdr:rowOff>127000</xdr:rowOff>
    </xdr:from>
    <xdr:to>
      <xdr:col>24</xdr:col>
      <xdr:colOff>570230</xdr:colOff>
      <xdr:row>0</xdr:row>
      <xdr:rowOff>624205</xdr:rowOff>
    </xdr:to>
    <xdr:sp>
      <xdr:nvSpPr>
        <xdr:cNvPr id="25"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3</xdr:col>
      <xdr:colOff>1381125</xdr:colOff>
      <xdr:row>0</xdr:row>
      <xdr:rowOff>557530</xdr:rowOff>
    </xdr:to>
    <xdr:sp macro="[0]!asht1">
      <xdr:nvSpPr>
        <xdr:cNvPr id="26"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1420495</xdr:colOff>
      <xdr:row>0</xdr:row>
      <xdr:rowOff>203200</xdr:rowOff>
    </xdr:from>
    <xdr:to>
      <xdr:col>4</xdr:col>
      <xdr:colOff>187960</xdr:colOff>
      <xdr:row>0</xdr:row>
      <xdr:rowOff>557530</xdr:rowOff>
    </xdr:to>
    <xdr:sp macro="[0]!asht2">
      <xdr:nvSpPr>
        <xdr:cNvPr id="27"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227330</xdr:colOff>
      <xdr:row>0</xdr:row>
      <xdr:rowOff>203200</xdr:rowOff>
    </xdr:from>
    <xdr:to>
      <xdr:col>7</xdr:col>
      <xdr:colOff>99695</xdr:colOff>
      <xdr:row>0</xdr:row>
      <xdr:rowOff>557530</xdr:rowOff>
    </xdr:to>
    <xdr:sp macro="[0]!asht4">
      <xdr:nvSpPr>
        <xdr:cNvPr id="28"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139065</xdr:colOff>
      <xdr:row>0</xdr:row>
      <xdr:rowOff>203200</xdr:rowOff>
    </xdr:from>
    <xdr:to>
      <xdr:col>8</xdr:col>
      <xdr:colOff>268605</xdr:colOff>
      <xdr:row>0</xdr:row>
      <xdr:rowOff>557530</xdr:rowOff>
    </xdr:to>
    <xdr:sp macro="[0]!asht16">
      <xdr:nvSpPr>
        <xdr:cNvPr id="29"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307975</xdr:colOff>
      <xdr:row>0</xdr:row>
      <xdr:rowOff>203200</xdr:rowOff>
    </xdr:from>
    <xdr:to>
      <xdr:col>9</xdr:col>
      <xdr:colOff>438150</xdr:colOff>
      <xdr:row>0</xdr:row>
      <xdr:rowOff>557530</xdr:rowOff>
    </xdr:to>
    <xdr:sp macro="[0]!asht14">
      <xdr:nvSpPr>
        <xdr:cNvPr id="30"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477520</xdr:colOff>
      <xdr:row>0</xdr:row>
      <xdr:rowOff>203200</xdr:rowOff>
    </xdr:from>
    <xdr:to>
      <xdr:col>10</xdr:col>
      <xdr:colOff>606425</xdr:colOff>
      <xdr:row>0</xdr:row>
      <xdr:rowOff>557530</xdr:rowOff>
    </xdr:to>
    <xdr:sp macro="[0]!asht17">
      <xdr:nvSpPr>
        <xdr:cNvPr id="31"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645795</xdr:colOff>
      <xdr:row>0</xdr:row>
      <xdr:rowOff>203200</xdr:rowOff>
    </xdr:from>
    <xdr:to>
      <xdr:col>12</xdr:col>
      <xdr:colOff>89535</xdr:colOff>
      <xdr:row>0</xdr:row>
      <xdr:rowOff>557530</xdr:rowOff>
    </xdr:to>
    <xdr:sp macro="[0]!asht5">
      <xdr:nvSpPr>
        <xdr:cNvPr id="32"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128905</xdr:colOff>
      <xdr:row>0</xdr:row>
      <xdr:rowOff>203200</xdr:rowOff>
    </xdr:from>
    <xdr:to>
      <xdr:col>13</xdr:col>
      <xdr:colOff>258445</xdr:colOff>
      <xdr:row>0</xdr:row>
      <xdr:rowOff>557530</xdr:rowOff>
    </xdr:to>
    <xdr:sp macro="[0]!asht6">
      <xdr:nvSpPr>
        <xdr:cNvPr id="33"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297815</xdr:colOff>
      <xdr:row>0</xdr:row>
      <xdr:rowOff>203200</xdr:rowOff>
    </xdr:from>
    <xdr:to>
      <xdr:col>14</xdr:col>
      <xdr:colOff>427990</xdr:colOff>
      <xdr:row>0</xdr:row>
      <xdr:rowOff>557530</xdr:rowOff>
    </xdr:to>
    <xdr:sp macro="[0]!asht7">
      <xdr:nvSpPr>
        <xdr:cNvPr id="34"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467360</xdr:colOff>
      <xdr:row>0</xdr:row>
      <xdr:rowOff>203200</xdr:rowOff>
    </xdr:from>
    <xdr:to>
      <xdr:col>15</xdr:col>
      <xdr:colOff>596900</xdr:colOff>
      <xdr:row>0</xdr:row>
      <xdr:rowOff>557530</xdr:rowOff>
    </xdr:to>
    <xdr:sp macro="[0]!asht8">
      <xdr:nvSpPr>
        <xdr:cNvPr id="35"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636270</xdr:colOff>
      <xdr:row>0</xdr:row>
      <xdr:rowOff>203200</xdr:rowOff>
    </xdr:from>
    <xdr:to>
      <xdr:col>17</xdr:col>
      <xdr:colOff>80010</xdr:colOff>
      <xdr:row>0</xdr:row>
      <xdr:rowOff>557530</xdr:rowOff>
    </xdr:to>
    <xdr:sp macro="[0]!asht15">
      <xdr:nvSpPr>
        <xdr:cNvPr id="36"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17</xdr:col>
      <xdr:colOff>119380</xdr:colOff>
      <xdr:row>0</xdr:row>
      <xdr:rowOff>203200</xdr:rowOff>
    </xdr:from>
    <xdr:to>
      <xdr:col>18</xdr:col>
      <xdr:colOff>251460</xdr:colOff>
      <xdr:row>0</xdr:row>
      <xdr:rowOff>557530</xdr:rowOff>
    </xdr:to>
    <xdr:sp macro="[0]!asht9">
      <xdr:nvSpPr>
        <xdr:cNvPr id="37"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38" name="文本框 37"/>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二维码打印</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18</xdr:col>
      <xdr:colOff>290830</xdr:colOff>
      <xdr:row>0</xdr:row>
      <xdr:rowOff>203200</xdr:rowOff>
    </xdr:from>
    <xdr:to>
      <xdr:col>19</xdr:col>
      <xdr:colOff>422910</xdr:colOff>
      <xdr:row>0</xdr:row>
      <xdr:rowOff>557530</xdr:rowOff>
    </xdr:to>
    <xdr:sp macro="[0]!asht10">
      <xdr:nvSpPr>
        <xdr:cNvPr id="39"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462280</xdr:colOff>
      <xdr:row>0</xdr:row>
      <xdr:rowOff>203200</xdr:rowOff>
    </xdr:from>
    <xdr:to>
      <xdr:col>20</xdr:col>
      <xdr:colOff>594360</xdr:colOff>
      <xdr:row>0</xdr:row>
      <xdr:rowOff>557530</xdr:rowOff>
    </xdr:to>
    <xdr:sp macro="[0]!asht11">
      <xdr:nvSpPr>
        <xdr:cNvPr id="40"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633730</xdr:colOff>
      <xdr:row>0</xdr:row>
      <xdr:rowOff>203200</xdr:rowOff>
    </xdr:from>
    <xdr:to>
      <xdr:col>22</xdr:col>
      <xdr:colOff>80010</xdr:colOff>
      <xdr:row>0</xdr:row>
      <xdr:rowOff>557530</xdr:rowOff>
    </xdr:to>
    <xdr:sp macro="[0]!asht12">
      <xdr:nvSpPr>
        <xdr:cNvPr id="41"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119380</xdr:colOff>
      <xdr:row>0</xdr:row>
      <xdr:rowOff>203200</xdr:rowOff>
    </xdr:from>
    <xdr:to>
      <xdr:col>23</xdr:col>
      <xdr:colOff>251460</xdr:colOff>
      <xdr:row>0</xdr:row>
      <xdr:rowOff>557530</xdr:rowOff>
    </xdr:to>
    <xdr:sp macro="[0]!asht13">
      <xdr:nvSpPr>
        <xdr:cNvPr id="42"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290830</xdr:colOff>
      <xdr:row>0</xdr:row>
      <xdr:rowOff>203200</xdr:rowOff>
    </xdr:from>
    <xdr:to>
      <xdr:col>24</xdr:col>
      <xdr:colOff>422910</xdr:colOff>
      <xdr:row>0</xdr:row>
      <xdr:rowOff>557530</xdr:rowOff>
    </xdr:to>
    <xdr:sp macro="[0]!asht18">
      <xdr:nvSpPr>
        <xdr:cNvPr id="43" name="12"/>
        <xdr:cNvSpPr/>
      </xdr:nvSpPr>
      <xdr:spPr>
        <a:xfrm>
          <a:off x="14864080" y="203200"/>
          <a:ext cx="81788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二维码打印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28575</xdr:colOff>
      <xdr:row>1</xdr:row>
      <xdr:rowOff>47625</xdr:rowOff>
    </xdr:from>
    <xdr:to>
      <xdr:col>3</xdr:col>
      <xdr:colOff>1095375</xdr:colOff>
      <xdr:row>1</xdr:row>
      <xdr:rowOff>438150</xdr:rowOff>
    </xdr:to>
    <xdr:sp macro="[0]!print_out">
      <xdr:nvSpPr>
        <xdr:cNvPr id="44" name="圆角矩形 43"/>
        <xdr:cNvSpPr/>
      </xdr:nvSpPr>
      <xdr:spPr>
        <a:xfrm>
          <a:off x="638175" y="809625"/>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打印</a:t>
          </a:r>
          <a:endParaRPr lang="zh-CN" altLang="en-US" sz="1400" b="1">
            <a:latin typeface="等线" panose="02010600030101010101" charset="-122"/>
            <a:ea typeface="等线" panose="02010600030101010101" charset="-122"/>
          </a:endParaRPr>
        </a:p>
      </xdr:txBody>
    </xdr:sp>
    <xdr:clientData/>
  </xdr:twoCellAnchor>
  <xdr:twoCellAnchor>
    <xdr:from>
      <xdr:col>2</xdr:col>
      <xdr:colOff>0</xdr:colOff>
      <xdr:row>2</xdr:row>
      <xdr:rowOff>1771650</xdr:rowOff>
    </xdr:from>
    <xdr:to>
      <xdr:col>3</xdr:col>
      <xdr:colOff>2095500</xdr:colOff>
      <xdr:row>3</xdr:row>
      <xdr:rowOff>546100</xdr:rowOff>
    </xdr:to>
    <xdr:sp>
      <xdr:nvSpPr>
        <xdr:cNvPr id="1462" name="矩形 1461"/>
        <xdr:cNvSpPr/>
      </xdr:nvSpPr>
      <xdr:spPr>
        <a:xfrm>
          <a:off x="609600" y="3041015"/>
          <a:ext cx="2047875" cy="552450"/>
        </a:xfrm>
        <a:prstGeom prst="rect">
          <a:avLst/>
        </a:prstGeom>
        <a:solidFill>
          <a:srgbClr val="FFFFFF"/>
        </a:solidFill>
        <a:ln w="12700" cap="flat" cmpd="sng" algn="ctr">
          <a:noFill/>
          <a:prstDash val="solid"/>
          <a:miter lim="800000"/>
        </a:ln>
        <a:extLst>
          <a:ext uri="{909E8E84-426E-40DD-AFC4-6F175D3DCCD1}">
            <a14:hiddenFill xmlns:a14="http://schemas.microsoft.com/office/drawing/2010/main">
              <a:gradFill>
                <a:gsLst>
                  <a:gs pos="0">
                    <a:srgbClr val="007BD3"/>
                  </a:gs>
                  <a:gs pos="100000">
                    <a:srgbClr val="034373"/>
                  </a:gs>
                </a:gsLst>
                <a:lin scaled="0"/>
              </a:gradFill>
            </a14:hiddenFill>
          </a:ex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clientData/>
  </xdr:twoCellAnchor>
  <xdr:twoCellAnchor editAs="oneCell">
    <xdr:from>
      <xdr:col>3</xdr:col>
      <xdr:colOff>325119</xdr:colOff>
      <xdr:row>2</xdr:row>
      <xdr:rowOff>63499</xdr:rowOff>
    </xdr:from>
    <xdr:to>
      <xdr:col>3</xdr:col>
      <xdr:colOff>1722119</xdr:colOff>
      <xdr:row>2</xdr:row>
      <xdr:rowOff>1454797</xdr:rowOff>
    </xdr:to>
    <xdr:pic>
      <xdr:nvPicPr>
        <xdr:cNvPr id="2" name="pic"/>
        <xdr:cNvPicPr>
          <a:picLocks noChangeAspect="1"/>
        </xdr:cNvPicPr>
      </xdr:nvPicPr>
      <xdr:blipFill>
        <a:blip r:embed="rId1"/>
        <a:stretch>
          <a:fillRect/>
        </a:stretch>
      </xdr:blipFill>
      <xdr:spPr>
        <a:xfrm>
          <a:off x="934085" y="1332230"/>
          <a:ext cx="1397000" cy="1391920"/>
        </a:xfrm>
        <a:prstGeom prst="rect">
          <a:avLst/>
        </a:prstGeom>
        <a:noFill/>
        <a:ln w="9525">
          <a:noFill/>
        </a:ln>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Administrator.SC-201910250949\AppData\Roaming\kingsoft\office6\backup\&#36827;&#38144;&#23384;&#31995;&#32479;mysql_&#21103;&#26412;.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首页"/>
      <sheetName val="说明书"/>
      <sheetName val="加密"/>
      <sheetName val="入库"/>
      <sheetName val="出库"/>
      <sheetName val="入库单"/>
      <sheetName val="出库单"/>
      <sheetName val="期初数"/>
      <sheetName val="明细"/>
      <sheetName val="进销存"/>
      <sheetName val="商品进出查询"/>
      <sheetName val="客户|供应商查询"/>
      <sheetName val="基础资料"/>
      <sheetName val="客户资料"/>
      <sheetName val="供应商资料"/>
      <sheetName val="笔记"/>
      <sheetName val="用户管理"/>
      <sheetName val="二维码打印"/>
    </sheetNames>
    <definedNames>
      <definedName name="asht10"/>
      <definedName name="asht11"/>
      <definedName name="asht8"/>
      <definedName name="asht9"/>
      <definedName name="asht4"/>
      <definedName name="asht5"/>
      <definedName name="asht6"/>
      <definedName name="asht7"/>
      <definedName name="asht12"/>
      <definedName name="asht13"/>
      <definedName name="asht14"/>
      <definedName name="asht18"/>
      <definedName name="asht15"/>
      <definedName name="asht1"/>
      <definedName name="asht2"/>
      <definedName name="asht16"/>
      <definedName name="asht17"/>
      <definedName name="print_out"/>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Set>
  </externalBook>
</externalLink>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gradFill>
          <a:gsLst>
            <a:gs pos="0">
              <a:srgbClr val="007BD3"/>
            </a:gs>
            <a:gs pos="100000">
              <a:srgbClr val="034373"/>
            </a:gs>
          </a:gsLst>
          <a:lin scaled="0"/>
        </a:gradFill>
      </a:spPr>
      <a:bodyPr vertOverflow="clip" horzOverflow="clip" wrap="square" rtlCol="0" anchor="ctr" anchorCtr="0"/>
      <a:lstStyle>
        <a:defPPr algn="ctr">
          <a:defRPr lang="zh-CN" altLang="en-US" sz="1400" b="1">
            <a:latin typeface="等线" panose="02010600030101010101" charset="-122"/>
            <a:ea typeface="等线" panose="02010600030101010101" charset="-122"/>
          </a:defRPr>
        </a:defPPr>
      </a:lstStyle>
      <a:style>
        <a:lnRef idx="2">
          <a:schemeClr val="accent1">
            <a:shade val="50000"/>
          </a:schemeClr>
        </a:lnRef>
        <a:fillRef idx="1">
          <a:schemeClr val="accent1"/>
        </a:fillRef>
        <a:effectRef idx="0">
          <a:schemeClr val="accent1"/>
        </a:effectRef>
        <a:fontRef idx="minor">
          <a:schemeClr val="lt1"/>
        </a:fontRef>
      </a:style>
    </a:spDef>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comments" Target="../comments1.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5.xml"/><Relationship Id="rId1" Type="http://schemas.openxmlformats.org/officeDocument/2006/relationships/comments" Target="../comments2.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2.xml"/><Relationship Id="rId1" Type="http://schemas.openxmlformats.org/officeDocument/2006/relationships/comments" Target="../comments3.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20.xml"/><Relationship Id="rId1" Type="http://schemas.openxmlformats.org/officeDocument/2006/relationships/comments" Target="../comments4.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1.xml"/><Relationship Id="rId1" Type="http://schemas.openxmlformats.org/officeDocument/2006/relationships/comments" Target="../comments5.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23.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24.xml"/><Relationship Id="rId1" Type="http://schemas.openxmlformats.org/officeDocument/2006/relationships/comments" Target="../comments6.xml"/></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25.xml"/></Relationships>
</file>

<file path=xl/worksheets/_rels/sheet27.xml.rels><?xml version="1.0" encoding="UTF-8" standalone="yes"?>
<Relationships xmlns="http://schemas.openxmlformats.org/package/2006/relationships"><Relationship Id="rId1" Type="http://schemas.openxmlformats.org/officeDocument/2006/relationships/drawing" Target="../drawings/drawing26.xml"/></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27.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28.xml"/></Relationships>
</file>

<file path=xl/worksheets/_rels/sheet30.xml.rels><?xml version="1.0" encoding="UTF-8" standalone="yes"?>
<Relationships xmlns="http://schemas.openxmlformats.org/package/2006/relationships"><Relationship Id="rId4" Type="http://schemas.openxmlformats.org/officeDocument/2006/relationships/image" Target="../media/image1.wmf"/><Relationship Id="rId3" Type="http://schemas.openxmlformats.org/officeDocument/2006/relationships/control" Target="../activeX/activeX1.xml"/><Relationship Id="rId2" Type="http://schemas.openxmlformats.org/officeDocument/2006/relationships/vmlDrawing" Target="../drawings/vmlDrawing7.vml"/><Relationship Id="rId1" Type="http://schemas.openxmlformats.org/officeDocument/2006/relationships/drawing" Target="../drawings/drawing29.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3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4:AP13"/>
  <sheetViews>
    <sheetView showGridLines="0" showRowColHeaders="0" tabSelected="1" workbookViewId="0">
      <selection activeCell="AP16" sqref="AP16"/>
    </sheetView>
  </sheetViews>
  <sheetFormatPr defaultColWidth="3.625" defaultRowHeight="17.1" customHeight="1"/>
  <cols>
    <col min="1" max="1" width="3.625" style="95" customWidth="1"/>
    <col min="2" max="16384" width="3.625" style="95"/>
  </cols>
  <sheetData>
    <row r="4" customHeight="1" spans="1:42">
      <c r="A4" s="96"/>
      <c r="B4" s="96"/>
      <c r="C4" s="96"/>
      <c r="D4" s="96"/>
      <c r="E4" s="96"/>
      <c r="F4" s="96"/>
      <c r="G4" s="96"/>
      <c r="H4" s="96"/>
      <c r="I4" s="96"/>
      <c r="J4" s="96"/>
      <c r="K4" s="96"/>
      <c r="L4" s="96"/>
      <c r="M4" s="96"/>
      <c r="N4" s="96"/>
      <c r="O4" s="96"/>
      <c r="P4" s="96"/>
      <c r="Q4" s="96"/>
      <c r="R4" s="96"/>
      <c r="S4" s="96"/>
      <c r="T4" s="96"/>
      <c r="U4" s="96"/>
      <c r="V4" s="96"/>
      <c r="W4" s="96"/>
      <c r="X4" s="96"/>
      <c r="Y4" s="96"/>
      <c r="Z4" s="96"/>
      <c r="AA4" s="96"/>
      <c r="AB4" s="96"/>
      <c r="AC4" s="96"/>
      <c r="AD4" s="96"/>
      <c r="AE4" s="96"/>
      <c r="AF4" s="96"/>
      <c r="AG4" s="96"/>
      <c r="AH4" s="96"/>
      <c r="AI4" s="96"/>
      <c r="AJ4" s="96"/>
      <c r="AK4" s="96"/>
      <c r="AL4" s="96"/>
      <c r="AM4" s="96"/>
      <c r="AN4" s="96"/>
      <c r="AO4" s="96"/>
      <c r="AP4" s="96"/>
    </row>
    <row r="5" customHeight="1" spans="1:42">
      <c r="A5" s="96"/>
      <c r="B5" s="96"/>
      <c r="C5" s="96"/>
      <c r="D5" s="96"/>
      <c r="E5" s="96"/>
      <c r="F5" s="96"/>
      <c r="G5" s="96"/>
      <c r="H5" s="96"/>
      <c r="I5" s="96"/>
      <c r="J5" s="96"/>
      <c r="K5" s="96"/>
      <c r="L5" s="96"/>
      <c r="M5" s="96"/>
      <c r="N5" s="96"/>
      <c r="O5" s="96"/>
      <c r="P5" s="96"/>
      <c r="Q5" s="96"/>
      <c r="R5" s="96"/>
      <c r="S5" s="96"/>
      <c r="T5" s="96"/>
      <c r="U5" s="96"/>
      <c r="V5" s="96"/>
      <c r="W5" s="96"/>
      <c r="X5" s="96"/>
      <c r="Y5" s="96"/>
      <c r="Z5" s="96"/>
      <c r="AA5" s="96"/>
      <c r="AB5" s="96"/>
      <c r="AC5" s="96"/>
      <c r="AD5" s="96"/>
      <c r="AE5" s="96"/>
      <c r="AF5" s="96"/>
      <c r="AG5" s="96"/>
      <c r="AH5" s="96"/>
      <c r="AI5" s="96"/>
      <c r="AJ5" s="96"/>
      <c r="AK5" s="96"/>
      <c r="AL5" s="96"/>
      <c r="AM5" s="96"/>
      <c r="AN5" s="96"/>
      <c r="AO5" s="96"/>
      <c r="AP5" s="96"/>
    </row>
    <row r="6" customHeight="1" spans="1:42">
      <c r="A6" s="97"/>
      <c r="B6" s="97"/>
      <c r="C6" s="97"/>
      <c r="D6" s="97"/>
      <c r="E6" s="97"/>
      <c r="F6" s="97"/>
      <c r="G6" s="97"/>
      <c r="H6" s="98"/>
      <c r="I6" s="98"/>
      <c r="J6" s="98"/>
      <c r="K6" s="98"/>
      <c r="L6" s="98"/>
      <c r="M6" s="98"/>
      <c r="N6" s="98"/>
      <c r="O6" s="98"/>
      <c r="P6" s="98"/>
      <c r="Q6" s="98"/>
      <c r="R6" s="97"/>
      <c r="S6" s="97"/>
      <c r="T6" s="97"/>
      <c r="U6" s="97"/>
      <c r="V6" s="97"/>
      <c r="W6" s="97"/>
      <c r="X6" s="97"/>
      <c r="Y6" s="97"/>
      <c r="Z6" s="97"/>
      <c r="AA6" s="97"/>
      <c r="AB6" s="97"/>
      <c r="AC6" s="97"/>
      <c r="AD6" s="97"/>
      <c r="AE6" s="97"/>
      <c r="AF6" s="97"/>
      <c r="AG6" s="97"/>
      <c r="AH6" s="97"/>
      <c r="AI6" s="97"/>
      <c r="AJ6" s="97"/>
      <c r="AK6" s="97"/>
      <c r="AL6" s="97"/>
      <c r="AM6" s="97"/>
      <c r="AN6" s="97"/>
      <c r="AO6" s="97"/>
      <c r="AP6" s="97"/>
    </row>
    <row r="7" customHeight="1" spans="1:42">
      <c r="E7" s="99"/>
      <c r="F7" s="99"/>
      <c r="G7" s="99"/>
      <c r="H7" s="100"/>
      <c r="I7" s="100"/>
      <c r="J7" s="100"/>
      <c r="K7" s="100"/>
      <c r="L7" s="100"/>
      <c r="M7" s="100"/>
      <c r="N7" s="101"/>
      <c r="O7" s="101"/>
      <c r="P7" s="101"/>
      <c r="Q7" s="101"/>
      <c r="T7" s="101"/>
      <c r="U7" s="101"/>
      <c r="V7" s="101"/>
      <c r="W7" s="101"/>
    </row>
    <row r="8" customHeight="1" spans="1:42">
      <c r="H8" s="101"/>
      <c r="I8" s="101"/>
      <c r="J8" s="101"/>
      <c r="K8" s="101"/>
      <c r="L8" s="101"/>
      <c r="M8" s="101"/>
      <c r="N8" s="101"/>
      <c r="O8" s="101"/>
      <c r="P8" s="101"/>
      <c r="Q8" s="101"/>
      <c r="T8" s="101"/>
      <c r="U8" s="101"/>
      <c r="V8" s="101"/>
      <c r="W8" s="101"/>
    </row>
    <row r="9" customHeight="1" spans="1:42">
      <c r="H9" s="101"/>
      <c r="I9" s="101"/>
      <c r="J9" s="101"/>
      <c r="K9" s="101"/>
      <c r="L9" s="101"/>
      <c r="M9" s="101"/>
      <c r="N9" s="101"/>
      <c r="O9" s="101"/>
      <c r="P9" s="101"/>
      <c r="Q9" s="101"/>
      <c r="R9" s="101"/>
      <c r="S9" s="101"/>
      <c r="T9" s="101"/>
      <c r="U9" s="101"/>
      <c r="V9" s="101"/>
      <c r="W9" s="101"/>
    </row>
    <row r="10" customHeight="1" spans="1:42">
      <c r="Q10" s="101"/>
      <c r="R10" s="101"/>
      <c r="S10" s="101"/>
      <c r="T10" s="101"/>
      <c r="U10" s="101"/>
      <c r="V10" s="101"/>
      <c r="W10" s="101"/>
    </row>
    <row r="11" customHeight="1" spans="1:42">
      <c r="Q11" s="101"/>
      <c r="R11" s="101"/>
      <c r="S11" s="101"/>
      <c r="T11" s="101"/>
      <c r="U11" s="101"/>
      <c r="V11" s="101"/>
      <c r="W11" s="101"/>
    </row>
    <row r="12" customHeight="1" spans="1:42">
      <c r="Q12" s="101"/>
      <c r="R12" s="101"/>
      <c r="S12" s="101"/>
      <c r="T12" s="101"/>
      <c r="U12" s="101"/>
      <c r="V12" s="101"/>
      <c r="W12" s="101"/>
    </row>
    <row r="13" customHeight="1" spans="1:42">
      <c r="Q13" s="101"/>
      <c r="R13" s="101"/>
      <c r="S13" s="101"/>
      <c r="T13" s="101"/>
      <c r="U13" s="101"/>
      <c r="V13" s="101"/>
      <c r="W13" s="101"/>
    </row>
  </sheetData>
  <sheetProtection algorithmName="SHA-512" hashValue="yTI5aD1kuAKbBHig0wo0/ZZmEOoVnCGRtTB9yc5jmNZarfWsEo3FU1UD41AC6BbmOqOV6fmltHcGhyvApHJk3A==" saltValue="hMVfJHf6WNCYEtvl4onu0Q==" spinCount="100000" sheet="1" selectLockedCells="1" selectUnlockedCells="1" objects="1"/>
  <pageMargins left="0.75" right="0.75" top="1" bottom="1" header="0.511805555555556" footer="0.511805555555556"/>
  <pageSetup paperSize="9" orientation="portrait"/>
  <headerFooter alignWithMargins="0" scaleWithDoc="0"/>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J300"/>
  <sheetViews>
    <sheetView showGridLines="0" showRowColHeaders="0" workbookViewId="0">
      <pane ySplit="2" topLeftCell="A3" activePane="bottomLeft" state="frozen"/>
      <selection/>
      <selection pane="bottomLeft" activeCell="AP16" sqref="AP16"/>
    </sheetView>
  </sheetViews>
  <sheetFormatPr defaultColWidth="9" defaultRowHeight="21.95" customHeight="1"/>
  <cols>
    <col min="1" max="1" width="1.625" style="77" customWidth="1"/>
    <col min="2" max="2" width="2.625" style="78" customWidth="1"/>
    <col min="3" max="3" width="15.25" style="79" customWidth="1"/>
    <col min="4" max="4" width="19.125" style="80" customWidth="1"/>
    <col min="5" max="5" width="10.5" style="80" customWidth="1"/>
    <col min="6" max="8" width="24.625" style="80" customWidth="1"/>
    <col min="9" max="9" width="2.625" style="78" customWidth="1"/>
    <col min="10" max="10" width="4.25" style="77" customWidth="1"/>
    <col min="11" max="16384" width="9" style="77"/>
  </cols>
  <sheetData>
    <row r="1" s="75" customFormat="1" ht="54.95" customHeight="1" spans="1:10">
      <c r="A1" s="81"/>
      <c r="C1" s="82"/>
      <c r="J1" s="83"/>
    </row>
    <row r="2" ht="15.95" customHeight="1" spans="1:10">
      <c r="B2" s="77"/>
      <c r="C2" s="84"/>
      <c r="D2" s="77"/>
      <c r="E2" s="77"/>
      <c r="F2" s="77"/>
      <c r="G2" s="77"/>
      <c r="H2" s="77"/>
      <c r="I2" s="77"/>
    </row>
    <row r="3" ht="15.95" customHeight="1" spans="1:10">
      <c r="C3" s="85"/>
      <c r="D3" s="78"/>
      <c r="E3" s="78"/>
      <c r="F3" s="78"/>
      <c r="G3" s="78"/>
      <c r="H3" s="78"/>
    </row>
    <row r="4" ht="75.95" customHeight="1" spans="1:10">
      <c r="C4" s="86" t="s">
        <v>0</v>
      </c>
      <c r="D4" s="87"/>
      <c r="E4" s="87"/>
      <c r="F4" s="88">
        <f>D7</f>
        <v>1</v>
      </c>
      <c r="G4" s="89" t="s">
        <v>1</v>
      </c>
      <c r="H4" s="89"/>
    </row>
    <row r="5" ht="6" customHeight="1" spans="1:10">
      <c r="C5" s="90"/>
      <c r="D5" s="87"/>
      <c r="E5" s="87"/>
      <c r="F5" s="91"/>
      <c r="G5" s="91"/>
      <c r="H5" s="91"/>
    </row>
    <row r="6" s="76" customFormat="1" ht="9" customHeight="1" spans="1:10">
      <c r="B6" s="78"/>
      <c r="C6" s="92"/>
      <c r="D6" s="93"/>
      <c r="E6" s="93"/>
      <c r="F6" s="94"/>
      <c r="G6" s="94"/>
      <c r="H6" s="94"/>
      <c r="I6" s="78"/>
    </row>
    <row r="7" hidden="1" customHeight="1" spans="1:10">
      <c r="B7" s="78" t="s">
        <v>2</v>
      </c>
      <c r="D7" s="80">
        <v>1</v>
      </c>
    </row>
    <row r="8" customHeight="1" spans="1:10">
      <c r="C8" s="79" t="s">
        <v>3</v>
      </c>
      <c r="D8" s="80" t="s">
        <v>4</v>
      </c>
    </row>
    <row r="9" customHeight="1" spans="1:10">
      <c r="C9" s="79" t="s">
        <v>5</v>
      </c>
      <c r="D9" s="80" t="s">
        <v>6</v>
      </c>
    </row>
    <row r="18" hidden="1" customHeight="1" spans="3:4">
      <c r="C18" s="79" t="s">
        <v>3</v>
      </c>
      <c r="D18" s="80" t="s">
        <v>7</v>
      </c>
    </row>
    <row r="19" hidden="1" customHeight="1" spans="3:4">
      <c r="C19" s="79" t="s">
        <v>5</v>
      </c>
      <c r="D19" s="80" t="s">
        <v>8</v>
      </c>
    </row>
    <row r="20" hidden="1" customHeight="1" spans="3:4">
      <c r="C20" s="79" t="s">
        <v>9</v>
      </c>
      <c r="D20" s="80" t="s">
        <v>10</v>
      </c>
    </row>
    <row r="21" hidden="1" customHeight="1"/>
    <row r="22" hidden="1" customHeight="1"/>
    <row r="23" hidden="1" customHeight="1"/>
    <row r="24" hidden="1" customHeight="1"/>
    <row r="25" hidden="1" customHeight="1"/>
    <row r="26" hidden="1" customHeight="1"/>
    <row r="27" hidden="1" customHeight="1"/>
    <row r="28" hidden="1" customHeight="1" spans="3:4">
      <c r="C28" s="79" t="s">
        <v>3</v>
      </c>
      <c r="D28" s="80" t="s">
        <v>11</v>
      </c>
    </row>
    <row r="29" hidden="1" customHeight="1" spans="3:4">
      <c r="C29" s="79" t="s">
        <v>5</v>
      </c>
      <c r="D29" s="80" t="s">
        <v>12</v>
      </c>
    </row>
    <row r="30" hidden="1" customHeight="1" spans="3:4">
      <c r="C30" s="79" t="s">
        <v>9</v>
      </c>
      <c r="D30" s="80" t="s">
        <v>10</v>
      </c>
    </row>
    <row r="31" hidden="1" customHeight="1"/>
    <row r="32" hidden="1" customHeight="1"/>
    <row r="33" hidden="1" customHeight="1"/>
    <row r="34" hidden="1" customHeight="1"/>
    <row r="35" hidden="1" customHeight="1"/>
    <row r="36" hidden="1" customHeight="1"/>
    <row r="37" hidden="1" customHeight="1"/>
    <row r="38" hidden="1" customHeight="1" spans="3:4">
      <c r="C38" s="79" t="s">
        <v>3</v>
      </c>
      <c r="D38" s="80" t="s">
        <v>13</v>
      </c>
    </row>
    <row r="39" hidden="1" customHeight="1" spans="3:4">
      <c r="C39" s="79" t="s">
        <v>5</v>
      </c>
      <c r="D39" s="80" t="s">
        <v>14</v>
      </c>
    </row>
    <row r="40" hidden="1" customHeight="1" spans="3:4">
      <c r="C40" s="79" t="s">
        <v>9</v>
      </c>
      <c r="D40" s="80" t="s">
        <v>12</v>
      </c>
    </row>
    <row r="41" hidden="1" customHeight="1"/>
    <row r="42" hidden="1" customHeight="1"/>
    <row r="43" hidden="1" customHeight="1"/>
    <row r="44" hidden="1" customHeight="1"/>
    <row r="45" hidden="1" customHeight="1"/>
    <row r="46" hidden="1" customHeight="1"/>
    <row r="47" hidden="1" customHeight="1"/>
    <row r="48" hidden="1" customHeight="1" spans="3:4">
      <c r="C48" s="79" t="s">
        <v>3</v>
      </c>
      <c r="D48" s="80" t="s">
        <v>15</v>
      </c>
    </row>
    <row r="49" hidden="1" customHeight="1"/>
    <row r="50" hidden="1" customHeight="1"/>
    <row r="51" hidden="1" customHeight="1"/>
    <row r="52" hidden="1" customHeight="1"/>
    <row r="53" hidden="1" customHeight="1"/>
    <row r="54" hidden="1" customHeight="1"/>
    <row r="55" hidden="1" customHeight="1"/>
    <row r="56" hidden="1" customHeight="1"/>
    <row r="57" hidden="1" customHeight="1"/>
    <row r="58" hidden="1" customHeight="1" spans="3:4">
      <c r="C58" s="79" t="s">
        <v>3</v>
      </c>
      <c r="D58" s="80" t="s">
        <v>16</v>
      </c>
    </row>
    <row r="59" hidden="1" customHeight="1" spans="3:4">
      <c r="D59" s="80" t="s">
        <v>17</v>
      </c>
    </row>
    <row r="60" hidden="1" customHeight="1"/>
    <row r="61" hidden="1" customHeight="1"/>
    <row r="62" hidden="1" customHeight="1"/>
    <row r="63" hidden="1" customHeight="1"/>
    <row r="64" hidden="1" customHeight="1"/>
    <row r="65" hidden="1" customHeight="1"/>
    <row r="66" hidden="1" customHeight="1"/>
    <row r="67" hidden="1" customHeight="1"/>
    <row r="68" hidden="1" customHeight="1" spans="3:4">
      <c r="C68" s="79" t="s">
        <v>3</v>
      </c>
      <c r="D68" s="80" t="s">
        <v>18</v>
      </c>
    </row>
    <row r="69" hidden="1" customHeight="1" spans="3:4">
      <c r="C69" s="79" t="s">
        <v>5</v>
      </c>
      <c r="D69" s="80" t="s">
        <v>19</v>
      </c>
    </row>
    <row r="70" hidden="1" customHeight="1" spans="3:4">
      <c r="C70" s="79" t="s">
        <v>9</v>
      </c>
      <c r="D70" s="80" t="s">
        <v>20</v>
      </c>
    </row>
    <row r="71" hidden="1" customHeight="1" spans="3:4">
      <c r="C71" s="79" t="s">
        <v>21</v>
      </c>
      <c r="D71" s="80" t="s">
        <v>22</v>
      </c>
    </row>
    <row r="72" hidden="1" customHeight="1"/>
    <row r="73" hidden="1" customHeight="1"/>
    <row r="74" hidden="1" customHeight="1"/>
    <row r="75" hidden="1" customHeight="1"/>
    <row r="76" hidden="1" customHeight="1"/>
    <row r="77" hidden="1" customHeight="1"/>
    <row r="78" hidden="1" customHeight="1" spans="3:4">
      <c r="C78" s="79">
        <v>8</v>
      </c>
    </row>
    <row r="79" hidden="1" customHeight="1"/>
    <row r="80" hidden="1" customHeight="1"/>
    <row r="81" hidden="1" customHeight="1"/>
    <row r="82" hidden="1" customHeight="1"/>
    <row r="83" hidden="1" customHeight="1"/>
    <row r="84" hidden="1" customHeight="1"/>
    <row r="85" hidden="1" customHeight="1"/>
    <row r="86" hidden="1" customHeight="1"/>
    <row r="87" hidden="1" customHeight="1"/>
    <row r="88" hidden="1" customHeight="1" spans="3:3">
      <c r="C88" s="79">
        <v>9</v>
      </c>
    </row>
    <row r="89" hidden="1" customHeight="1"/>
    <row r="90" hidden="1" customHeight="1"/>
    <row r="91" hidden="1" customHeight="1"/>
    <row r="92" hidden="1" customHeight="1"/>
    <row r="93" hidden="1" customHeight="1"/>
    <row r="94" hidden="1" customHeight="1"/>
    <row r="95" hidden="1" customHeight="1"/>
    <row r="96" hidden="1" customHeight="1"/>
    <row r="97" hidden="1" customHeight="1"/>
    <row r="98" hidden="1" customHeight="1" spans="3:3">
      <c r="C98" s="79">
        <v>10</v>
      </c>
    </row>
    <row r="99" hidden="1" customHeight="1"/>
    <row r="100" hidden="1" customHeight="1"/>
    <row r="101" hidden="1" customHeight="1"/>
    <row r="102" hidden="1" customHeight="1"/>
    <row r="103" hidden="1" customHeight="1"/>
    <row r="104" hidden="1" customHeight="1"/>
    <row r="105" hidden="1" customHeight="1"/>
    <row r="106" hidden="1" customHeight="1"/>
    <row r="107" hidden="1" customHeight="1"/>
    <row r="108" hidden="1" customHeight="1"/>
    <row r="109" hidden="1" customHeight="1"/>
    <row r="110" hidden="1" customHeight="1"/>
    <row r="111" hidden="1" customHeight="1"/>
    <row r="112" hidden="1" customHeight="1"/>
    <row r="113" hidden="1" customHeight="1"/>
    <row r="114" hidden="1" customHeight="1"/>
    <row r="115" hidden="1" customHeight="1"/>
    <row r="116" hidden="1" customHeight="1"/>
    <row r="117" hidden="1" customHeight="1"/>
    <row r="118" hidden="1" customHeight="1"/>
    <row r="119" hidden="1" customHeight="1"/>
    <row r="120" hidden="1" customHeight="1"/>
    <row r="121" hidden="1" customHeight="1"/>
    <row r="122" hidden="1" customHeight="1"/>
    <row r="123" hidden="1" customHeight="1"/>
    <row r="124" hidden="1" customHeight="1"/>
    <row r="125" hidden="1" customHeight="1"/>
    <row r="126" hidden="1" customHeight="1"/>
    <row r="127" hidden="1" customHeight="1"/>
    <row r="128" hidden="1" customHeight="1"/>
    <row r="129" hidden="1" customHeight="1"/>
    <row r="130" hidden="1" customHeight="1"/>
    <row r="131" hidden="1" customHeight="1"/>
    <row r="132" hidden="1" customHeight="1"/>
    <row r="133" hidden="1" customHeight="1"/>
    <row r="134" hidden="1" customHeight="1"/>
    <row r="135" hidden="1" customHeight="1"/>
    <row r="136" hidden="1" customHeight="1"/>
    <row r="137" hidden="1" customHeight="1"/>
    <row r="138" hidden="1" customHeight="1"/>
    <row r="139" hidden="1" customHeight="1"/>
    <row r="140" hidden="1" customHeight="1"/>
    <row r="141" hidden="1" customHeight="1"/>
    <row r="142" hidden="1" customHeight="1"/>
    <row r="143" hidden="1" customHeight="1"/>
    <row r="144" hidden="1" customHeight="1"/>
    <row r="145" hidden="1" customHeight="1"/>
    <row r="146" hidden="1" customHeight="1"/>
    <row r="147" hidden="1" customHeight="1"/>
    <row r="148" hidden="1" customHeight="1"/>
    <row r="149" hidden="1" customHeight="1"/>
    <row r="150" hidden="1" customHeight="1"/>
    <row r="151" hidden="1" customHeight="1"/>
    <row r="152" hidden="1" customHeight="1"/>
    <row r="153" hidden="1" customHeight="1"/>
    <row r="154" hidden="1" customHeight="1"/>
    <row r="155" hidden="1" customHeight="1"/>
    <row r="156" hidden="1" customHeight="1"/>
    <row r="157" hidden="1" customHeight="1"/>
    <row r="158" hidden="1" customHeight="1"/>
    <row r="159" hidden="1" customHeight="1"/>
    <row r="160" hidden="1" customHeight="1"/>
    <row r="161" hidden="1" customHeight="1"/>
    <row r="162" hidden="1" customHeight="1"/>
    <row r="163" hidden="1" customHeight="1"/>
    <row r="164" hidden="1" customHeight="1"/>
    <row r="165" hidden="1" customHeight="1"/>
    <row r="166" hidden="1" customHeight="1"/>
    <row r="167" hidden="1" customHeight="1"/>
    <row r="168" hidden="1" customHeight="1"/>
    <row r="169" hidden="1" customHeight="1"/>
    <row r="170" hidden="1" customHeight="1"/>
    <row r="171" hidden="1" customHeight="1"/>
    <row r="172" hidden="1" customHeight="1"/>
    <row r="173" hidden="1" customHeight="1"/>
    <row r="174" hidden="1" customHeight="1"/>
    <row r="175" hidden="1" customHeight="1"/>
    <row r="176" hidden="1" customHeight="1"/>
    <row r="177" hidden="1" customHeight="1"/>
    <row r="178" hidden="1" customHeight="1"/>
    <row r="179" hidden="1" customHeight="1"/>
    <row r="180" hidden="1" customHeight="1"/>
    <row r="181" hidden="1" customHeight="1"/>
    <row r="182" hidden="1" customHeight="1"/>
    <row r="183" hidden="1" customHeight="1"/>
    <row r="184" hidden="1" customHeight="1"/>
    <row r="185" hidden="1" customHeight="1"/>
    <row r="186" hidden="1" customHeight="1"/>
    <row r="187" hidden="1" customHeight="1"/>
    <row r="188" hidden="1" customHeight="1"/>
    <row r="189" hidden="1" customHeight="1"/>
    <row r="190" hidden="1" customHeight="1"/>
    <row r="191" hidden="1" customHeight="1"/>
    <row r="192" hidden="1" customHeight="1"/>
    <row r="193" hidden="1" customHeight="1"/>
    <row r="194" hidden="1" customHeight="1"/>
    <row r="195" hidden="1" customHeight="1"/>
    <row r="196" hidden="1" customHeight="1"/>
    <row r="197" hidden="1" customHeight="1"/>
    <row r="198" hidden="1" customHeight="1"/>
    <row r="199" hidden="1" customHeight="1"/>
    <row r="200" hidden="1" customHeight="1"/>
    <row r="201" hidden="1" customHeight="1"/>
    <row r="202" hidden="1" customHeight="1"/>
    <row r="203" hidden="1" customHeight="1"/>
    <row r="204" hidden="1" customHeight="1"/>
    <row r="205" hidden="1" customHeight="1"/>
    <row r="206" hidden="1" customHeight="1"/>
    <row r="207" hidden="1" customHeight="1"/>
    <row r="208" hidden="1" customHeight="1"/>
    <row r="209" hidden="1" customHeight="1"/>
    <row r="210" hidden="1" customHeight="1"/>
    <row r="211" hidden="1" customHeight="1"/>
    <row r="212" hidden="1" customHeight="1"/>
    <row r="213" hidden="1" customHeight="1"/>
    <row r="214" hidden="1" customHeight="1"/>
    <row r="215" hidden="1" customHeight="1"/>
    <row r="216" hidden="1" customHeight="1"/>
    <row r="217" hidden="1" customHeight="1"/>
    <row r="218" hidden="1" customHeight="1"/>
    <row r="219" hidden="1" customHeight="1"/>
    <row r="220" hidden="1" customHeight="1"/>
    <row r="221" hidden="1" customHeight="1"/>
    <row r="222" hidden="1" customHeight="1"/>
    <row r="223" hidden="1" customHeight="1"/>
    <row r="224" hidden="1" customHeight="1"/>
    <row r="225" hidden="1" customHeight="1"/>
    <row r="226" hidden="1" customHeight="1"/>
    <row r="227" hidden="1" customHeight="1"/>
    <row r="228" hidden="1" customHeight="1"/>
    <row r="229" hidden="1" customHeight="1"/>
    <row r="230" hidden="1" customHeight="1"/>
    <row r="231" hidden="1" customHeight="1"/>
    <row r="232" hidden="1" customHeight="1"/>
    <row r="233" hidden="1" customHeight="1"/>
    <row r="234" hidden="1" customHeight="1"/>
    <row r="235" hidden="1" customHeight="1"/>
    <row r="236" hidden="1" customHeight="1"/>
    <row r="237" hidden="1" customHeight="1"/>
    <row r="238" hidden="1" customHeight="1"/>
    <row r="239" hidden="1" customHeight="1"/>
    <row r="240" hidden="1" customHeight="1"/>
    <row r="241" hidden="1" customHeight="1"/>
    <row r="242" hidden="1" customHeight="1"/>
    <row r="243" hidden="1" customHeight="1"/>
    <row r="244" hidden="1" customHeight="1"/>
    <row r="245" hidden="1" customHeight="1"/>
    <row r="246" hidden="1" customHeight="1"/>
    <row r="247" hidden="1" customHeight="1"/>
    <row r="248" hidden="1" customHeight="1"/>
    <row r="249" hidden="1" customHeight="1"/>
    <row r="250" hidden="1" customHeight="1"/>
    <row r="251" hidden="1" customHeight="1"/>
    <row r="252" hidden="1" customHeight="1"/>
    <row r="253" hidden="1" customHeight="1"/>
    <row r="254" hidden="1" customHeight="1"/>
    <row r="255" hidden="1" customHeight="1"/>
    <row r="256" hidden="1" customHeight="1"/>
    <row r="257" hidden="1" customHeight="1"/>
    <row r="258" hidden="1" customHeight="1"/>
    <row r="259" hidden="1" customHeight="1"/>
    <row r="260" hidden="1" customHeight="1"/>
    <row r="261" hidden="1" customHeight="1"/>
    <row r="262" hidden="1" customHeight="1"/>
    <row r="263" hidden="1" customHeight="1"/>
    <row r="264" hidden="1" customHeight="1"/>
    <row r="265" hidden="1" customHeight="1"/>
    <row r="266" hidden="1" customHeight="1"/>
    <row r="267" hidden="1" customHeight="1"/>
    <row r="268" hidden="1" customHeight="1"/>
    <row r="269" hidden="1" customHeight="1"/>
    <row r="270" hidden="1" customHeight="1"/>
    <row r="271" hidden="1" customHeight="1"/>
    <row r="272" hidden="1" customHeight="1"/>
    <row r="273" hidden="1" customHeight="1"/>
    <row r="274" hidden="1" customHeight="1"/>
    <row r="275" hidden="1" customHeight="1"/>
    <row r="276" hidden="1" customHeight="1"/>
    <row r="277" hidden="1" customHeight="1"/>
    <row r="278" hidden="1" customHeight="1"/>
    <row r="279" hidden="1" customHeight="1"/>
    <row r="280" hidden="1" customHeight="1"/>
    <row r="281" hidden="1" customHeight="1"/>
    <row r="282" hidden="1" customHeight="1"/>
    <row r="283" hidden="1" customHeight="1"/>
    <row r="284" hidden="1" customHeight="1"/>
    <row r="285" hidden="1" customHeight="1"/>
    <row r="286" hidden="1" customHeight="1"/>
    <row r="287" hidden="1" customHeight="1"/>
    <row r="288" hidden="1" customHeight="1"/>
    <row r="289" hidden="1" customHeight="1"/>
    <row r="290" hidden="1" customHeight="1"/>
    <row r="291" hidden="1" customHeight="1"/>
    <row r="292" hidden="1" customHeight="1"/>
    <row r="293" hidden="1" customHeight="1"/>
    <row r="294" hidden="1" customHeight="1"/>
    <row r="295" hidden="1" customHeight="1"/>
    <row r="296" hidden="1" customHeight="1"/>
    <row r="297" hidden="1" customHeight="1"/>
    <row r="298" hidden="1" customHeight="1"/>
    <row r="299" hidden="1" customHeight="1"/>
    <row r="300" hidden="1" customHeight="1"/>
  </sheetData>
  <sheetProtection password="C7BC" sheet="1" selectLockedCells="1" objects="1"/>
  <mergeCells count="2">
    <mergeCell ref="G4:H4"/>
    <mergeCell ref="C4:E5"/>
  </mergeCells>
  <pageMargins left="0.75" right="0.75" top="1" bottom="1" header="0.511805555555556" footer="0.511805555555556"/>
  <pageSetup paperSize="9" orientation="portrait"/>
  <headerFooter alignWithMargins="0" scaleWithDoc="0"/>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E3"/>
  <sheetViews>
    <sheetView workbookViewId="0">
      <selection activeCell="AP16" sqref="AP16"/>
    </sheetView>
  </sheetViews>
  <sheetFormatPr defaultColWidth="9" defaultRowHeight="14.25" outlineLevelRow="2" outlineLevelCol="4"/>
  <cols>
    <col min="1" max="1" width="9.375"/>
    <col min="3" max="3" width="11.875" customWidth="1"/>
  </cols>
  <sheetData>
    <row r="1" spans="1:5">
      <c r="A1" s="74">
        <v>58441</v>
      </c>
      <c r="C1" s="74">
        <v>47848</v>
      </c>
      <c r="D1">
        <v>10000</v>
      </c>
      <c r="E1">
        <v>10</v>
      </c>
    </row>
    <row r="3" spans="1:5">
      <c r="A3" t="s">
        <v>23</v>
      </c>
    </row>
  </sheetData>
  <sheetProtection selectLockedCells="1"/>
  <pageMargins left="0.75" right="0.75" top="1" bottom="1" header="0.511805555555556" footer="0.511805555555556"/>
  <pageSetup paperSize="9" orientation="portrait"/>
  <headerFooter alignWithMargins="0" scaleWithDoc="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A1:K4"/>
  <sheetViews>
    <sheetView showGridLines="0" workbookViewId="0">
      <pane ySplit="4" topLeftCell="A5" activePane="bottomLeft" state="frozen"/>
      <selection/>
      <selection pane="bottomLeft"/>
    </sheetView>
  </sheetViews>
  <sheetFormatPr defaultColWidth="9" defaultRowHeight="20.1" customHeight="1" outlineLevelRow="3"/>
  <cols>
    <col min="1" max="1" width="4.625" style="3" customWidth="1"/>
    <col min="2" max="2" width="3.375" style="4" customWidth="1"/>
    <col min="3" max="10" width="16.875" style="47" customWidth="1"/>
    <col min="11" max="11" width="3.375" style="4" customWidth="1"/>
    <col min="12" max="16384" width="9" style="3"/>
  </cols>
  <sheetData>
    <row r="1" s="1" customFormat="1" ht="60" customHeight="1" spans="1:11">
      <c r="A1" s="7"/>
    </row>
    <row r="2" s="2" customFormat="1" ht="39.95" customHeight="1" spans="1:11">
      <c r="H2" s="49"/>
      <c r="I2" s="35" t="s">
        <v>24</v>
      </c>
      <c r="J2" s="35"/>
    </row>
    <row r="3" s="2" customFormat="1" customHeight="1" spans="1:11">
      <c r="B3" s="9"/>
      <c r="C3" s="50"/>
      <c r="D3" s="50"/>
      <c r="E3" s="50"/>
      <c r="F3" s="50"/>
      <c r="G3" s="50"/>
      <c r="H3" s="50"/>
      <c r="I3" s="50"/>
      <c r="J3" s="50"/>
      <c r="K3" s="9"/>
    </row>
    <row r="4" s="2" customFormat="1" ht="30" customHeight="1" spans="1:11">
      <c r="B4" s="9"/>
      <c r="C4" s="44" t="s">
        <v>25</v>
      </c>
      <c r="D4" s="44" t="s">
        <v>26</v>
      </c>
      <c r="E4" s="44" t="s">
        <v>27</v>
      </c>
      <c r="F4" s="44" t="s">
        <v>28</v>
      </c>
      <c r="G4" s="44" t="s">
        <v>29</v>
      </c>
      <c r="H4" s="44" t="s">
        <v>30</v>
      </c>
      <c r="I4" s="44" t="s">
        <v>31</v>
      </c>
      <c r="J4" s="44" t="s">
        <v>32</v>
      </c>
      <c r="K4" s="9"/>
    </row>
  </sheetData>
  <sheetProtection formatCells="0" formatColumns="0" formatRows="0" insertRows="0" insertColumns="0" insertHyperlinks="0" deleteColumns="0" deleteRows="0" sort="0" autoFilter="0" pivotTables="0"/>
  <mergeCells count="1">
    <mergeCell ref="I2:J2"/>
  </mergeCells>
  <dataValidations count="1">
    <dataValidation type="list" allowBlank="1" showInputMessage="1" sqref="E5:E1048576">
      <formula1>基础资料!$F$5:$F$165536</formula1>
    </dataValidation>
  </dataValidations>
  <pageMargins left="0.75" right="0.75" top="1" bottom="1" header="0.5" footer="0.5"/>
  <pageSetup paperSize="9" orientation="portrait"/>
  <headerFooter/>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6">
    <pageSetUpPr fitToPage="1"/>
  </sheetPr>
  <dimension ref="A1:I19"/>
  <sheetViews>
    <sheetView showGridLines="0" workbookViewId="0">
      <selection activeCell="AP16" sqref="AP16"/>
    </sheetView>
  </sheetViews>
  <sheetFormatPr defaultColWidth="9" defaultRowHeight="20.1" customHeight="1"/>
  <cols>
    <col min="1" max="1" width="4.625" style="3" customWidth="1"/>
    <col min="2" max="2" width="3.375" style="4" customWidth="1"/>
    <col min="3" max="8" width="20.625" style="56" customWidth="1"/>
    <col min="9" max="9" width="3.375" style="4" customWidth="1"/>
    <col min="10" max="16384" width="9" style="3"/>
  </cols>
  <sheetData>
    <row r="1" s="1" customFormat="1" ht="60" customHeight="1" spans="1:9">
      <c r="A1" s="7"/>
      <c r="C1" s="57"/>
      <c r="D1" s="57"/>
      <c r="E1" s="57"/>
      <c r="F1" s="57"/>
      <c r="G1" s="57"/>
      <c r="H1" s="57"/>
    </row>
    <row r="2" s="2" customFormat="1" ht="39.95" customHeight="1" spans="1:9">
      <c r="C2" s="58"/>
      <c r="D2" s="58"/>
      <c r="E2" s="58"/>
      <c r="F2" s="58"/>
      <c r="G2" s="58"/>
      <c r="H2" s="58"/>
    </row>
    <row r="3" s="2" customFormat="1" customHeight="1" spans="1:9">
      <c r="B3" s="9"/>
      <c r="C3" s="59"/>
      <c r="D3" s="59"/>
      <c r="E3" s="59"/>
      <c r="F3" s="59"/>
      <c r="G3" s="59"/>
      <c r="H3" s="59"/>
      <c r="I3" s="9"/>
    </row>
    <row r="4" s="2" customFormat="1" ht="40" customHeight="1" spans="1:9">
      <c r="B4" s="9"/>
      <c r="C4" s="60" t="s">
        <v>33</v>
      </c>
      <c r="D4" s="60"/>
      <c r="E4" s="60"/>
      <c r="F4" s="60"/>
      <c r="G4" s="60"/>
      <c r="H4" s="60"/>
      <c r="I4" s="9"/>
    </row>
    <row r="5" s="2" customFormat="1" ht="30" customHeight="1" spans="1:9">
      <c r="B5" s="9"/>
      <c r="C5" s="61" t="s">
        <v>34</v>
      </c>
      <c r="D5" s="62" t="s">
        <v>35</v>
      </c>
      <c r="E5" s="61" t="s">
        <v>36</v>
      </c>
      <c r="F5" s="62" t="s">
        <v>37</v>
      </c>
      <c r="G5" s="61" t="s">
        <v>38</v>
      </c>
      <c r="H5" s="73">
        <v>45205</v>
      </c>
      <c r="I5" s="9"/>
    </row>
    <row r="6" s="2" customFormat="1" ht="30" customHeight="1" spans="1:9">
      <c r="B6" s="9"/>
      <c r="C6" s="65" t="s">
        <v>26</v>
      </c>
      <c r="D6" s="65" t="s">
        <v>27</v>
      </c>
      <c r="E6" s="65" t="s">
        <v>28</v>
      </c>
      <c r="F6" s="65" t="s">
        <v>30</v>
      </c>
      <c r="G6" s="65" t="s">
        <v>39</v>
      </c>
      <c r="H6" s="65" t="s">
        <v>31</v>
      </c>
      <c r="I6" s="9"/>
    </row>
    <row r="7" customHeight="1" spans="1:9">
      <c r="C7" s="66" t="s">
        <v>40</v>
      </c>
      <c r="D7" s="66" t="s">
        <v>41</v>
      </c>
      <c r="E7" s="66" t="s">
        <v>42</v>
      </c>
      <c r="F7" s="66">
        <v>10</v>
      </c>
      <c r="G7" s="66">
        <v>10</v>
      </c>
      <c r="H7" s="66">
        <v>100</v>
      </c>
    </row>
    <row r="8" customHeight="1" spans="1:9">
      <c r="C8" s="66" t="s">
        <v>43</v>
      </c>
      <c r="D8" s="66" t="s">
        <v>44</v>
      </c>
      <c r="E8" s="66" t="s">
        <v>42</v>
      </c>
      <c r="F8" s="66">
        <v>20</v>
      </c>
      <c r="G8" s="66">
        <v>2</v>
      </c>
      <c r="H8" s="66">
        <v>40</v>
      </c>
    </row>
    <row r="9" customHeight="1" spans="1:9">
      <c r="C9" s="66"/>
      <c r="D9" s="66"/>
      <c r="E9" s="66"/>
      <c r="F9" s="66"/>
      <c r="G9" s="66"/>
      <c r="H9" s="66"/>
    </row>
    <row r="10" customHeight="1" spans="1:9">
      <c r="C10" s="66"/>
      <c r="D10" s="66"/>
      <c r="E10" s="66"/>
      <c r="F10" s="66"/>
      <c r="G10" s="66"/>
      <c r="H10" s="66"/>
    </row>
    <row r="11" customHeight="1" spans="1:9">
      <c r="C11" s="66"/>
      <c r="D11" s="66"/>
      <c r="E11" s="66"/>
      <c r="F11" s="66"/>
      <c r="G11" s="66"/>
      <c r="H11" s="66"/>
    </row>
    <row r="12" customHeight="1" spans="1:9">
      <c r="C12" s="66"/>
      <c r="D12" s="66"/>
      <c r="E12" s="66"/>
      <c r="F12" s="66"/>
      <c r="G12" s="66"/>
      <c r="H12" s="66"/>
    </row>
    <row r="13" customHeight="1" spans="1:9">
      <c r="C13" s="66"/>
      <c r="D13" s="66"/>
      <c r="E13" s="66"/>
      <c r="F13" s="66"/>
      <c r="G13" s="66"/>
      <c r="H13" s="66"/>
    </row>
    <row r="14" customHeight="1" spans="1:9">
      <c r="C14" s="66"/>
      <c r="D14" s="66"/>
      <c r="E14" s="66"/>
      <c r="F14" s="66"/>
      <c r="G14" s="66"/>
      <c r="H14" s="66"/>
    </row>
    <row r="15" customHeight="1" spans="1:9">
      <c r="C15" s="66"/>
      <c r="D15" s="66"/>
      <c r="E15" s="66"/>
      <c r="F15" s="66"/>
      <c r="G15" s="66"/>
      <c r="H15" s="66"/>
    </row>
    <row r="16" customHeight="1" spans="1:9">
      <c r="C16" s="66"/>
      <c r="D16" s="66"/>
      <c r="E16" s="66"/>
      <c r="F16" s="66"/>
      <c r="G16" s="66"/>
      <c r="H16" s="66"/>
    </row>
    <row r="17" customHeight="1" spans="3:8">
      <c r="C17" s="66"/>
      <c r="D17" s="66"/>
      <c r="E17" s="66"/>
      <c r="F17" s="66"/>
      <c r="G17" s="66"/>
      <c r="H17" s="66"/>
    </row>
    <row r="18" customHeight="1" spans="3:8">
      <c r="C18" s="66"/>
      <c r="D18" s="66"/>
      <c r="E18" s="66"/>
      <c r="F18" s="66"/>
      <c r="G18" s="66"/>
      <c r="H18" s="66"/>
    </row>
    <row r="19" ht="30" customHeight="1" spans="3:8">
      <c r="C19" s="67" t="s">
        <v>45</v>
      </c>
      <c r="D19" s="68">
        <f>G19</f>
        <v>140</v>
      </c>
      <c r="E19" s="68"/>
      <c r="F19" s="67" t="s">
        <v>46</v>
      </c>
      <c r="G19" s="67">
        <f>SUM(H7:H18)</f>
        <v>140</v>
      </c>
      <c r="H19" s="67"/>
    </row>
  </sheetData>
  <mergeCells count="3">
    <mergeCell ref="C4:H4"/>
    <mergeCell ref="D19:E19"/>
    <mergeCell ref="G19:H19"/>
  </mergeCells>
  <pageMargins left="0.393055555555556" right="0.393055555555556" top="0.393055555555556" bottom="0.393055555555556" header="0.5" footer="0.5"/>
  <pageSetup paperSize="9" scale="72" fitToHeight="0" orientation="portrait" horizontalDpi="600"/>
  <headerFooter/>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4"/>
  <dimension ref="A1:K4"/>
  <sheetViews>
    <sheetView showGridLines="0" workbookViewId="0">
      <pane ySplit="4" topLeftCell="A5" activePane="bottomLeft" state="frozen"/>
      <selection/>
      <selection pane="bottomLeft" activeCell="I7" sqref="I7"/>
    </sheetView>
  </sheetViews>
  <sheetFormatPr defaultColWidth="9" defaultRowHeight="20.1" customHeight="1" outlineLevelRow="3"/>
  <cols>
    <col min="1" max="1" width="4.625" style="3" customWidth="1"/>
    <col min="2" max="2" width="3.375" style="4" customWidth="1"/>
    <col min="3" max="10" width="16.875" style="47" customWidth="1"/>
    <col min="11" max="11" width="3.375" style="4" customWidth="1"/>
    <col min="12" max="16384" width="9" style="3"/>
  </cols>
  <sheetData>
    <row r="1" s="1" customFormat="1" ht="60" customHeight="1" spans="1:11">
      <c r="A1" s="7"/>
    </row>
    <row r="2" s="2" customFormat="1" ht="39.95" customHeight="1" spans="1:11">
      <c r="G2" s="35" t="s">
        <v>47</v>
      </c>
      <c r="H2" s="35"/>
      <c r="I2" s="35" t="s">
        <v>24</v>
      </c>
      <c r="J2" s="35"/>
    </row>
    <row r="3" s="2" customFormat="1" customHeight="1" spans="1:11">
      <c r="B3" s="9"/>
      <c r="C3" s="50"/>
      <c r="D3" s="50"/>
      <c r="E3" s="50"/>
      <c r="F3" s="50"/>
      <c r="G3" s="50"/>
      <c r="H3" s="50"/>
      <c r="I3" s="50"/>
      <c r="J3" s="50"/>
      <c r="K3" s="9"/>
    </row>
    <row r="4" s="2" customFormat="1" ht="30" customHeight="1" spans="1:11">
      <c r="B4" s="9"/>
      <c r="C4" s="44" t="s">
        <v>25</v>
      </c>
      <c r="D4" s="44" t="s">
        <v>26</v>
      </c>
      <c r="E4" s="44" t="s">
        <v>27</v>
      </c>
      <c r="F4" s="44" t="s">
        <v>28</v>
      </c>
      <c r="G4" s="44" t="s">
        <v>29</v>
      </c>
      <c r="H4" s="44" t="s">
        <v>30</v>
      </c>
      <c r="I4" s="44" t="s">
        <v>39</v>
      </c>
      <c r="J4" s="44" t="s">
        <v>32</v>
      </c>
      <c r="K4" s="9"/>
    </row>
  </sheetData>
  <sheetProtection formatCells="0" formatColumns="0" formatRows="0" insertRows="0" insertColumns="0" insertHyperlinks="0" deleteColumns="0" deleteRows="0" sort="0" autoFilter="0" pivotTables="0"/>
  <mergeCells count="2">
    <mergeCell ref="G2:H2"/>
    <mergeCell ref="I2:J2"/>
  </mergeCells>
  <dataValidations count="1">
    <dataValidation type="list" allowBlank="1" showInputMessage="1" sqref="E5:E1048576">
      <formula1>基础资料!$F$5:$F$65536</formula1>
    </dataValidation>
  </dataValidations>
  <pageMargins left="0.7" right="0.7" top="0.75" bottom="0.75" header="0.3" footer="0.3"/>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7">
    <pageSetUpPr fitToPage="1"/>
  </sheetPr>
  <dimension ref="A1:I19"/>
  <sheetViews>
    <sheetView showGridLines="0" workbookViewId="0">
      <selection activeCell="AP16" sqref="AP16"/>
    </sheetView>
  </sheetViews>
  <sheetFormatPr defaultColWidth="9" defaultRowHeight="20.1" customHeight="1"/>
  <cols>
    <col min="1" max="1" width="4.625" style="3" customWidth="1"/>
    <col min="2" max="2" width="3.375" style="4" customWidth="1"/>
    <col min="3" max="8" width="20.625" style="56" customWidth="1"/>
    <col min="9" max="9" width="3.375" style="4" customWidth="1"/>
    <col min="10" max="16384" width="9" style="3"/>
  </cols>
  <sheetData>
    <row r="1" s="1" customFormat="1" ht="60" customHeight="1" spans="1:9">
      <c r="A1" s="7"/>
      <c r="C1" s="57"/>
      <c r="D1" s="57"/>
      <c r="E1" s="57"/>
      <c r="F1" s="57"/>
      <c r="G1" s="57"/>
      <c r="H1" s="57"/>
    </row>
    <row r="2" s="2" customFormat="1" ht="39.95" customHeight="1" spans="1:9">
      <c r="C2" s="58"/>
      <c r="D2" s="58"/>
      <c r="E2" s="58"/>
      <c r="F2" s="58"/>
      <c r="G2" s="58"/>
      <c r="H2" s="58"/>
    </row>
    <row r="3" s="2" customFormat="1" customHeight="1" spans="1:9">
      <c r="B3" s="9"/>
      <c r="C3" s="59"/>
      <c r="D3" s="59"/>
      <c r="E3" s="59"/>
      <c r="F3" s="59"/>
      <c r="G3" s="59"/>
      <c r="H3" s="59"/>
      <c r="I3" s="9"/>
    </row>
    <row r="4" s="2" customFormat="1" ht="40" customHeight="1" spans="1:9">
      <c r="B4" s="9"/>
      <c r="C4" s="60" t="s">
        <v>48</v>
      </c>
      <c r="D4" s="60"/>
      <c r="E4" s="60"/>
      <c r="F4" s="60"/>
      <c r="G4" s="60"/>
      <c r="H4" s="60"/>
      <c r="I4" s="9"/>
    </row>
    <row r="5" s="2" customFormat="1" ht="30" customHeight="1" spans="1:9">
      <c r="B5" s="9"/>
      <c r="C5" s="61" t="s">
        <v>34</v>
      </c>
      <c r="D5" s="62">
        <v>123</v>
      </c>
      <c r="E5" s="61" t="s">
        <v>49</v>
      </c>
      <c r="F5" s="62" t="s">
        <v>50</v>
      </c>
      <c r="G5" s="61" t="s">
        <v>51</v>
      </c>
      <c r="H5" s="73">
        <v>45790</v>
      </c>
      <c r="I5" s="9"/>
    </row>
    <row r="6" s="2" customFormat="1" ht="30" customHeight="1" spans="1:9">
      <c r="B6" s="9"/>
      <c r="C6" s="65" t="s">
        <v>26</v>
      </c>
      <c r="D6" s="65" t="s">
        <v>27</v>
      </c>
      <c r="E6" s="65" t="s">
        <v>28</v>
      </c>
      <c r="F6" s="65" t="s">
        <v>30</v>
      </c>
      <c r="G6" s="65" t="s">
        <v>39</v>
      </c>
      <c r="H6" s="65" t="s">
        <v>31</v>
      </c>
      <c r="I6" s="9"/>
    </row>
    <row r="7" s="3" customFormat="1" customHeight="1" spans="1:9">
      <c r="B7" s="4"/>
      <c r="C7" s="66" t="s">
        <v>40</v>
      </c>
      <c r="D7" s="66" t="s">
        <v>41</v>
      </c>
      <c r="E7" s="66" t="s">
        <v>42</v>
      </c>
      <c r="F7" s="66">
        <v>1</v>
      </c>
      <c r="G7" s="66">
        <v>1</v>
      </c>
      <c r="H7" s="66">
        <v>1</v>
      </c>
      <c r="I7" s="4"/>
    </row>
    <row r="8" s="3" customFormat="1" customHeight="1" spans="1:9">
      <c r="B8" s="4"/>
      <c r="C8" s="66"/>
      <c r="D8" s="66"/>
      <c r="E8" s="66"/>
      <c r="F8" s="66"/>
      <c r="G8" s="66"/>
      <c r="H8" s="66"/>
      <c r="I8" s="4"/>
    </row>
    <row r="9" s="3" customFormat="1" customHeight="1" spans="1:9">
      <c r="B9" s="4"/>
      <c r="C9" s="66"/>
      <c r="D9" s="66"/>
      <c r="E9" s="66"/>
      <c r="F9" s="66"/>
      <c r="G9" s="66"/>
      <c r="H9" s="66"/>
      <c r="I9" s="4"/>
    </row>
    <row r="10" s="3" customFormat="1" customHeight="1" spans="1:9">
      <c r="B10" s="4"/>
      <c r="C10" s="66"/>
      <c r="D10" s="66"/>
      <c r="E10" s="66"/>
      <c r="F10" s="66"/>
      <c r="G10" s="66"/>
      <c r="H10" s="66"/>
      <c r="I10" s="4"/>
    </row>
    <row r="11" s="3" customFormat="1" customHeight="1" spans="1:9">
      <c r="B11" s="4"/>
      <c r="C11" s="66"/>
      <c r="D11" s="66"/>
      <c r="E11" s="66"/>
      <c r="F11" s="66"/>
      <c r="G11" s="66"/>
      <c r="H11" s="66"/>
      <c r="I11" s="4"/>
    </row>
    <row r="12" s="3" customFormat="1" customHeight="1" spans="1:9">
      <c r="B12" s="4"/>
      <c r="C12" s="66"/>
      <c r="D12" s="66"/>
      <c r="E12" s="66"/>
      <c r="F12" s="66"/>
      <c r="G12" s="66"/>
      <c r="H12" s="66"/>
      <c r="I12" s="4"/>
    </row>
    <row r="13" s="3" customFormat="1" customHeight="1" spans="1:9">
      <c r="B13" s="4"/>
      <c r="C13" s="66"/>
      <c r="D13" s="66"/>
      <c r="E13" s="66"/>
      <c r="F13" s="66"/>
      <c r="G13" s="66"/>
      <c r="H13" s="66"/>
      <c r="I13" s="4"/>
    </row>
    <row r="14" s="3" customFormat="1" customHeight="1" spans="1:9">
      <c r="B14" s="4"/>
      <c r="C14" s="66"/>
      <c r="D14" s="66"/>
      <c r="E14" s="66"/>
      <c r="F14" s="66"/>
      <c r="G14" s="66"/>
      <c r="H14" s="66"/>
      <c r="I14" s="4"/>
    </row>
    <row r="15" s="3" customFormat="1" customHeight="1" spans="1:9">
      <c r="B15" s="4"/>
      <c r="C15" s="66"/>
      <c r="D15" s="66"/>
      <c r="E15" s="66"/>
      <c r="F15" s="66"/>
      <c r="G15" s="66"/>
      <c r="H15" s="66"/>
      <c r="I15" s="4"/>
    </row>
    <row r="16" s="3" customFormat="1" customHeight="1" spans="1:9">
      <c r="B16" s="4"/>
      <c r="C16" s="66"/>
      <c r="D16" s="66"/>
      <c r="E16" s="66"/>
      <c r="F16" s="66"/>
      <c r="G16" s="66"/>
      <c r="H16" s="66"/>
      <c r="I16" s="4"/>
    </row>
    <row r="17" s="3" customFormat="1" customHeight="1" spans="2:9">
      <c r="B17" s="4"/>
      <c r="C17" s="66"/>
      <c r="D17" s="66"/>
      <c r="E17" s="66"/>
      <c r="F17" s="66"/>
      <c r="G17" s="66"/>
      <c r="H17" s="66"/>
      <c r="I17" s="4"/>
    </row>
    <row r="18" s="3" customFormat="1" customHeight="1" spans="2:9">
      <c r="B18" s="4"/>
      <c r="C18" s="66"/>
      <c r="D18" s="66"/>
      <c r="E18" s="66"/>
      <c r="F18" s="66"/>
      <c r="G18" s="66"/>
      <c r="H18" s="66"/>
      <c r="I18" s="4"/>
    </row>
    <row r="19" s="3" customFormat="1" ht="30" customHeight="1" spans="2:9">
      <c r="B19" s="4"/>
      <c r="C19" s="67" t="s">
        <v>45</v>
      </c>
      <c r="D19" s="68">
        <f>G19</f>
        <v>1</v>
      </c>
      <c r="E19" s="68"/>
      <c r="F19" s="67" t="s">
        <v>46</v>
      </c>
      <c r="G19" s="67">
        <f>SUM(H7:H18)</f>
        <v>1</v>
      </c>
      <c r="H19" s="67"/>
      <c r="I19" s="4"/>
    </row>
  </sheetData>
  <mergeCells count="3">
    <mergeCell ref="C4:H4"/>
    <mergeCell ref="D19:E19"/>
    <mergeCell ref="G19:H19"/>
  </mergeCells>
  <pageMargins left="0.393055555555556" right="0.393055555555556" top="0.393055555555556" bottom="0.393055555555556" header="0.5" footer="0.5"/>
  <pageSetup paperSize="9" scale="72" fitToHeight="0" orientation="portrait" horizontalDpi="600"/>
  <headerFooter/>
  <colBreaks count="1" manualBreakCount="1">
    <brk id="8" max="18" man="1"/>
  </colBreaks>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9"/>
  <dimension ref="A1:K8"/>
  <sheetViews>
    <sheetView showGridLines="0" workbookViewId="0">
      <pane ySplit="4" topLeftCell="A5" activePane="bottomLeft" state="frozen"/>
      <selection/>
      <selection pane="bottomLeft" activeCell="G7" sqref="G7"/>
    </sheetView>
  </sheetViews>
  <sheetFormatPr defaultColWidth="9" defaultRowHeight="20.1" customHeight="1" outlineLevelRow="7"/>
  <cols>
    <col min="1" max="1" width="4.625" style="3" customWidth="1"/>
    <col min="2" max="2" width="3.375" style="4" customWidth="1"/>
    <col min="3" max="10" width="16.875" style="47" customWidth="1"/>
    <col min="11" max="11" width="3.375" style="4" customWidth="1"/>
    <col min="12" max="16384" width="9" style="3"/>
  </cols>
  <sheetData>
    <row r="1" s="1" customFormat="1" ht="60" customHeight="1" spans="1:11">
      <c r="A1" s="7"/>
    </row>
    <row r="2" s="2" customFormat="1" ht="39.95" customHeight="1" spans="1:11">
      <c r="C2" s="72" t="s">
        <v>52</v>
      </c>
      <c r="H2" s="49"/>
      <c r="I2" s="35"/>
      <c r="J2" s="35"/>
    </row>
    <row r="3" s="2" customFormat="1" customHeight="1" spans="1:11">
      <c r="B3" s="9"/>
      <c r="C3" s="50"/>
      <c r="D3" s="50"/>
      <c r="E3" s="50"/>
      <c r="F3" s="50"/>
      <c r="G3" s="50"/>
      <c r="H3" s="50"/>
      <c r="I3" s="50"/>
      <c r="J3" s="50"/>
      <c r="K3" s="9"/>
    </row>
    <row r="4" s="2" customFormat="1" ht="30" customHeight="1" spans="1:11">
      <c r="B4" s="9"/>
      <c r="C4" s="44" t="s">
        <v>25</v>
      </c>
      <c r="D4" s="44" t="s">
        <v>26</v>
      </c>
      <c r="E4" s="44" t="s">
        <v>27</v>
      </c>
      <c r="F4" s="44" t="s">
        <v>28</v>
      </c>
      <c r="G4" s="44" t="s">
        <v>29</v>
      </c>
      <c r="H4" s="44" t="s">
        <v>30</v>
      </c>
      <c r="I4" s="44" t="s">
        <v>31</v>
      </c>
      <c r="J4" s="44" t="s">
        <v>32</v>
      </c>
      <c r="K4" s="9"/>
    </row>
    <row r="5" customHeight="1" spans="1:11">
      <c r="C5" s="47">
        <v>1</v>
      </c>
      <c r="D5" s="47" t="s">
        <v>40</v>
      </c>
      <c r="E5" s="47" t="s">
        <v>41</v>
      </c>
      <c r="F5" s="47" t="s">
        <v>42</v>
      </c>
      <c r="G5" s="47" t="s">
        <v>53</v>
      </c>
      <c r="J5" s="47">
        <v>3</v>
      </c>
      <c r="K5" s="29"/>
    </row>
    <row r="6" customHeight="1" spans="1:11">
      <c r="C6" s="47">
        <v>2</v>
      </c>
      <c r="D6" s="47" t="s">
        <v>43</v>
      </c>
      <c r="E6" s="47" t="s">
        <v>44</v>
      </c>
      <c r="F6" s="47" t="s">
        <v>42</v>
      </c>
      <c r="G6" s="47" t="s">
        <v>54</v>
      </c>
      <c r="J6" s="47">
        <v>1</v>
      </c>
    </row>
    <row r="7" customHeight="1" spans="1:11">
      <c r="C7" s="47">
        <v>3</v>
      </c>
      <c r="D7" s="47" t="s">
        <v>55</v>
      </c>
      <c r="E7" s="47" t="s">
        <v>56</v>
      </c>
      <c r="F7" s="47" t="s">
        <v>57</v>
      </c>
      <c r="G7" s="47" t="s">
        <v>58</v>
      </c>
      <c r="J7" s="47">
        <v>0</v>
      </c>
    </row>
    <row r="8" customHeight="1" spans="1:11">
      <c r="C8" s="47">
        <v>4</v>
      </c>
      <c r="D8" s="47" t="s">
        <v>59</v>
      </c>
      <c r="E8" s="47">
        <v>2222</v>
      </c>
      <c r="F8" s="47" t="s">
        <v>60</v>
      </c>
      <c r="G8" s="47">
        <v>1</v>
      </c>
      <c r="J8" s="47">
        <v>1</v>
      </c>
    </row>
  </sheetData>
  <sheetProtection formatCells="0" formatColumns="0" formatRows="0" insertRows="0" insertColumns="0" insertHyperlinks="0" deleteColumns="0" deleteRows="0" sort="0" autoFilter="0" pivotTables="0"/>
  <mergeCells count="1">
    <mergeCell ref="I2:J2"/>
  </mergeCells>
  <pageMargins left="0.75" right="0.75" top="1" bottom="1" header="0.5" footer="0.5"/>
  <pageSetup paperSize="9" orientation="portrait"/>
  <headerFooter/>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0"/>
  <dimension ref="A1:J8"/>
  <sheetViews>
    <sheetView showGridLines="0" workbookViewId="0">
      <pane ySplit="4" topLeftCell="A5" activePane="bottomLeft" state="frozen"/>
      <selection/>
      <selection pane="bottomLeft" activeCell="H8" sqref="H8"/>
    </sheetView>
  </sheetViews>
  <sheetFormatPr defaultColWidth="9" defaultRowHeight="20.1" customHeight="1" outlineLevelRow="7"/>
  <cols>
    <col min="1" max="1" width="4.625" style="3" customWidth="1"/>
    <col min="2" max="2" width="3.375" style="4" customWidth="1"/>
    <col min="3" max="9" width="16.875" style="47" customWidth="1"/>
    <col min="10" max="10" width="3.375" style="4" customWidth="1"/>
    <col min="11" max="16384" width="9" style="3"/>
  </cols>
  <sheetData>
    <row r="1" s="1" customFormat="1" ht="60" customHeight="1" spans="1:10">
      <c r="A1" s="7"/>
    </row>
    <row r="2" s="2" customFormat="1" ht="39.95" customHeight="1" spans="1:10">
      <c r="C2" s="72" t="s">
        <v>52</v>
      </c>
      <c r="H2" s="49"/>
      <c r="I2" s="35"/>
    </row>
    <row r="3" s="2" customFormat="1" customHeight="1" spans="1:10">
      <c r="B3" s="9"/>
      <c r="C3" s="50"/>
      <c r="D3" s="50"/>
      <c r="E3" s="50"/>
      <c r="F3" s="50"/>
      <c r="G3" s="50"/>
      <c r="H3" s="50"/>
      <c r="I3" s="50"/>
      <c r="J3" s="9"/>
    </row>
    <row r="4" s="2" customFormat="1" ht="30" customHeight="1" spans="1:10">
      <c r="B4" s="9"/>
      <c r="C4" s="44" t="s">
        <v>25</v>
      </c>
      <c r="D4" s="44" t="s">
        <v>26</v>
      </c>
      <c r="E4" s="44" t="s">
        <v>27</v>
      </c>
      <c r="F4" s="44" t="s">
        <v>28</v>
      </c>
      <c r="G4" s="44" t="s">
        <v>29</v>
      </c>
      <c r="H4" s="44" t="s">
        <v>32</v>
      </c>
      <c r="I4" s="44" t="s">
        <v>61</v>
      </c>
      <c r="J4" s="9"/>
    </row>
    <row r="5" customHeight="1" spans="1:10">
      <c r="C5" s="47">
        <v>1</v>
      </c>
      <c r="D5" s="47" t="s">
        <v>40</v>
      </c>
      <c r="E5" s="47" t="s">
        <v>41</v>
      </c>
      <c r="F5" s="47" t="s">
        <v>42</v>
      </c>
      <c r="G5" s="47" t="s">
        <v>53</v>
      </c>
      <c r="H5" s="47">
        <v>2</v>
      </c>
    </row>
    <row r="6" customHeight="1" spans="1:10">
      <c r="C6" s="47">
        <v>2</v>
      </c>
      <c r="D6" s="47" t="s">
        <v>43</v>
      </c>
      <c r="E6" s="47" t="s">
        <v>44</v>
      </c>
      <c r="F6" s="47" t="s">
        <v>42</v>
      </c>
      <c r="G6" s="47" t="s">
        <v>54</v>
      </c>
      <c r="H6" s="47">
        <v>1</v>
      </c>
    </row>
    <row r="7" customHeight="1" spans="1:10">
      <c r="C7" s="47">
        <v>3</v>
      </c>
      <c r="D7" s="47" t="s">
        <v>55</v>
      </c>
      <c r="E7" s="47" t="s">
        <v>56</v>
      </c>
      <c r="F7" s="47" t="s">
        <v>57</v>
      </c>
      <c r="G7" s="47" t="s">
        <v>58</v>
      </c>
      <c r="H7" s="47">
        <v>0</v>
      </c>
    </row>
    <row r="8" customHeight="1" spans="1:10">
      <c r="C8" s="47">
        <v>4</v>
      </c>
      <c r="D8" s="47" t="s">
        <v>59</v>
      </c>
      <c r="E8" s="47">
        <v>2222</v>
      </c>
      <c r="F8" s="47" t="s">
        <v>60</v>
      </c>
      <c r="G8" s="47">
        <v>1</v>
      </c>
      <c r="H8" s="47">
        <v>1</v>
      </c>
    </row>
  </sheetData>
  <sheetProtection formatCells="0" formatColumns="0" formatRows="0" insertRows="0" insertColumns="0" insertHyperlinks="0" deleteColumns="0" deleteRows="0" sort="0" autoFilter="0" pivotTables="0"/>
  <pageMargins left="0.75" right="0.75" top="1" bottom="1" header="0.5" footer="0.5"/>
  <pageSetup paperSize="9" orientation="portrait"/>
  <headerFooter/>
  <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2"/>
  <dimension ref="A1:K8"/>
  <sheetViews>
    <sheetView showGridLines="0" workbookViewId="0">
      <pane ySplit="4" topLeftCell="A5" activePane="bottomLeft" state="frozen"/>
      <selection/>
      <selection pane="bottomLeft" activeCell="I5" sqref="I5"/>
    </sheetView>
  </sheetViews>
  <sheetFormatPr defaultColWidth="9" defaultRowHeight="20.1" customHeight="1" outlineLevelRow="7"/>
  <cols>
    <col min="1" max="1" width="4.625" style="3" customWidth="1"/>
    <col min="2" max="2" width="3.375" style="4" customWidth="1"/>
    <col min="3" max="10" width="16.875" style="47" customWidth="1"/>
    <col min="11" max="11" width="3.375" style="4" customWidth="1"/>
    <col min="12" max="16384" width="9" style="3"/>
  </cols>
  <sheetData>
    <row r="1" s="1" customFormat="1" ht="60" customHeight="1" spans="1:11">
      <c r="A1" s="7"/>
    </row>
    <row r="2" s="2" customFormat="1" ht="39.95" customHeight="1" spans="1:11">
      <c r="C2" s="72" t="s">
        <v>52</v>
      </c>
      <c r="H2" s="49"/>
      <c r="I2" s="35"/>
      <c r="J2" s="35"/>
    </row>
    <row r="3" s="2" customFormat="1" customHeight="1" spans="1:11">
      <c r="B3" s="9"/>
      <c r="C3" s="50"/>
      <c r="D3" s="50"/>
      <c r="E3" s="50"/>
      <c r="F3" s="50"/>
      <c r="G3" s="50"/>
      <c r="H3" s="50"/>
      <c r="I3" s="50"/>
      <c r="J3" s="50"/>
      <c r="K3" s="9"/>
    </row>
    <row r="4" s="2" customFormat="1" ht="30" customHeight="1" spans="1:11">
      <c r="B4" s="9"/>
      <c r="C4" s="44" t="s">
        <v>25</v>
      </c>
      <c r="D4" s="44" t="s">
        <v>26</v>
      </c>
      <c r="E4" s="44" t="s">
        <v>27</v>
      </c>
      <c r="F4" s="44" t="s">
        <v>28</v>
      </c>
      <c r="G4" s="44" t="s">
        <v>29</v>
      </c>
      <c r="H4" s="44" t="s">
        <v>30</v>
      </c>
      <c r="I4" s="44" t="s">
        <v>31</v>
      </c>
      <c r="J4" s="44" t="s">
        <v>32</v>
      </c>
      <c r="K4" s="9"/>
    </row>
    <row r="5" customHeight="1" spans="1:11">
      <c r="C5" s="47">
        <v>1</v>
      </c>
      <c r="D5" s="47" t="s">
        <v>40</v>
      </c>
      <c r="E5" s="47" t="s">
        <v>41</v>
      </c>
      <c r="F5" s="47" t="s">
        <v>42</v>
      </c>
      <c r="G5" s="47" t="s">
        <v>53</v>
      </c>
      <c r="H5" s="47">
        <v>21</v>
      </c>
      <c r="I5" s="47">
        <v>2</v>
      </c>
      <c r="J5" s="47">
        <v>3</v>
      </c>
      <c r="K5" s="29"/>
    </row>
    <row r="6" customHeight="1" spans="1:11">
      <c r="C6" s="47">
        <v>2</v>
      </c>
      <c r="D6" s="47" t="s">
        <v>43</v>
      </c>
      <c r="E6" s="47" t="s">
        <v>44</v>
      </c>
      <c r="F6" s="47" t="s">
        <v>42</v>
      </c>
      <c r="G6" s="47" t="s">
        <v>54</v>
      </c>
      <c r="J6" s="47">
        <v>1</v>
      </c>
    </row>
    <row r="7" customHeight="1" spans="1:11">
      <c r="C7" s="47">
        <v>3</v>
      </c>
      <c r="D7" s="47" t="s">
        <v>55</v>
      </c>
      <c r="E7" s="47" t="s">
        <v>56</v>
      </c>
      <c r="F7" s="47" t="s">
        <v>57</v>
      </c>
      <c r="G7" s="47" t="s">
        <v>58</v>
      </c>
      <c r="J7" s="47">
        <v>0</v>
      </c>
    </row>
    <row r="8" customHeight="1" spans="1:11">
      <c r="C8" s="47">
        <v>4</v>
      </c>
      <c r="D8" s="47" t="s">
        <v>59</v>
      </c>
      <c r="E8" s="47">
        <v>2222</v>
      </c>
      <c r="F8" s="47" t="s">
        <v>60</v>
      </c>
      <c r="G8" s="47">
        <v>1</v>
      </c>
      <c r="J8" s="47">
        <v>1</v>
      </c>
    </row>
  </sheetData>
  <sheetProtection formatCells="0" formatColumns="0" formatRows="0" insertRows="0" insertColumns="0" insertHyperlinks="0" deleteColumns="0" deleteRows="0" sort="0" autoFilter="0" pivotTables="0"/>
  <mergeCells count="1">
    <mergeCell ref="I2:J2"/>
  </mergeCells>
  <pageMargins left="0.75" right="0.75" top="1" bottom="1" header="0.5" footer="0.5"/>
  <pageSetup paperSize="9" orientation="portrait"/>
  <headerFooter/>
  <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3"/>
  <dimension ref="A1:K8"/>
  <sheetViews>
    <sheetView showGridLines="0" workbookViewId="0">
      <pane ySplit="4" topLeftCell="A5" activePane="bottomLeft" state="frozen"/>
      <selection/>
      <selection pane="bottomLeft" activeCell="I5" sqref="I5"/>
    </sheetView>
  </sheetViews>
  <sheetFormatPr defaultColWidth="9" defaultRowHeight="20.1" customHeight="1" outlineLevelRow="7"/>
  <cols>
    <col min="1" max="1" width="4.625" style="3" customWidth="1"/>
    <col min="2" max="2" width="3.375" style="4" customWidth="1"/>
    <col min="3" max="10" width="16.875" style="47" customWidth="1"/>
    <col min="11" max="11" width="3.375" style="4" customWidth="1"/>
    <col min="12" max="16384" width="9" style="3"/>
  </cols>
  <sheetData>
    <row r="1" s="1" customFormat="1" ht="60" customHeight="1" spans="1:11">
      <c r="A1" s="7"/>
    </row>
    <row r="2" s="2" customFormat="1" ht="39.95" customHeight="1" spans="1:11">
      <c r="C2" s="72" t="s">
        <v>52</v>
      </c>
      <c r="H2" s="49"/>
      <c r="I2" s="35"/>
      <c r="J2" s="35"/>
    </row>
    <row r="3" s="2" customFormat="1" customHeight="1" spans="1:11">
      <c r="B3" s="9"/>
      <c r="C3" s="50"/>
      <c r="D3" s="50"/>
      <c r="E3" s="50"/>
      <c r="F3" s="50"/>
      <c r="G3" s="50"/>
      <c r="H3" s="50"/>
      <c r="I3" s="50"/>
      <c r="J3" s="50"/>
      <c r="K3" s="9"/>
    </row>
    <row r="4" s="2" customFormat="1" ht="30" customHeight="1" spans="1:11">
      <c r="B4" s="9"/>
      <c r="C4" s="44" t="s">
        <v>25</v>
      </c>
      <c r="D4" s="44" t="s">
        <v>26</v>
      </c>
      <c r="E4" s="44" t="s">
        <v>27</v>
      </c>
      <c r="F4" s="44" t="s">
        <v>28</v>
      </c>
      <c r="G4" s="44" t="s">
        <v>29</v>
      </c>
      <c r="H4" s="44" t="s">
        <v>30</v>
      </c>
      <c r="I4" s="44" t="s">
        <v>31</v>
      </c>
      <c r="J4" s="44" t="s">
        <v>32</v>
      </c>
      <c r="K4" s="9"/>
    </row>
    <row r="5" customHeight="1" spans="1:11">
      <c r="C5" s="47">
        <v>1</v>
      </c>
      <c r="D5" s="47" t="s">
        <v>40</v>
      </c>
      <c r="E5" s="47" t="s">
        <v>41</v>
      </c>
      <c r="F5" s="47" t="s">
        <v>42</v>
      </c>
      <c r="G5" s="47" t="s">
        <v>53</v>
      </c>
      <c r="H5" s="47">
        <v>12</v>
      </c>
      <c r="I5" s="47">
        <v>21</v>
      </c>
      <c r="J5" s="47">
        <v>2</v>
      </c>
      <c r="K5" s="29"/>
    </row>
    <row r="6" customHeight="1" spans="1:11">
      <c r="C6" s="47">
        <v>2</v>
      </c>
      <c r="D6" s="47" t="s">
        <v>43</v>
      </c>
      <c r="E6" s="47" t="s">
        <v>44</v>
      </c>
      <c r="F6" s="47" t="s">
        <v>42</v>
      </c>
      <c r="G6" s="47" t="s">
        <v>54</v>
      </c>
      <c r="J6" s="47">
        <v>1</v>
      </c>
    </row>
    <row r="7" customHeight="1" spans="1:11">
      <c r="C7" s="47">
        <v>3</v>
      </c>
      <c r="D7" s="47" t="s">
        <v>55</v>
      </c>
      <c r="E7" s="47" t="s">
        <v>56</v>
      </c>
      <c r="F7" s="47" t="s">
        <v>57</v>
      </c>
      <c r="G7" s="47" t="s">
        <v>58</v>
      </c>
      <c r="J7" s="47">
        <v>0</v>
      </c>
    </row>
    <row r="8" customHeight="1" spans="1:11">
      <c r="C8" s="47">
        <v>4</v>
      </c>
      <c r="D8" s="47" t="s">
        <v>59</v>
      </c>
      <c r="E8" s="47">
        <v>2222</v>
      </c>
      <c r="F8" s="47" t="s">
        <v>60</v>
      </c>
      <c r="G8" s="47">
        <v>1</v>
      </c>
      <c r="J8" s="47">
        <v>1</v>
      </c>
    </row>
  </sheetData>
  <sheetProtection formatCells="0" formatColumns="0" formatRows="0" insertRows="0" insertColumns="0" insertHyperlinks="0" deleteColumns="0" deleteRows="0" sort="0" autoFilter="0" pivotTables="0"/>
  <mergeCells count="1">
    <mergeCell ref="I2:J2"/>
  </mergeCells>
  <pageMargins left="0.75" right="0.75" top="1" bottom="1" header="0.5" footer="0.5"/>
  <pageSetup paperSize="9" orientation="portrait"/>
  <headerFooter/>
  <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5"/>
  <dimension ref="A1:K8"/>
  <sheetViews>
    <sheetView showGridLines="0" workbookViewId="0">
      <pane ySplit="4" topLeftCell="A5" activePane="bottomLeft" state="frozen"/>
      <selection/>
      <selection pane="bottomLeft" activeCell="I5" sqref="I5"/>
    </sheetView>
  </sheetViews>
  <sheetFormatPr defaultColWidth="9" defaultRowHeight="20.1" customHeight="1" outlineLevelRow="7"/>
  <cols>
    <col min="1" max="1" width="4.625" style="3" customWidth="1"/>
    <col min="2" max="2" width="3.375" style="4" customWidth="1"/>
    <col min="3" max="10" width="16.875" style="47" customWidth="1"/>
    <col min="11" max="11" width="3.375" style="4" customWidth="1"/>
    <col min="12" max="16384" width="9" style="3"/>
  </cols>
  <sheetData>
    <row r="1" s="1" customFormat="1" ht="60" customHeight="1" spans="1:11">
      <c r="A1" s="7"/>
    </row>
    <row r="2" s="2" customFormat="1" ht="39.95" customHeight="1" spans="1:11">
      <c r="C2" s="72" t="s">
        <v>52</v>
      </c>
      <c r="H2" s="49"/>
      <c r="I2" s="35"/>
      <c r="J2" s="35"/>
    </row>
    <row r="3" s="2" customFormat="1" customHeight="1" spans="1:11">
      <c r="B3" s="9"/>
      <c r="C3" s="50"/>
      <c r="D3" s="50"/>
      <c r="E3" s="50"/>
      <c r="F3" s="50"/>
      <c r="G3" s="50"/>
      <c r="H3" s="50"/>
      <c r="I3" s="50"/>
      <c r="J3" s="50"/>
      <c r="K3" s="9"/>
    </row>
    <row r="4" s="2" customFormat="1" ht="30" customHeight="1" spans="1:11">
      <c r="B4" s="9"/>
      <c r="C4" s="44" t="s">
        <v>25</v>
      </c>
      <c r="D4" s="44" t="s">
        <v>26</v>
      </c>
      <c r="E4" s="44" t="s">
        <v>27</v>
      </c>
      <c r="F4" s="44" t="s">
        <v>28</v>
      </c>
      <c r="G4" s="44" t="s">
        <v>29</v>
      </c>
      <c r="H4" s="44" t="s">
        <v>30</v>
      </c>
      <c r="I4" s="44" t="s">
        <v>31</v>
      </c>
      <c r="J4" s="44" t="s">
        <v>32</v>
      </c>
      <c r="K4" s="9"/>
    </row>
    <row r="5" customHeight="1" spans="1:11">
      <c r="C5" s="47">
        <v>1</v>
      </c>
      <c r="D5" s="47" t="s">
        <v>40</v>
      </c>
      <c r="E5" s="47" t="s">
        <v>41</v>
      </c>
      <c r="F5" s="47" t="s">
        <v>42</v>
      </c>
      <c r="G5" s="47" t="s">
        <v>53</v>
      </c>
      <c r="H5" s="47">
        <v>1</v>
      </c>
      <c r="I5" s="47">
        <v>1</v>
      </c>
      <c r="J5" s="47">
        <v>3</v>
      </c>
      <c r="K5" s="29"/>
    </row>
    <row r="6" customHeight="1" spans="1:11">
      <c r="C6" s="47">
        <v>2</v>
      </c>
      <c r="D6" s="47" t="s">
        <v>43</v>
      </c>
      <c r="E6" s="47" t="s">
        <v>44</v>
      </c>
      <c r="F6" s="47" t="s">
        <v>42</v>
      </c>
      <c r="G6" s="47" t="s">
        <v>54</v>
      </c>
      <c r="J6" s="47">
        <v>1</v>
      </c>
    </row>
    <row r="7" customHeight="1" spans="1:11">
      <c r="C7" s="47">
        <v>3</v>
      </c>
      <c r="D7" s="47" t="s">
        <v>55</v>
      </c>
      <c r="E7" s="47" t="s">
        <v>56</v>
      </c>
      <c r="F7" s="47" t="s">
        <v>57</v>
      </c>
      <c r="G7" s="47" t="s">
        <v>58</v>
      </c>
      <c r="J7" s="47">
        <v>0</v>
      </c>
    </row>
    <row r="8" customHeight="1" spans="1:11">
      <c r="C8" s="47">
        <v>4</v>
      </c>
      <c r="D8" s="47" t="s">
        <v>59</v>
      </c>
      <c r="E8" s="47">
        <v>2222</v>
      </c>
      <c r="F8" s="47" t="s">
        <v>60</v>
      </c>
      <c r="G8" s="47">
        <v>1</v>
      </c>
      <c r="J8" s="47">
        <v>1</v>
      </c>
    </row>
  </sheetData>
  <sheetProtection formatCells="0" formatColumns="0" formatRows="0" insertRows="0" insertColumns="0" insertHyperlinks="0" deleteColumns="0" deleteRows="0" sort="0" autoFilter="0" pivotTables="0"/>
  <mergeCells count="1">
    <mergeCell ref="I2:J2"/>
  </mergeCells>
  <pageMargins left="0.75" right="0.75" top="1" bottom="1" header="0.5" footer="0.5"/>
  <pageSetup paperSize="9" orientation="portrait"/>
  <headerFooter/>
  <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6"/>
  <dimension ref="A1:O13"/>
  <sheetViews>
    <sheetView showGridLines="0" workbookViewId="0">
      <pane ySplit="4" topLeftCell="A5" activePane="bottomLeft" state="frozen"/>
      <selection/>
      <selection pane="bottomLeft" activeCell="H8" sqref="H8"/>
    </sheetView>
  </sheetViews>
  <sheetFormatPr defaultColWidth="9" defaultRowHeight="20.1" customHeight="1"/>
  <cols>
    <col min="1" max="1" width="4.625" style="3" customWidth="1"/>
    <col min="2" max="2" width="5.625" style="69" customWidth="1"/>
    <col min="3" max="3" width="4.625" style="4" hidden="1" customWidth="1"/>
    <col min="4" max="11" width="16.875" style="13" customWidth="1"/>
    <col min="12" max="12" width="16.875" style="40" customWidth="1"/>
    <col min="13" max="14" width="16.875" style="13" customWidth="1"/>
    <col min="15" max="15" width="3.375" style="4" customWidth="1"/>
    <col min="16" max="16" width="9" style="3" customWidth="1"/>
    <col min="17" max="17" width="9" style="3"/>
    <col min="18" max="16384" width="9" style="6"/>
  </cols>
  <sheetData>
    <row r="1" s="1" customFormat="1" ht="60" customHeight="1" spans="1:15">
      <c r="A1" s="70"/>
      <c r="L1" s="41"/>
    </row>
    <row r="2" s="2" customFormat="1" ht="39.95" customHeight="1" spans="1:15">
      <c r="L2" s="42"/>
    </row>
    <row r="3" s="2" customFormat="1" customHeight="1" spans="1:15">
      <c r="B3" s="9"/>
      <c r="C3" s="9"/>
      <c r="D3" s="9"/>
      <c r="E3" s="9"/>
      <c r="F3" s="9"/>
      <c r="G3" s="9"/>
      <c r="H3" s="9"/>
      <c r="I3" s="9"/>
      <c r="J3" s="9"/>
      <c r="K3" s="9"/>
      <c r="L3" s="43"/>
      <c r="M3" s="9"/>
      <c r="N3" s="9"/>
      <c r="O3" s="9"/>
    </row>
    <row r="4" s="2" customFormat="1" ht="30" customHeight="1" spans="1:15">
      <c r="B4" s="71" t="s">
        <v>62</v>
      </c>
      <c r="C4" s="9" t="s">
        <v>63</v>
      </c>
      <c r="D4" s="44" t="s">
        <v>25</v>
      </c>
      <c r="E4" s="44" t="s">
        <v>64</v>
      </c>
      <c r="F4" s="44" t="s">
        <v>27</v>
      </c>
      <c r="G4" s="44" t="s">
        <v>26</v>
      </c>
      <c r="H4" s="44" t="s">
        <v>28</v>
      </c>
      <c r="I4" s="44" t="s">
        <v>65</v>
      </c>
      <c r="J4" s="44" t="s">
        <v>30</v>
      </c>
      <c r="K4" s="44" t="s">
        <v>66</v>
      </c>
      <c r="L4" s="45" t="s">
        <v>67</v>
      </c>
      <c r="M4" s="44" t="s">
        <v>68</v>
      </c>
      <c r="N4" s="44" t="s">
        <v>69</v>
      </c>
      <c r="O4" s="9"/>
    </row>
    <row r="5" s="3" customFormat="1" customHeight="1" spans="1:15">
      <c r="B5" s="69"/>
      <c r="C5" s="4">
        <v>16</v>
      </c>
      <c r="D5" s="13">
        <v>1</v>
      </c>
      <c r="E5" s="13">
        <v>2</v>
      </c>
      <c r="F5" s="13" t="s">
        <v>41</v>
      </c>
      <c r="G5" s="13" t="s">
        <v>40</v>
      </c>
      <c r="H5" s="13" t="s">
        <v>42</v>
      </c>
      <c r="I5" s="13">
        <v>2</v>
      </c>
      <c r="J5" s="13">
        <v>1</v>
      </c>
      <c r="K5" s="13" t="s">
        <v>70</v>
      </c>
      <c r="L5" s="40">
        <v>46083.5591087963</v>
      </c>
      <c r="M5" s="13" t="s">
        <v>23</v>
      </c>
      <c r="N5" s="13" t="s">
        <v>71</v>
      </c>
      <c r="O5" s="4"/>
    </row>
    <row r="6" s="3" customFormat="1" customHeight="1" spans="1:15">
      <c r="B6" s="69"/>
      <c r="C6" s="4">
        <v>30</v>
      </c>
      <c r="D6" s="13">
        <v>2</v>
      </c>
      <c r="E6" s="13">
        <v>2</v>
      </c>
      <c r="F6" s="13" t="s">
        <v>41</v>
      </c>
      <c r="G6" s="13" t="s">
        <v>40</v>
      </c>
      <c r="H6" s="13" t="s">
        <v>42</v>
      </c>
      <c r="I6" s="13">
        <v>1</v>
      </c>
      <c r="J6" s="13">
        <v>1</v>
      </c>
      <c r="K6" s="13" t="s">
        <v>70</v>
      </c>
      <c r="L6" s="40">
        <v>46084.3662847222</v>
      </c>
      <c r="M6" s="13" t="s">
        <v>23</v>
      </c>
      <c r="N6" s="13" t="s">
        <v>37</v>
      </c>
      <c r="O6" s="4"/>
    </row>
    <row r="7" s="3" customFormat="1" customHeight="1" spans="1:15">
      <c r="B7" s="69"/>
      <c r="C7" s="4"/>
      <c r="D7" s="13"/>
      <c r="E7" s="13"/>
      <c r="F7" s="13"/>
      <c r="G7" s="13"/>
      <c r="H7" s="13"/>
      <c r="I7" s="13"/>
      <c r="J7" s="13"/>
      <c r="K7" s="13"/>
      <c r="L7" s="40"/>
      <c r="M7" s="13"/>
      <c r="N7" s="13"/>
      <c r="O7" s="4"/>
    </row>
    <row r="8" s="3" customFormat="1" customHeight="1" spans="1:15">
      <c r="B8" s="69"/>
      <c r="C8" s="4"/>
      <c r="D8" s="13"/>
      <c r="E8" s="13"/>
      <c r="F8" s="13"/>
      <c r="G8" s="13"/>
      <c r="H8" s="13"/>
      <c r="I8" s="13"/>
      <c r="J8" s="13"/>
      <c r="K8" s="13"/>
      <c r="L8" s="40"/>
      <c r="M8" s="13"/>
      <c r="N8" s="13"/>
      <c r="O8" s="4"/>
    </row>
    <row r="9" s="3" customFormat="1" customHeight="1" spans="1:15">
      <c r="B9" s="69"/>
      <c r="C9" s="4"/>
      <c r="D9" s="13"/>
      <c r="E9" s="13"/>
      <c r="F9" s="13"/>
      <c r="G9" s="13"/>
      <c r="H9" s="13"/>
      <c r="I9" s="13"/>
      <c r="J9" s="13"/>
      <c r="K9" s="13"/>
      <c r="L9" s="40"/>
      <c r="M9" s="13"/>
      <c r="N9" s="13"/>
      <c r="O9" s="4"/>
    </row>
    <row r="10" s="3" customFormat="1" customHeight="1" spans="1:15">
      <c r="B10" s="69"/>
      <c r="C10" s="4"/>
      <c r="D10" s="13"/>
      <c r="E10" s="13"/>
      <c r="F10" s="13"/>
      <c r="G10" s="13"/>
      <c r="H10" s="13"/>
      <c r="I10" s="13"/>
      <c r="J10" s="13"/>
      <c r="K10" s="13"/>
      <c r="L10" s="40"/>
      <c r="M10" s="13"/>
      <c r="N10" s="13"/>
      <c r="O10" s="4"/>
    </row>
    <row r="11" s="3" customFormat="1" customHeight="1" spans="1:15">
      <c r="B11" s="69"/>
      <c r="C11" s="4"/>
      <c r="D11" s="13"/>
      <c r="E11" s="13"/>
      <c r="F11" s="13"/>
      <c r="G11" s="13"/>
      <c r="H11" s="13"/>
      <c r="I11" s="13"/>
      <c r="J11" s="13"/>
      <c r="K11" s="13"/>
      <c r="L11" s="40"/>
      <c r="M11" s="13"/>
      <c r="N11" s="13"/>
      <c r="O11" s="4"/>
    </row>
    <row r="12" s="3" customFormat="1" customHeight="1" spans="1:15">
      <c r="B12" s="69"/>
      <c r="C12" s="4"/>
      <c r="D12" s="13"/>
      <c r="E12" s="13"/>
      <c r="F12" s="13"/>
      <c r="G12" s="13"/>
      <c r="H12" s="13"/>
      <c r="I12" s="13"/>
      <c r="J12" s="13"/>
      <c r="K12" s="13"/>
      <c r="L12" s="40"/>
      <c r="M12" s="13"/>
      <c r="N12" s="13"/>
      <c r="O12" s="4"/>
    </row>
    <row r="13" s="3" customFormat="1" customHeight="1" spans="1:15">
      <c r="B13" s="69"/>
      <c r="C13" s="4"/>
      <c r="D13" s="13"/>
      <c r="E13" s="13"/>
      <c r="F13" s="13"/>
      <c r="G13" s="13"/>
      <c r="H13" s="13"/>
      <c r="I13" s="13"/>
      <c r="J13" s="13"/>
      <c r="K13" s="13"/>
      <c r="L13" s="40"/>
      <c r="M13" s="13"/>
      <c r="N13" s="13"/>
      <c r="O13" s="4"/>
    </row>
  </sheetData>
  <sheetProtection formatCells="0" formatColumns="0" formatRows="0" insertRows="0" insertColumns="0" insertHyperlinks="0" deleteColumns="0" deleteRows="0" sort="0" autoFilter="0" pivotTables="0"/>
  <autoFilter xmlns:etc="http://www.wps.cn/officeDocument/2017/etCustomData" ref="D4:K188" etc:filterBottomFollowUsedRange="0">
    <extLst/>
  </autoFilter>
  <dataValidations count="1">
    <dataValidation allowBlank="1" showInputMessage="1" showErrorMessage="1" sqref="K5:K1048576"/>
  </dataValidations>
  <pageMargins left="0.75" right="0.75" top="1" bottom="1" header="0.5" footer="0.5"/>
  <headerFooter/>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4">
    <pageSetUpPr fitToPage="1"/>
  </sheetPr>
  <dimension ref="A1:I20"/>
  <sheetViews>
    <sheetView showGridLines="0" workbookViewId="0">
      <selection activeCell="G9" sqref="G9"/>
    </sheetView>
  </sheetViews>
  <sheetFormatPr defaultColWidth="9" defaultRowHeight="20.1" customHeight="1"/>
  <cols>
    <col min="1" max="1" width="4.625" style="3" customWidth="1"/>
    <col min="2" max="2" width="3.375" style="4" customWidth="1"/>
    <col min="3" max="8" width="20.625" style="56" customWidth="1"/>
    <col min="9" max="9" width="3.375" style="4" customWidth="1"/>
    <col min="10" max="16384" width="9" style="3"/>
  </cols>
  <sheetData>
    <row r="1" s="1" customFormat="1" ht="60" customHeight="1" spans="1:9">
      <c r="A1" s="7"/>
      <c r="C1" s="57"/>
      <c r="D1" s="57"/>
      <c r="E1" s="57"/>
      <c r="F1" s="57"/>
      <c r="G1" s="57"/>
      <c r="H1" s="57"/>
    </row>
    <row r="2" s="2" customFormat="1" ht="39.95" customHeight="1" spans="1:9">
      <c r="C2" s="58"/>
      <c r="D2" s="58"/>
      <c r="E2" s="58"/>
      <c r="F2" s="58"/>
      <c r="G2" s="58"/>
      <c r="H2" s="58"/>
    </row>
    <row r="3" s="2" customFormat="1" customHeight="1" spans="1:9">
      <c r="B3" s="9"/>
      <c r="C3" s="59"/>
      <c r="D3" s="59"/>
      <c r="E3" s="59"/>
      <c r="F3" s="59"/>
      <c r="G3" s="59"/>
      <c r="H3" s="59"/>
      <c r="I3" s="9"/>
    </row>
    <row r="4" s="2" customFormat="1" ht="40" customHeight="1" spans="1:9">
      <c r="B4" s="9"/>
      <c r="C4" s="60" t="s">
        <v>72</v>
      </c>
      <c r="D4" s="60"/>
      <c r="E4" s="60"/>
      <c r="F4" s="60"/>
      <c r="G4" s="60"/>
      <c r="H4" s="60"/>
      <c r="I4" s="9"/>
    </row>
    <row r="5" s="2" customFormat="1" ht="30" customHeight="1" spans="1:9">
      <c r="B5" s="9"/>
      <c r="C5" s="61" t="s">
        <v>73</v>
      </c>
      <c r="D5" s="62">
        <v>212</v>
      </c>
      <c r="E5" s="61"/>
      <c r="F5" s="62"/>
      <c r="G5" s="61" t="s">
        <v>74</v>
      </c>
      <c r="H5" s="63">
        <v>46098</v>
      </c>
      <c r="I5" s="9"/>
    </row>
    <row r="6" s="2" customFormat="1" ht="30" customHeight="1" spans="1:9">
      <c r="B6" s="9"/>
      <c r="C6" s="61" t="s">
        <v>75</v>
      </c>
      <c r="D6" s="62" t="s">
        <v>71</v>
      </c>
      <c r="E6" s="64"/>
      <c r="F6" s="64"/>
      <c r="G6" s="61" t="s">
        <v>76</v>
      </c>
      <c r="H6" s="62" t="s">
        <v>77</v>
      </c>
      <c r="I6" s="9"/>
    </row>
    <row r="7" s="2" customFormat="1" ht="30" customHeight="1" spans="1:9">
      <c r="B7" s="9"/>
      <c r="C7" s="65" t="s">
        <v>26</v>
      </c>
      <c r="D7" s="65" t="s">
        <v>27</v>
      </c>
      <c r="E7" s="65" t="s">
        <v>28</v>
      </c>
      <c r="F7" s="65" t="s">
        <v>30</v>
      </c>
      <c r="G7" s="65" t="s">
        <v>39</v>
      </c>
      <c r="H7" s="65" t="s">
        <v>31</v>
      </c>
      <c r="I7" s="9"/>
    </row>
    <row r="8" customHeight="1" spans="1:9">
      <c r="C8" s="66" t="s">
        <v>40</v>
      </c>
      <c r="D8" s="66" t="s">
        <v>41</v>
      </c>
      <c r="E8" s="66" t="s">
        <v>42</v>
      </c>
      <c r="F8" s="66">
        <v>12</v>
      </c>
      <c r="G8" s="66">
        <v>21</v>
      </c>
      <c r="H8" s="66">
        <v>252</v>
      </c>
    </row>
    <row r="9" customHeight="1" spans="1:9">
      <c r="C9" s="66"/>
      <c r="D9" s="66"/>
      <c r="E9" s="66"/>
      <c r="F9" s="66"/>
      <c r="G9" s="66"/>
      <c r="H9" s="66"/>
    </row>
    <row r="10" customHeight="1" spans="1:9">
      <c r="C10" s="66"/>
      <c r="D10" s="66"/>
      <c r="E10" s="66"/>
      <c r="F10" s="66"/>
      <c r="G10" s="66"/>
      <c r="H10" s="66"/>
    </row>
    <row r="11" customHeight="1" spans="1:9">
      <c r="C11" s="66"/>
      <c r="D11" s="66"/>
      <c r="E11" s="66"/>
      <c r="F11" s="66"/>
      <c r="G11" s="66"/>
      <c r="H11" s="66"/>
    </row>
    <row r="12" customHeight="1" spans="1:9">
      <c r="C12" s="66"/>
      <c r="D12" s="66"/>
      <c r="E12" s="66"/>
      <c r="F12" s="66"/>
      <c r="G12" s="66"/>
      <c r="H12" s="66"/>
    </row>
    <row r="13" customHeight="1" spans="1:9">
      <c r="C13" s="66"/>
      <c r="D13" s="66"/>
      <c r="E13" s="66"/>
      <c r="F13" s="66"/>
      <c r="G13" s="66"/>
      <c r="H13" s="66"/>
    </row>
    <row r="14" customHeight="1" spans="1:9">
      <c r="C14" s="66"/>
      <c r="D14" s="66"/>
      <c r="E14" s="66"/>
      <c r="F14" s="66"/>
      <c r="G14" s="66"/>
      <c r="H14" s="66"/>
    </row>
    <row r="15" customHeight="1" spans="1:9">
      <c r="C15" s="66"/>
      <c r="D15" s="66"/>
      <c r="E15" s="66"/>
      <c r="F15" s="66"/>
      <c r="G15" s="66"/>
      <c r="H15" s="66"/>
    </row>
    <row r="16" customHeight="1" spans="1:9">
      <c r="C16" s="66"/>
      <c r="D16" s="66"/>
      <c r="E16" s="66"/>
      <c r="F16" s="66"/>
      <c r="G16" s="66"/>
      <c r="H16" s="66"/>
    </row>
    <row r="17" customHeight="1" spans="3:8">
      <c r="C17" s="66"/>
      <c r="D17" s="66"/>
      <c r="E17" s="66"/>
      <c r="F17" s="66"/>
      <c r="G17" s="66"/>
      <c r="H17" s="66"/>
    </row>
    <row r="18" customHeight="1" spans="3:8">
      <c r="C18" s="66"/>
      <c r="D18" s="66"/>
      <c r="E18" s="66"/>
      <c r="F18" s="66"/>
      <c r="G18" s="66"/>
      <c r="H18" s="66"/>
    </row>
    <row r="19" customHeight="1" spans="3:8">
      <c r="C19" s="66"/>
      <c r="D19" s="66"/>
      <c r="E19" s="66"/>
      <c r="F19" s="66"/>
      <c r="G19" s="66"/>
      <c r="H19" s="66"/>
    </row>
    <row r="20" ht="30" customHeight="1" spans="3:8">
      <c r="C20" s="67" t="s">
        <v>45</v>
      </c>
      <c r="D20" s="68">
        <f>G20</f>
        <v>252</v>
      </c>
      <c r="E20" s="68"/>
      <c r="F20" s="67" t="s">
        <v>46</v>
      </c>
      <c r="G20" s="67">
        <f>SUM(H8:H19)</f>
        <v>252</v>
      </c>
      <c r="H20" s="67"/>
    </row>
  </sheetData>
  <mergeCells count="3">
    <mergeCell ref="C4:H4"/>
    <mergeCell ref="D20:E20"/>
    <mergeCell ref="G20:H20"/>
  </mergeCells>
  <pageMargins left="0.393055555555556" right="0.393055555555556" top="0.393055555555556" bottom="0.393055555555556" header="0.5" footer="0.5"/>
  <pageSetup paperSize="9" scale="72" fitToHeight="0" orientation="portrait" horizontalDpi="600"/>
  <headerFooter/>
  <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
  <dimension ref="A1:K4"/>
  <sheetViews>
    <sheetView showGridLines="0" workbookViewId="0">
      <pane ySplit="4" topLeftCell="A5" activePane="bottomLeft" state="frozen"/>
      <selection/>
      <selection pane="bottomLeft" activeCell="AP16" sqref="AP16"/>
    </sheetView>
  </sheetViews>
  <sheetFormatPr defaultColWidth="9" defaultRowHeight="20.1" customHeight="1" outlineLevelRow="3"/>
  <cols>
    <col min="1" max="1" width="4.625" style="3" customWidth="1"/>
    <col min="2" max="2" width="3.375" style="4" customWidth="1"/>
    <col min="3" max="3" width="4.625" style="4" hidden="1" customWidth="1"/>
    <col min="4" max="10" width="16.875" style="13" customWidth="1"/>
    <col min="11" max="11" width="3.375" style="4" customWidth="1"/>
    <col min="12" max="12" width="4.25" style="3" hidden="1" customWidth="1"/>
    <col min="13" max="13" width="9" style="3"/>
    <col min="14" max="20" width="9" style="6"/>
  </cols>
  <sheetData>
    <row r="1" s="1" customFormat="1" ht="60" customHeight="1" spans="1:11">
      <c r="A1" s="7"/>
    </row>
    <row r="2" s="2" customFormat="1" ht="39.95" customHeight="1" spans="1:11">
      <c r="J2" s="46" t="s">
        <v>78</v>
      </c>
    </row>
    <row r="3" s="2" customFormat="1" customHeight="1" spans="1:11">
      <c r="B3" s="9"/>
      <c r="C3" s="9"/>
      <c r="D3" s="9"/>
      <c r="E3" s="9"/>
      <c r="F3" s="9"/>
      <c r="G3" s="9"/>
      <c r="H3" s="9"/>
      <c r="I3" s="9"/>
      <c r="J3" s="9"/>
      <c r="K3" s="9"/>
    </row>
    <row r="4" s="2" customFormat="1" ht="30" customHeight="1" spans="1:11">
      <c r="B4" s="9"/>
      <c r="C4" s="9" t="s">
        <v>63</v>
      </c>
      <c r="D4" s="44" t="s">
        <v>25</v>
      </c>
      <c r="E4" s="44" t="s">
        <v>26</v>
      </c>
      <c r="F4" s="44" t="s">
        <v>27</v>
      </c>
      <c r="G4" s="44" t="s">
        <v>28</v>
      </c>
      <c r="H4" s="44" t="s">
        <v>79</v>
      </c>
      <c r="I4" s="44" t="s">
        <v>80</v>
      </c>
      <c r="J4" s="44" t="s">
        <v>31</v>
      </c>
      <c r="K4" s="9"/>
    </row>
  </sheetData>
  <sheetProtection formatCells="0" formatColumns="0" formatRows="0" insertRows="0" insertColumns="0" insertHyperlinks="0" deleteColumns="0" deleteRows="0" sort="0" autoFilter="0" pivotTables="0"/>
  <dataValidations count="1">
    <dataValidation type="list" allowBlank="1" showInputMessage="1" sqref="F5:F1048576">
      <formula1>基础资料!$F$5:$F$65536</formula1>
    </dataValidation>
  </dataValidations>
  <pageMargins left="0.75" right="0.75" top="1" bottom="1" header="0.5" footer="0.5"/>
  <headerFooter/>
  <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7"/>
  <dimension ref="A1:K8"/>
  <sheetViews>
    <sheetView showGridLines="0" workbookViewId="0">
      <pane ySplit="4" topLeftCell="A5" activePane="bottomLeft" state="frozen"/>
      <selection/>
      <selection pane="bottomLeft" activeCell="G11" sqref="G11"/>
    </sheetView>
  </sheetViews>
  <sheetFormatPr defaultColWidth="9" defaultRowHeight="20.1" customHeight="1" outlineLevelRow="7"/>
  <cols>
    <col min="1" max="1" width="4.625" style="3" customWidth="1"/>
    <col min="2" max="2" width="3.375" style="4" customWidth="1"/>
    <col min="3" max="10" width="16.875" style="13" customWidth="1"/>
    <col min="11" max="11" width="3.375" style="4" customWidth="1"/>
    <col min="12" max="12" width="4.25" style="3" customWidth="1"/>
    <col min="13" max="13" width="9" style="3"/>
    <col min="14" max="20" width="9" style="6"/>
  </cols>
  <sheetData>
    <row r="1" s="1" customFormat="1" ht="60" customHeight="1" spans="1:11">
      <c r="A1" s="7"/>
    </row>
    <row r="2" s="2" customFormat="1" ht="39.95" customHeight="1" spans="1:11">
      <c r="H2" s="46" t="s">
        <v>81</v>
      </c>
      <c r="I2" s="46"/>
      <c r="J2" s="46" t="s">
        <v>82</v>
      </c>
    </row>
    <row r="3" s="2" customFormat="1" customHeight="1" spans="1:11">
      <c r="B3" s="9"/>
      <c r="C3" s="9"/>
      <c r="D3" s="9"/>
      <c r="E3" s="9"/>
      <c r="F3" s="9"/>
      <c r="G3" s="9"/>
      <c r="H3" s="9"/>
      <c r="I3" s="9"/>
      <c r="J3" s="9"/>
      <c r="K3" s="9"/>
    </row>
    <row r="4" s="2" customFormat="1" ht="30" customHeight="1" spans="1:11">
      <c r="B4" s="9"/>
      <c r="C4" s="44" t="s">
        <v>25</v>
      </c>
      <c r="D4" s="44" t="s">
        <v>26</v>
      </c>
      <c r="E4" s="44" t="s">
        <v>27</v>
      </c>
      <c r="F4" s="44" t="s">
        <v>28</v>
      </c>
      <c r="G4" s="44" t="s">
        <v>83</v>
      </c>
      <c r="H4" s="44" t="s">
        <v>84</v>
      </c>
      <c r="I4" s="44" t="s">
        <v>85</v>
      </c>
      <c r="J4" s="44" t="s">
        <v>86</v>
      </c>
      <c r="K4" s="9"/>
    </row>
    <row r="5" customHeight="1" spans="1:11">
      <c r="C5" s="13">
        <v>1</v>
      </c>
      <c r="D5" s="13" t="s">
        <v>40</v>
      </c>
      <c r="E5" s="13" t="s">
        <v>41</v>
      </c>
      <c r="F5" s="13" t="s">
        <v>42</v>
      </c>
      <c r="G5" s="13">
        <v>7</v>
      </c>
      <c r="H5" s="13">
        <v>465</v>
      </c>
      <c r="I5" s="13">
        <v>6</v>
      </c>
      <c r="J5" s="13">
        <v>463</v>
      </c>
    </row>
    <row r="6" customHeight="1" spans="1:11">
      <c r="C6" s="13">
        <v>2</v>
      </c>
      <c r="D6" s="13" t="s">
        <v>43</v>
      </c>
      <c r="E6" s="13" t="s">
        <v>44</v>
      </c>
      <c r="F6" s="13" t="s">
        <v>42</v>
      </c>
      <c r="G6" s="13">
        <v>19</v>
      </c>
      <c r="H6" s="13">
        <v>391</v>
      </c>
      <c r="I6" s="13">
        <v>19</v>
      </c>
      <c r="J6" s="13">
        <v>391</v>
      </c>
    </row>
    <row r="7" customHeight="1" spans="1:11">
      <c r="C7" s="13">
        <v>3</v>
      </c>
      <c r="D7" s="13" t="s">
        <v>55</v>
      </c>
      <c r="E7" s="13" t="s">
        <v>56</v>
      </c>
      <c r="F7" s="13" t="s">
        <v>57</v>
      </c>
      <c r="G7" s="13">
        <v>0</v>
      </c>
      <c r="H7" s="13">
        <v>-1</v>
      </c>
      <c r="I7" s="13">
        <v>-1</v>
      </c>
      <c r="J7" s="13">
        <v>-3</v>
      </c>
    </row>
    <row r="8" customHeight="1" spans="1:11">
      <c r="C8" s="13">
        <v>4</v>
      </c>
      <c r="D8" s="13" t="s">
        <v>59</v>
      </c>
      <c r="E8" s="13">
        <v>2222</v>
      </c>
      <c r="F8" s="13" t="s">
        <v>60</v>
      </c>
      <c r="G8" s="13">
        <v>1</v>
      </c>
      <c r="H8" s="13">
        <v>4</v>
      </c>
      <c r="I8" s="13">
        <v>2</v>
      </c>
      <c r="J8" s="13">
        <v>6</v>
      </c>
    </row>
  </sheetData>
  <sheetProtection formatCells="0" formatColumns="0" formatRows="0" insertRows="0" insertColumns="0" insertHyperlinks="0" deleteColumns="0" deleteRows="0" sort="0" autoFilter="0" pivotTables="0"/>
  <pageMargins left="0.75" right="0.75" top="1" bottom="1" header="0.5" footer="0.5"/>
  <headerFooter/>
  <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9"/>
  <dimension ref="A1:U11"/>
  <sheetViews>
    <sheetView showGridLines="0" workbookViewId="0">
      <pane ySplit="4" topLeftCell="A5" activePane="bottomLeft" state="frozen"/>
      <selection/>
      <selection pane="bottomLeft" activeCell="H10" sqref="H10"/>
    </sheetView>
  </sheetViews>
  <sheetFormatPr defaultColWidth="9" defaultRowHeight="20.1" customHeight="1"/>
  <cols>
    <col min="1" max="1" width="3.375" style="4" customWidth="1"/>
    <col min="2" max="2" width="7.125" style="47" customWidth="1"/>
    <col min="3" max="3" width="14.875" style="47" customWidth="1"/>
    <col min="4" max="4" width="16.875" style="47" customWidth="1"/>
    <col min="5" max="7" width="9.375" style="47" customWidth="1"/>
    <col min="8" max="8" width="3.375" style="4" customWidth="1"/>
    <col min="9" max="9" width="9" style="3"/>
    <col min="10" max="13" width="15" style="3" customWidth="1"/>
    <col min="14" max="16384" width="9" style="3"/>
  </cols>
  <sheetData>
    <row r="1" s="1" customFormat="1" ht="60" customHeight="1"/>
    <row r="2" s="2" customFormat="1" ht="39.95" customHeight="1" spans="1:21">
      <c r="B2" s="48"/>
      <c r="G2" s="49"/>
    </row>
    <row r="3" s="2" customFormat="1" customHeight="1" spans="1:21">
      <c r="A3" s="9"/>
      <c r="B3" s="50"/>
      <c r="C3" s="50"/>
      <c r="D3" s="50"/>
      <c r="E3" s="50"/>
      <c r="F3" s="50"/>
      <c r="G3" s="50"/>
      <c r="H3" s="9"/>
      <c r="J3" s="51" t="s">
        <v>87</v>
      </c>
      <c r="K3" s="51" t="s">
        <v>88</v>
      </c>
      <c r="L3" s="51" t="s">
        <v>89</v>
      </c>
      <c r="M3" s="51" t="s">
        <v>90</v>
      </c>
      <c r="N3" s="52" t="s">
        <v>77</v>
      </c>
      <c r="O3" s="52" t="s">
        <v>52</v>
      </c>
      <c r="P3" s="52"/>
      <c r="Q3" s="52"/>
      <c r="R3" s="52"/>
      <c r="S3" s="52"/>
      <c r="T3" s="52"/>
      <c r="U3" s="52"/>
    </row>
    <row r="4" s="2" customFormat="1" ht="30" customHeight="1" spans="1:21">
      <c r="A4" s="9"/>
      <c r="B4" s="44" t="s">
        <v>25</v>
      </c>
      <c r="C4" s="44" t="s">
        <v>91</v>
      </c>
      <c r="D4" s="44" t="s">
        <v>92</v>
      </c>
      <c r="E4" s="44" t="s">
        <v>93</v>
      </c>
      <c r="F4" s="44" t="s">
        <v>30</v>
      </c>
      <c r="G4" s="44" t="s">
        <v>94</v>
      </c>
      <c r="H4" s="9"/>
      <c r="J4" s="54">
        <v>7</v>
      </c>
      <c r="K4" s="54">
        <v>14</v>
      </c>
      <c r="L4" s="55">
        <v>7</v>
      </c>
      <c r="M4" s="54">
        <v>1</v>
      </c>
      <c r="N4" s="52">
        <v>7</v>
      </c>
      <c r="O4" s="52">
        <v>2</v>
      </c>
      <c r="P4" s="52"/>
      <c r="Q4" s="52"/>
      <c r="R4" s="52"/>
      <c r="S4" s="52"/>
      <c r="T4" s="52"/>
      <c r="U4" s="52"/>
    </row>
    <row r="5" customHeight="1" spans="1:21">
      <c r="B5" s="47">
        <v>1</v>
      </c>
      <c r="C5" s="47" t="s">
        <v>42</v>
      </c>
      <c r="D5" s="47" t="s">
        <v>40</v>
      </c>
      <c r="E5" s="47">
        <v>2</v>
      </c>
      <c r="F5" s="47">
        <v>2</v>
      </c>
      <c r="G5" s="47" t="s">
        <v>77</v>
      </c>
    </row>
    <row r="6" customHeight="1" spans="1:21">
      <c r="B6" s="47">
        <v>2</v>
      </c>
      <c r="C6" s="47" t="s">
        <v>42</v>
      </c>
      <c r="D6" s="47" t="s">
        <v>40</v>
      </c>
      <c r="E6" s="47">
        <v>2</v>
      </c>
      <c r="F6" s="47">
        <v>2</v>
      </c>
      <c r="G6" s="47" t="s">
        <v>77</v>
      </c>
    </row>
    <row r="7" customHeight="1" spans="1:21">
      <c r="B7" s="47">
        <v>3</v>
      </c>
      <c r="C7" s="47" t="s">
        <v>42</v>
      </c>
      <c r="D7" s="47" t="s">
        <v>40</v>
      </c>
      <c r="E7" s="47">
        <v>1</v>
      </c>
      <c r="F7" s="47">
        <v>1</v>
      </c>
      <c r="G7" s="47" t="s">
        <v>77</v>
      </c>
    </row>
    <row r="8" customHeight="1" spans="1:21">
      <c r="B8" s="47">
        <v>4</v>
      </c>
      <c r="C8" s="47" t="s">
        <v>42</v>
      </c>
      <c r="D8" s="47" t="s">
        <v>40</v>
      </c>
      <c r="E8" s="47">
        <v>1</v>
      </c>
      <c r="F8" s="47">
        <v>1</v>
      </c>
      <c r="G8" s="47" t="s">
        <v>52</v>
      </c>
    </row>
    <row r="9" customHeight="1" spans="1:21">
      <c r="B9" s="47">
        <v>5</v>
      </c>
      <c r="C9" s="47" t="s">
        <v>42</v>
      </c>
      <c r="D9" s="47" t="s">
        <v>40</v>
      </c>
      <c r="E9" s="47">
        <v>1</v>
      </c>
      <c r="F9" s="47">
        <v>1</v>
      </c>
      <c r="G9" s="47" t="s">
        <v>77</v>
      </c>
    </row>
    <row r="10" customHeight="1" spans="1:21">
      <c r="B10" s="47">
        <v>6</v>
      </c>
      <c r="C10" s="47" t="s">
        <v>42</v>
      </c>
      <c r="D10" s="47" t="s">
        <v>40</v>
      </c>
      <c r="E10" s="47">
        <v>2</v>
      </c>
      <c r="F10" s="47">
        <v>1</v>
      </c>
      <c r="G10" s="47" t="s">
        <v>77</v>
      </c>
    </row>
    <row r="11" customHeight="1" spans="1:21">
      <c r="B11" s="47">
        <v>7</v>
      </c>
      <c r="C11" s="47" t="s">
        <v>42</v>
      </c>
      <c r="D11" s="47" t="s">
        <v>40</v>
      </c>
      <c r="E11" s="47">
        <v>1</v>
      </c>
      <c r="F11" s="47">
        <v>1</v>
      </c>
      <c r="G11" s="47" t="s">
        <v>52</v>
      </c>
    </row>
  </sheetData>
  <sheetProtection formatCells="0" formatColumns="0" formatRows="0" insertRows="0" insertColumns="0" insertHyperlinks="0" deleteColumns="0" deleteRows="0" sort="0" autoFilter="0" pivotTables="0"/>
  <dataValidations count="1">
    <dataValidation allowBlank="1" showInputMessage="1" showErrorMessage="1" sqref="B5:G1048576"/>
  </dataValidations>
  <pageMargins left="0.75" right="0.75" top="1" bottom="1" header="0.5" footer="0.5"/>
  <pageSetup paperSize="9" orientation="portrait"/>
  <headerFooter/>
  <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0"/>
  <dimension ref="A1:U12"/>
  <sheetViews>
    <sheetView showGridLines="0" workbookViewId="0">
      <pane ySplit="4" topLeftCell="A5" activePane="bottomLeft" state="frozen"/>
      <selection/>
      <selection pane="bottomLeft" activeCell="I8" sqref="I8"/>
    </sheetView>
  </sheetViews>
  <sheetFormatPr defaultColWidth="9" defaultRowHeight="20.1" customHeight="1"/>
  <cols>
    <col min="1" max="1" width="3.375" style="4" customWidth="1"/>
    <col min="2" max="2" width="7.125" style="47" customWidth="1"/>
    <col min="3" max="3" width="14.875" style="47" customWidth="1"/>
    <col min="4" max="4" width="16.875" style="47" customWidth="1"/>
    <col min="5" max="7" width="9.375" style="47" customWidth="1"/>
    <col min="8" max="8" width="3.375" style="4" customWidth="1"/>
    <col min="9" max="9" width="9" style="3"/>
    <col min="10" max="13" width="15" style="3" customWidth="1"/>
    <col min="14" max="16384" width="9" style="3"/>
  </cols>
  <sheetData>
    <row r="1" s="1" customFormat="1" ht="60" customHeight="1"/>
    <row r="2" s="2" customFormat="1" ht="39.95" customHeight="1" spans="1:21">
      <c r="B2" s="48"/>
      <c r="G2" s="49"/>
    </row>
    <row r="3" s="2" customFormat="1" customHeight="1" spans="1:21">
      <c r="A3" s="9"/>
      <c r="B3" s="50"/>
      <c r="C3" s="50"/>
      <c r="D3" s="50"/>
      <c r="E3" s="50"/>
      <c r="F3" s="50"/>
      <c r="G3" s="50"/>
      <c r="H3" s="9"/>
      <c r="J3" s="51" t="s">
        <v>87</v>
      </c>
      <c r="K3" s="51" t="s">
        <v>88</v>
      </c>
      <c r="L3" s="51" t="s">
        <v>89</v>
      </c>
      <c r="M3" s="51" t="s">
        <v>90</v>
      </c>
      <c r="N3" s="52" t="s">
        <v>77</v>
      </c>
      <c r="O3" s="52" t="s">
        <v>52</v>
      </c>
      <c r="P3" s="52"/>
      <c r="Q3" s="52"/>
      <c r="R3" s="52"/>
      <c r="S3" s="52"/>
      <c r="T3" s="52"/>
      <c r="U3" s="52"/>
    </row>
    <row r="4" s="2" customFormat="1" ht="30" customHeight="1" spans="1:21">
      <c r="A4" s="9"/>
      <c r="B4" s="44" t="s">
        <v>25</v>
      </c>
      <c r="C4" s="44" t="s">
        <v>91</v>
      </c>
      <c r="D4" s="44" t="s">
        <v>92</v>
      </c>
      <c r="E4" s="44" t="s">
        <v>93</v>
      </c>
      <c r="F4" s="44" t="s">
        <v>30</v>
      </c>
      <c r="G4" s="44" t="s">
        <v>94</v>
      </c>
      <c r="H4" s="9"/>
      <c r="J4" s="54">
        <v>8</v>
      </c>
      <c r="K4" s="54">
        <v>251</v>
      </c>
      <c r="L4" s="55">
        <v>8</v>
      </c>
      <c r="M4" s="54">
        <v>1</v>
      </c>
      <c r="N4" s="52">
        <v>25</v>
      </c>
      <c r="O4" s="52">
        <v>4</v>
      </c>
      <c r="P4" s="52"/>
      <c r="Q4" s="52"/>
      <c r="R4" s="52"/>
      <c r="S4" s="52"/>
      <c r="T4" s="52"/>
      <c r="U4" s="52"/>
    </row>
    <row r="5" customHeight="1" spans="1:21">
      <c r="B5" s="47">
        <v>1</v>
      </c>
      <c r="C5" s="47" t="s">
        <v>42</v>
      </c>
      <c r="D5" s="47" t="s">
        <v>40</v>
      </c>
      <c r="E5" s="47">
        <v>11</v>
      </c>
      <c r="F5" s="47">
        <v>22</v>
      </c>
      <c r="G5" s="47" t="s">
        <v>77</v>
      </c>
    </row>
    <row r="6" customHeight="1" spans="1:21">
      <c r="B6" s="47">
        <v>2</v>
      </c>
      <c r="C6" s="47" t="s">
        <v>42</v>
      </c>
      <c r="D6" s="47" t="s">
        <v>40</v>
      </c>
      <c r="E6" s="47">
        <v>2</v>
      </c>
      <c r="F6" s="47">
        <v>1</v>
      </c>
      <c r="G6" s="47" t="s">
        <v>77</v>
      </c>
    </row>
    <row r="7" customHeight="1" spans="1:21">
      <c r="B7" s="47">
        <v>3</v>
      </c>
      <c r="C7" s="47" t="s">
        <v>42</v>
      </c>
      <c r="D7" s="47" t="s">
        <v>40</v>
      </c>
      <c r="E7" s="47">
        <v>1</v>
      </c>
      <c r="F7" s="47">
        <v>1</v>
      </c>
      <c r="G7" s="47" t="s">
        <v>52</v>
      </c>
    </row>
    <row r="8" customHeight="1" spans="1:21">
      <c r="B8" s="47">
        <v>4</v>
      </c>
      <c r="C8" s="47" t="s">
        <v>42</v>
      </c>
      <c r="D8" s="47" t="s">
        <v>40</v>
      </c>
      <c r="E8" s="47">
        <v>2</v>
      </c>
      <c r="F8" s="47">
        <v>1</v>
      </c>
      <c r="G8" s="47" t="s">
        <v>77</v>
      </c>
    </row>
    <row r="9" customHeight="1" spans="1:21">
      <c r="B9" s="47">
        <v>5</v>
      </c>
      <c r="C9" s="47" t="s">
        <v>42</v>
      </c>
      <c r="D9" s="47" t="s">
        <v>40</v>
      </c>
      <c r="E9" s="47">
        <v>1</v>
      </c>
      <c r="F9" s="47">
        <v>1</v>
      </c>
      <c r="G9" s="47" t="s">
        <v>52</v>
      </c>
    </row>
    <row r="10" customHeight="1" spans="1:21">
      <c r="B10" s="47">
        <v>6</v>
      </c>
      <c r="C10" s="47" t="s">
        <v>42</v>
      </c>
      <c r="D10" s="47" t="s">
        <v>40</v>
      </c>
      <c r="E10" s="47">
        <v>1</v>
      </c>
      <c r="F10" s="47">
        <v>1</v>
      </c>
      <c r="G10" s="47" t="s">
        <v>52</v>
      </c>
    </row>
    <row r="11" customHeight="1" spans="1:21">
      <c r="B11" s="47">
        <v>7</v>
      </c>
      <c r="C11" s="47" t="s">
        <v>42</v>
      </c>
      <c r="D11" s="47" t="s">
        <v>40</v>
      </c>
      <c r="E11" s="47">
        <v>1</v>
      </c>
      <c r="F11" s="47">
        <v>1</v>
      </c>
      <c r="G11" s="47" t="s">
        <v>77</v>
      </c>
    </row>
    <row r="12" customHeight="1" spans="1:21">
      <c r="B12" s="47">
        <v>8</v>
      </c>
      <c r="C12" s="47" t="s">
        <v>42</v>
      </c>
      <c r="D12" s="47" t="s">
        <v>40</v>
      </c>
      <c r="E12" s="47">
        <v>1</v>
      </c>
      <c r="F12" s="47">
        <v>1</v>
      </c>
      <c r="G12" s="47" t="s">
        <v>52</v>
      </c>
    </row>
  </sheetData>
  <sheetProtection formatCells="0" formatColumns="0" formatRows="0" insertRows="0" insertColumns="0" insertHyperlinks="0" deleteColumns="0" deleteRows="0" sort="0" autoFilter="0" pivotTables="0"/>
  <dataValidations count="1">
    <dataValidation allowBlank="1" showInputMessage="1" showErrorMessage="1" sqref="B5:G1048576"/>
  </dataValidations>
  <pageMargins left="0.75" right="0.75" top="1" bottom="1" header="0.5" footer="0.5"/>
  <pageSetup paperSize="9" orientation="portrait"/>
  <headerFooter/>
  <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1"/>
  <dimension ref="A1:AH9"/>
  <sheetViews>
    <sheetView showGridLines="0" workbookViewId="0">
      <pane ySplit="4" topLeftCell="A5" activePane="bottomLeft" state="frozen"/>
      <selection/>
      <selection pane="bottomLeft" activeCell="I9" sqref="I9"/>
    </sheetView>
  </sheetViews>
  <sheetFormatPr defaultColWidth="9" defaultRowHeight="20.1" customHeight="1"/>
  <cols>
    <col min="1" max="1" width="3.375" style="4" customWidth="1"/>
    <col min="2" max="2" width="7.125" style="47" customWidth="1"/>
    <col min="3" max="3" width="14.875" style="47" customWidth="1"/>
    <col min="4" max="4" width="16.875" style="47" customWidth="1"/>
    <col min="5" max="7" width="9.375" style="47" customWidth="1"/>
    <col min="8" max="8" width="3.375" style="4" customWidth="1"/>
    <col min="9" max="9" width="9" style="3"/>
    <col min="10" max="13" width="15" style="3" customWidth="1"/>
    <col min="14" max="16384" width="9" style="3"/>
  </cols>
  <sheetData>
    <row r="1" s="1" customFormat="1" ht="60" customHeight="1"/>
    <row r="2" s="2" customFormat="1" ht="39.95" customHeight="1" spans="1:34">
      <c r="B2" s="48"/>
      <c r="G2" s="49"/>
    </row>
    <row r="3" s="2" customFormat="1" customHeight="1" spans="1:34">
      <c r="A3" s="9"/>
      <c r="B3" s="50"/>
      <c r="C3" s="50"/>
      <c r="D3" s="50"/>
      <c r="E3" s="50"/>
      <c r="F3" s="50"/>
      <c r="G3" s="50"/>
      <c r="H3" s="9"/>
      <c r="J3" s="51" t="s">
        <v>87</v>
      </c>
      <c r="K3" s="51" t="s">
        <v>88</v>
      </c>
      <c r="L3" s="51" t="s">
        <v>89</v>
      </c>
      <c r="M3" s="51" t="s">
        <v>90</v>
      </c>
      <c r="N3" s="52" t="s">
        <v>77</v>
      </c>
      <c r="O3" s="52" t="s">
        <v>52</v>
      </c>
      <c r="P3" s="52"/>
      <c r="Q3" s="52"/>
      <c r="R3" s="52"/>
      <c r="S3" s="52"/>
      <c r="T3" s="52"/>
      <c r="U3" s="52"/>
      <c r="V3" s="53"/>
      <c r="W3" s="53"/>
      <c r="X3" s="53"/>
      <c r="Y3" s="53"/>
      <c r="Z3" s="53"/>
      <c r="AA3" s="53"/>
      <c r="AB3" s="53"/>
      <c r="AC3" s="53"/>
      <c r="AD3" s="53"/>
      <c r="AE3" s="53"/>
      <c r="AF3" s="53"/>
      <c r="AG3" s="53"/>
      <c r="AH3" s="53"/>
    </row>
    <row r="4" s="2" customFormat="1" ht="30" customHeight="1" spans="1:34">
      <c r="A4" s="9"/>
      <c r="B4" s="44" t="s">
        <v>25</v>
      </c>
      <c r="C4" s="44" t="s">
        <v>91</v>
      </c>
      <c r="D4" s="44" t="s">
        <v>92</v>
      </c>
      <c r="E4" s="44" t="s">
        <v>93</v>
      </c>
      <c r="F4" s="44" t="s">
        <v>30</v>
      </c>
      <c r="G4" s="44" t="s">
        <v>94</v>
      </c>
      <c r="H4" s="9"/>
      <c r="J4" s="54">
        <v>5</v>
      </c>
      <c r="K4" s="54">
        <v>491</v>
      </c>
      <c r="L4" s="55">
        <v>5</v>
      </c>
      <c r="M4" s="54">
        <v>1</v>
      </c>
      <c r="N4" s="52">
        <v>2</v>
      </c>
      <c r="O4" s="52">
        <v>1</v>
      </c>
      <c r="P4" s="52"/>
      <c r="Q4" s="52"/>
      <c r="R4" s="52"/>
      <c r="S4" s="52"/>
      <c r="T4" s="52"/>
      <c r="U4" s="52"/>
      <c r="V4" s="53"/>
      <c r="W4" s="53"/>
      <c r="X4" s="53"/>
      <c r="Y4" s="53"/>
      <c r="Z4" s="53"/>
      <c r="AA4" s="53"/>
      <c r="AB4" s="53"/>
      <c r="AC4" s="53"/>
      <c r="AD4" s="53"/>
      <c r="AE4" s="53"/>
      <c r="AF4" s="53"/>
      <c r="AG4" s="53"/>
      <c r="AH4" s="53"/>
    </row>
    <row r="5" customHeight="1" spans="1:34">
      <c r="B5" s="47">
        <v>1</v>
      </c>
      <c r="C5" s="47" t="s">
        <v>42</v>
      </c>
      <c r="D5" s="47" t="s">
        <v>43</v>
      </c>
      <c r="E5" s="47">
        <v>2</v>
      </c>
      <c r="F5" s="47">
        <v>20</v>
      </c>
    </row>
    <row r="6" customHeight="1" spans="1:34">
      <c r="B6" s="47">
        <v>2</v>
      </c>
      <c r="C6" s="47" t="s">
        <v>42</v>
      </c>
      <c r="D6" s="47" t="s">
        <v>43</v>
      </c>
      <c r="E6" s="47">
        <v>12</v>
      </c>
      <c r="F6" s="47">
        <v>4</v>
      </c>
    </row>
    <row r="7" customHeight="1" spans="1:34">
      <c r="B7" s="47">
        <v>3</v>
      </c>
      <c r="C7" s="47" t="s">
        <v>42</v>
      </c>
      <c r="D7" s="47" t="s">
        <v>43</v>
      </c>
      <c r="E7" s="47">
        <v>100</v>
      </c>
      <c r="F7" s="47">
        <v>4</v>
      </c>
    </row>
    <row r="8" customHeight="1" spans="1:34">
      <c r="B8" s="47">
        <v>4</v>
      </c>
      <c r="C8" s="47" t="s">
        <v>42</v>
      </c>
      <c r="D8" s="47" t="s">
        <v>43</v>
      </c>
      <c r="E8" s="47">
        <v>1</v>
      </c>
      <c r="F8" s="47">
        <v>2</v>
      </c>
      <c r="G8" s="47" t="s">
        <v>77</v>
      </c>
    </row>
    <row r="9" customHeight="1" spans="1:34">
      <c r="B9" s="47">
        <v>5</v>
      </c>
      <c r="C9" s="47" t="s">
        <v>42</v>
      </c>
      <c r="D9" s="47" t="s">
        <v>43</v>
      </c>
      <c r="E9" s="47">
        <v>1</v>
      </c>
      <c r="F9" s="47">
        <v>1</v>
      </c>
      <c r="G9" s="47" t="s">
        <v>52</v>
      </c>
    </row>
  </sheetData>
  <sheetProtection formatCells="0" formatColumns="0" formatRows="0" insertRows="0" insertColumns="0" insertHyperlinks="0" deleteColumns="0" deleteRows="0" sort="0" autoFilter="0" pivotTables="0"/>
  <dataValidations count="1">
    <dataValidation allowBlank="1" showInputMessage="1" showErrorMessage="1" sqref="B5:G1048576"/>
  </dataValidations>
  <pageMargins left="0.75" right="0.75" top="1" bottom="1" header="0.5" footer="0.5"/>
  <pageSetup paperSize="9" orientation="portrait"/>
  <headerFooter/>
  <drawing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8"/>
  <dimension ref="A1:I8"/>
  <sheetViews>
    <sheetView showGridLines="0" workbookViewId="0">
      <pane ySplit="4" topLeftCell="A5" activePane="bottomLeft" state="frozen"/>
      <selection/>
      <selection pane="bottomLeft" activeCell="H11" sqref="H11"/>
    </sheetView>
  </sheetViews>
  <sheetFormatPr defaultColWidth="9" defaultRowHeight="20.1" customHeight="1" outlineLevelRow="7"/>
  <cols>
    <col min="1" max="1" width="4.625" style="3" customWidth="1"/>
    <col min="2" max="2" width="3.375" style="4" customWidth="1"/>
    <col min="3" max="8" width="16.875" style="13" customWidth="1"/>
    <col min="9" max="9" width="3.375" style="4" customWidth="1"/>
    <col min="10" max="10" width="4.25" style="3" customWidth="1"/>
    <col min="11" max="11" width="9" style="3"/>
    <col min="12" max="18" width="9" style="6"/>
  </cols>
  <sheetData>
    <row r="1" s="1" customFormat="1" ht="60" customHeight="1" spans="1:9">
      <c r="A1" s="7"/>
    </row>
    <row r="2" s="2" customFormat="1" ht="39.95" customHeight="1" spans="1:9">
      <c r="H2" s="46"/>
    </row>
    <row r="3" s="2" customFormat="1" customHeight="1" spans="1:9">
      <c r="B3" s="9"/>
      <c r="C3" s="9"/>
      <c r="D3" s="9"/>
      <c r="E3" s="9"/>
      <c r="F3" s="9"/>
      <c r="G3" s="9"/>
      <c r="H3" s="9"/>
      <c r="I3" s="9"/>
    </row>
    <row r="4" s="2" customFormat="1" ht="30" customHeight="1" spans="1:9">
      <c r="B4" s="9"/>
      <c r="C4" s="44" t="s">
        <v>25</v>
      </c>
      <c r="D4" s="44" t="s">
        <v>26</v>
      </c>
      <c r="E4" s="44" t="s">
        <v>27</v>
      </c>
      <c r="F4" s="44" t="s">
        <v>28</v>
      </c>
      <c r="G4" s="44" t="s">
        <v>32</v>
      </c>
      <c r="H4" s="44" t="s">
        <v>95</v>
      </c>
      <c r="I4" s="9"/>
    </row>
    <row r="5" customHeight="1" spans="1:9">
      <c r="C5" s="13">
        <v>1</v>
      </c>
      <c r="D5" s="13" t="s">
        <v>40</v>
      </c>
      <c r="E5" s="13" t="s">
        <v>41</v>
      </c>
      <c r="F5" s="13" t="s">
        <v>42</v>
      </c>
      <c r="G5" s="13">
        <v>6</v>
      </c>
      <c r="H5" s="13">
        <v>463</v>
      </c>
    </row>
    <row r="6" customHeight="1" spans="1:9">
      <c r="C6" s="13">
        <v>2</v>
      </c>
      <c r="D6" s="13" t="s">
        <v>43</v>
      </c>
      <c r="E6" s="13" t="s">
        <v>44</v>
      </c>
      <c r="F6" s="13" t="s">
        <v>42</v>
      </c>
      <c r="G6" s="13">
        <v>19</v>
      </c>
      <c r="H6" s="13">
        <v>391</v>
      </c>
    </row>
    <row r="7" customHeight="1" spans="1:9">
      <c r="C7" s="13">
        <v>3</v>
      </c>
      <c r="D7" s="13" t="s">
        <v>55</v>
      </c>
      <c r="E7" s="13" t="s">
        <v>56</v>
      </c>
      <c r="F7" s="13" t="s">
        <v>57</v>
      </c>
      <c r="G7" s="13">
        <v>-1</v>
      </c>
      <c r="H7" s="13">
        <v>-3</v>
      </c>
    </row>
    <row r="8" customHeight="1" spans="1:9">
      <c r="C8" s="13">
        <v>4</v>
      </c>
      <c r="D8" s="13" t="s">
        <v>59</v>
      </c>
      <c r="E8" s="13">
        <v>2222</v>
      </c>
      <c r="F8" s="13" t="s">
        <v>60</v>
      </c>
      <c r="G8" s="13">
        <v>2</v>
      </c>
      <c r="H8" s="13">
        <v>6</v>
      </c>
    </row>
  </sheetData>
  <sheetProtection formatCells="0" formatColumns="0" formatRows="0" insertRows="0" insertColumns="0" insertHyperlinks="0" deleteColumns="0" deleteRows="0" sort="0" autoFilter="0" pivotTables="0"/>
  <pageMargins left="0.75" right="0.75" top="1" bottom="1" header="0.5" footer="0.5"/>
  <headerFooter/>
  <drawing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
  <dimension ref="A1:O13"/>
  <sheetViews>
    <sheetView showGridLines="0" workbookViewId="0">
      <pane ySplit="4" topLeftCell="A8" activePane="bottomLeft" state="frozen"/>
      <selection/>
      <selection pane="bottomLeft" activeCell="AP16" sqref="AP16"/>
    </sheetView>
  </sheetViews>
  <sheetFormatPr defaultColWidth="9" defaultRowHeight="20.1" customHeight="1"/>
  <cols>
    <col min="1" max="1" width="4.625" style="3" customWidth="1"/>
    <col min="2" max="2" width="3.375" style="4" customWidth="1"/>
    <col min="3" max="3" width="4.625" style="4" hidden="1" customWidth="1"/>
    <col min="4" max="11" width="16.875" style="13" customWidth="1"/>
    <col min="12" max="12" width="16.875" style="40" customWidth="1"/>
    <col min="13" max="14" width="16.875" style="13" customWidth="1"/>
    <col min="15" max="15" width="3.375" style="4" customWidth="1"/>
    <col min="16" max="16" width="9" style="3" hidden="1" customWidth="1"/>
    <col min="17" max="17" width="9" style="3"/>
    <col min="18" max="16384" width="9" style="6"/>
  </cols>
  <sheetData>
    <row r="1" s="1" customFormat="1" ht="60" customHeight="1" spans="1:15">
      <c r="A1" s="7"/>
      <c r="L1" s="41"/>
    </row>
    <row r="2" s="2" customFormat="1" ht="39.95" customHeight="1" spans="1:15">
      <c r="L2" s="42"/>
    </row>
    <row r="3" s="2" customFormat="1" customHeight="1" spans="1:15">
      <c r="B3" s="9"/>
      <c r="C3" s="9"/>
      <c r="D3" s="9"/>
      <c r="E3" s="9"/>
      <c r="F3" s="9"/>
      <c r="G3" s="9"/>
      <c r="H3" s="9"/>
      <c r="I3" s="9"/>
      <c r="J3" s="9"/>
      <c r="K3" s="9"/>
      <c r="L3" s="43"/>
      <c r="M3" s="9"/>
      <c r="N3" s="9"/>
      <c r="O3" s="9"/>
    </row>
    <row r="4" s="2" customFormat="1" ht="30" customHeight="1" spans="1:15">
      <c r="B4" s="9"/>
      <c r="C4" s="9" t="s">
        <v>63</v>
      </c>
      <c r="D4" s="44" t="s">
        <v>25</v>
      </c>
      <c r="E4" s="44" t="s">
        <v>64</v>
      </c>
      <c r="F4" s="44" t="s">
        <v>27</v>
      </c>
      <c r="G4" s="44" t="s">
        <v>26</v>
      </c>
      <c r="H4" s="44" t="s">
        <v>28</v>
      </c>
      <c r="I4" s="44" t="s">
        <v>65</v>
      </c>
      <c r="J4" s="44" t="s">
        <v>30</v>
      </c>
      <c r="K4" s="44" t="s">
        <v>96</v>
      </c>
      <c r="L4" s="45" t="s">
        <v>67</v>
      </c>
      <c r="M4" s="44" t="s">
        <v>68</v>
      </c>
      <c r="N4" s="44" t="s">
        <v>97</v>
      </c>
      <c r="O4" s="9"/>
    </row>
    <row r="5" s="3" customFormat="1" customHeight="1" spans="1:15">
      <c r="B5" s="4"/>
      <c r="C5" s="4"/>
      <c r="D5" s="13"/>
      <c r="E5" s="13"/>
      <c r="F5" s="13"/>
      <c r="G5" s="13"/>
      <c r="H5" s="13"/>
      <c r="I5" s="13"/>
      <c r="J5" s="13"/>
      <c r="K5" s="13"/>
      <c r="L5" s="40"/>
      <c r="M5" s="13"/>
      <c r="N5" s="13"/>
      <c r="O5" s="4"/>
    </row>
    <row r="6" s="3" customFormat="1" customHeight="1" spans="1:15">
      <c r="B6" s="4"/>
      <c r="C6" s="4"/>
      <c r="D6" s="13"/>
      <c r="E6" s="13"/>
      <c r="F6" s="13"/>
      <c r="G6" s="13"/>
      <c r="H6" s="13"/>
      <c r="I6" s="13"/>
      <c r="J6" s="13"/>
      <c r="K6" s="13"/>
      <c r="L6" s="40"/>
      <c r="M6" s="13"/>
      <c r="N6" s="13"/>
      <c r="O6" s="4"/>
    </row>
    <row r="7" s="3" customFormat="1" customHeight="1" spans="1:15">
      <c r="B7" s="4"/>
      <c r="C7" s="4"/>
      <c r="D7" s="13"/>
      <c r="E7" s="13"/>
      <c r="F7" s="13"/>
      <c r="G7" s="13"/>
      <c r="H7" s="13"/>
      <c r="I7" s="13"/>
      <c r="J7" s="13"/>
      <c r="K7" s="13"/>
      <c r="L7" s="40"/>
      <c r="M7" s="13"/>
      <c r="N7" s="13"/>
      <c r="O7" s="4"/>
    </row>
    <row r="8" s="3" customFormat="1" customHeight="1" spans="1:15">
      <c r="B8" s="4"/>
      <c r="C8" s="4"/>
      <c r="D8" s="13"/>
      <c r="E8" s="13"/>
      <c r="F8" s="13"/>
      <c r="G8" s="13"/>
      <c r="H8" s="13"/>
      <c r="I8" s="13"/>
      <c r="J8" s="13"/>
      <c r="K8" s="13"/>
      <c r="L8" s="40"/>
      <c r="M8" s="13"/>
      <c r="N8" s="13"/>
      <c r="O8" s="4"/>
    </row>
    <row r="9" s="3" customFormat="1" customHeight="1" spans="1:15">
      <c r="B9" s="4"/>
      <c r="C9" s="4"/>
      <c r="D9" s="13"/>
      <c r="E9" s="13"/>
      <c r="F9" s="13"/>
      <c r="G9" s="13"/>
      <c r="H9" s="13"/>
      <c r="I9" s="13"/>
      <c r="J9" s="13"/>
      <c r="K9" s="13"/>
      <c r="L9" s="40"/>
      <c r="M9" s="13"/>
      <c r="N9" s="13"/>
      <c r="O9" s="4"/>
    </row>
    <row r="10" s="3" customFormat="1" customHeight="1" spans="1:15">
      <c r="B10" s="4"/>
      <c r="C10" s="4"/>
      <c r="D10" s="13"/>
      <c r="E10" s="13"/>
      <c r="F10" s="13"/>
      <c r="G10" s="13"/>
      <c r="H10" s="13"/>
      <c r="I10" s="13"/>
      <c r="J10" s="13"/>
      <c r="K10" s="13"/>
      <c r="L10" s="40"/>
      <c r="M10" s="13"/>
      <c r="N10" s="13"/>
      <c r="O10" s="4"/>
    </row>
    <row r="11" s="3" customFormat="1" customHeight="1" spans="1:15">
      <c r="B11" s="4"/>
      <c r="C11" s="4"/>
      <c r="D11" s="13"/>
      <c r="E11" s="13"/>
      <c r="F11" s="13"/>
      <c r="G11" s="13"/>
      <c r="H11" s="13"/>
      <c r="I11" s="13"/>
      <c r="J11" s="13"/>
      <c r="K11" s="13"/>
      <c r="L11" s="40"/>
      <c r="M11" s="13"/>
      <c r="N11" s="13"/>
      <c r="O11" s="4"/>
    </row>
    <row r="12" s="3" customFormat="1" customHeight="1" spans="1:15">
      <c r="B12" s="4"/>
      <c r="C12" s="4"/>
      <c r="D12" s="13"/>
      <c r="E12" s="13"/>
      <c r="F12" s="13"/>
      <c r="G12" s="13"/>
      <c r="H12" s="13"/>
      <c r="I12" s="13"/>
      <c r="J12" s="13"/>
      <c r="K12" s="13"/>
      <c r="L12" s="40"/>
      <c r="M12" s="13"/>
      <c r="N12" s="13"/>
      <c r="O12" s="4"/>
    </row>
    <row r="13" s="3" customFormat="1" customHeight="1" spans="1:15">
      <c r="B13" s="4"/>
      <c r="C13" s="4"/>
      <c r="D13" s="13"/>
      <c r="E13" s="13"/>
      <c r="F13" s="13"/>
      <c r="G13" s="13"/>
      <c r="H13" s="13"/>
      <c r="I13" s="13"/>
      <c r="J13" s="13"/>
      <c r="K13" s="13"/>
      <c r="L13" s="40"/>
      <c r="M13" s="13"/>
      <c r="N13" s="13"/>
      <c r="O13" s="4"/>
    </row>
  </sheetData>
  <sheetProtection formatCells="0" formatColumns="0" formatRows="0" insertRows="0" insertColumns="0" insertHyperlinks="0" deleteColumns="0" deleteRows="0" sort="0" autoFilter="0" pivotTables="0"/>
  <autoFilter xmlns:etc="http://www.wps.cn/officeDocument/2017/etCustomData" ref="D4:K70" etc:filterBottomFollowUsedRange="0">
    <extLst/>
  </autoFilter>
  <dataValidations count="1">
    <dataValidation type="list" allowBlank="1" showInputMessage="1" showErrorMessage="1" sqref="K5:K1048576">
      <formula1>"入库,出库"</formula1>
    </dataValidation>
  </dataValidations>
  <pageMargins left="0.75" right="0.75" top="1" bottom="1" header="0.5" footer="0.5"/>
  <pageSetup paperSize="9" orientation="portrait"/>
  <headerFooter/>
  <drawing r:id="rId2"/>
  <legacyDrawing r:id="rId3"/>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7"/>
  <dimension ref="A1:Q14"/>
  <sheetViews>
    <sheetView showGridLines="0" topLeftCell="F1" workbookViewId="0">
      <pane ySplit="5" topLeftCell="A6" activePane="bottomLeft" state="frozen"/>
      <selection/>
      <selection pane="bottomLeft" activeCell="J11" sqref="J11"/>
    </sheetView>
  </sheetViews>
  <sheetFormatPr defaultColWidth="9" defaultRowHeight="20.1" customHeight="1"/>
  <cols>
    <col min="1" max="1" width="4.625" style="28" customWidth="1"/>
    <col min="2" max="2" width="3.375" style="29" customWidth="1"/>
    <col min="3" max="3" width="4.625" style="29" hidden="1" customWidth="1"/>
    <col min="4" max="4" width="16.875" style="30" customWidth="1"/>
    <col min="5" max="7" width="16.875" style="17" customWidth="1"/>
    <col min="8" max="16" width="16.875" style="30" customWidth="1"/>
    <col min="17" max="17" width="3.375" style="29" customWidth="1"/>
    <col min="18" max="18" width="9" style="28" hidden="1" customWidth="1"/>
    <col min="19" max="19" width="9" style="28"/>
    <col min="20" max="16384" width="9" style="31"/>
  </cols>
  <sheetData>
    <row r="1" s="26" customFormat="1" ht="60" customHeight="1" spans="1:17">
      <c r="A1" s="32"/>
      <c r="E1" s="33"/>
      <c r="F1" s="33"/>
      <c r="G1" s="33"/>
    </row>
    <row r="2" s="27" customFormat="1" ht="39.95" customHeight="1" spans="1:17">
      <c r="E2" s="34"/>
      <c r="F2" s="34"/>
      <c r="G2" s="34"/>
      <c r="H2" s="35" t="s">
        <v>47</v>
      </c>
      <c r="I2" s="35"/>
    </row>
    <row r="3" s="27" customFormat="1" customHeight="1" spans="1:17">
      <c r="B3" s="36"/>
      <c r="C3" s="36"/>
      <c r="D3" s="36"/>
      <c r="E3" s="37"/>
      <c r="F3" s="37"/>
      <c r="G3" s="37"/>
      <c r="H3" s="36"/>
      <c r="I3" s="36"/>
      <c r="J3" s="36"/>
      <c r="K3" s="36"/>
      <c r="L3" s="36"/>
      <c r="M3" s="36"/>
      <c r="N3" s="36"/>
      <c r="O3" s="36"/>
      <c r="P3" s="36"/>
      <c r="Q3" s="36"/>
    </row>
    <row r="4" s="27" customFormat="1" ht="24.95" customHeight="1" spans="1:17">
      <c r="B4" s="36"/>
      <c r="C4" s="36" t="s">
        <v>63</v>
      </c>
      <c r="D4" s="16" t="s">
        <v>25</v>
      </c>
      <c r="E4" s="38" t="s">
        <v>27</v>
      </c>
      <c r="F4" s="38" t="s">
        <v>26</v>
      </c>
      <c r="G4" s="38" t="s">
        <v>28</v>
      </c>
      <c r="H4" s="16" t="s">
        <v>98</v>
      </c>
      <c r="I4" s="16"/>
      <c r="J4" s="16" t="s">
        <v>99</v>
      </c>
      <c r="K4" s="16"/>
      <c r="L4" s="16" t="s">
        <v>100</v>
      </c>
      <c r="M4" s="16"/>
      <c r="N4" s="16" t="s">
        <v>101</v>
      </c>
      <c r="O4" s="16"/>
      <c r="P4" s="16" t="s">
        <v>102</v>
      </c>
      <c r="Q4" s="36"/>
    </row>
    <row r="5" s="27" customFormat="1" ht="24.95" customHeight="1" spans="1:17">
      <c r="B5" s="36"/>
      <c r="C5" s="36"/>
      <c r="D5" s="24"/>
      <c r="E5" s="39"/>
      <c r="F5" s="39"/>
      <c r="G5" s="39"/>
      <c r="H5" s="24" t="s">
        <v>30</v>
      </c>
      <c r="I5" s="24" t="s">
        <v>31</v>
      </c>
      <c r="J5" s="24" t="s">
        <v>30</v>
      </c>
      <c r="K5" s="24" t="s">
        <v>31</v>
      </c>
      <c r="L5" s="24" t="s">
        <v>30</v>
      </c>
      <c r="M5" s="24" t="s">
        <v>31</v>
      </c>
      <c r="N5" s="24" t="s">
        <v>30</v>
      </c>
      <c r="O5" s="24" t="s">
        <v>31</v>
      </c>
      <c r="P5" s="24"/>
      <c r="Q5" s="36"/>
    </row>
    <row r="6" s="28" customFormat="1" customHeight="1" spans="1:17">
      <c r="B6" s="29"/>
      <c r="C6" s="29"/>
      <c r="D6" s="30"/>
      <c r="E6" s="17"/>
      <c r="F6" s="17"/>
      <c r="G6" s="17"/>
      <c r="H6" s="30"/>
      <c r="I6" s="30"/>
      <c r="J6" s="30"/>
      <c r="K6" s="30"/>
      <c r="L6" s="30"/>
      <c r="M6" s="30"/>
      <c r="N6" s="30"/>
      <c r="O6" s="30"/>
      <c r="P6" s="30"/>
      <c r="Q6" s="29"/>
    </row>
    <row r="7" s="28" customFormat="1" customHeight="1" spans="1:17">
      <c r="B7" s="29"/>
      <c r="C7" s="29"/>
      <c r="D7" s="30"/>
      <c r="E7" s="17"/>
      <c r="F7" s="17"/>
      <c r="G7" s="17"/>
      <c r="H7" s="30"/>
      <c r="I7" s="30"/>
      <c r="J7" s="30"/>
      <c r="K7" s="30"/>
      <c r="L7" s="30"/>
      <c r="M7" s="30"/>
      <c r="N7" s="30"/>
      <c r="O7" s="30"/>
      <c r="P7" s="30"/>
      <c r="Q7" s="29"/>
    </row>
    <row r="8" s="28" customFormat="1" customHeight="1" spans="1:17">
      <c r="B8" s="29"/>
      <c r="C8" s="29"/>
      <c r="D8" s="30"/>
      <c r="E8" s="17"/>
      <c r="F8" s="17"/>
      <c r="G8" s="17"/>
      <c r="H8" s="30"/>
      <c r="I8" s="30"/>
      <c r="J8" s="30"/>
      <c r="K8" s="30"/>
      <c r="L8" s="30"/>
      <c r="M8" s="30"/>
      <c r="N8" s="30"/>
      <c r="O8" s="30"/>
      <c r="P8" s="30"/>
      <c r="Q8" s="29"/>
    </row>
    <row r="9" s="28" customFormat="1" customHeight="1" spans="1:17">
      <c r="B9" s="29"/>
      <c r="C9" s="29"/>
      <c r="D9" s="30"/>
      <c r="E9" s="17"/>
      <c r="F9" s="17"/>
      <c r="G9" s="17"/>
      <c r="H9" s="30"/>
      <c r="I9" s="30"/>
      <c r="J9" s="30"/>
      <c r="K9" s="30"/>
      <c r="L9" s="30"/>
      <c r="M9" s="30"/>
      <c r="N9" s="30"/>
      <c r="O9" s="30"/>
      <c r="P9" s="30"/>
      <c r="Q9" s="29"/>
    </row>
    <row r="10" s="28" customFormat="1" customHeight="1" spans="1:17">
      <c r="B10" s="29"/>
      <c r="C10" s="29"/>
      <c r="D10" s="30"/>
      <c r="E10" s="17"/>
      <c r="F10" s="17"/>
      <c r="G10" s="17"/>
      <c r="H10" s="30"/>
      <c r="I10" s="30"/>
      <c r="J10" s="30"/>
      <c r="K10" s="30"/>
      <c r="L10" s="30"/>
      <c r="M10" s="30"/>
      <c r="N10" s="30"/>
      <c r="O10" s="30"/>
      <c r="P10" s="30"/>
      <c r="Q10" s="29"/>
    </row>
    <row r="11" s="28" customFormat="1" customHeight="1" spans="1:17">
      <c r="B11" s="29"/>
      <c r="C11" s="29"/>
      <c r="D11" s="30"/>
      <c r="E11" s="17"/>
      <c r="F11" s="17"/>
      <c r="G11" s="17"/>
      <c r="H11" s="30"/>
      <c r="I11" s="30"/>
      <c r="J11" s="30"/>
      <c r="K11" s="30"/>
      <c r="L11" s="30"/>
      <c r="M11" s="30"/>
      <c r="N11" s="30"/>
      <c r="O11" s="30"/>
      <c r="P11" s="30"/>
      <c r="Q11" s="29"/>
    </row>
    <row r="12" s="28" customFormat="1" customHeight="1" spans="1:17">
      <c r="B12" s="29"/>
      <c r="C12" s="29"/>
      <c r="D12" s="30"/>
      <c r="E12" s="17"/>
      <c r="F12" s="17"/>
      <c r="G12" s="17"/>
      <c r="H12" s="30"/>
      <c r="I12" s="30"/>
      <c r="J12" s="30"/>
      <c r="K12" s="30"/>
      <c r="L12" s="30"/>
      <c r="M12" s="30"/>
      <c r="N12" s="30"/>
      <c r="O12" s="30"/>
      <c r="P12" s="30"/>
      <c r="Q12" s="29"/>
    </row>
    <row r="13" s="28" customFormat="1" customHeight="1" spans="1:17">
      <c r="B13" s="29"/>
      <c r="C13" s="29"/>
      <c r="D13" s="30"/>
      <c r="E13" s="17"/>
      <c r="F13" s="17"/>
      <c r="G13" s="17"/>
      <c r="H13" s="30"/>
      <c r="I13" s="30"/>
      <c r="J13" s="30"/>
      <c r="K13" s="30"/>
      <c r="L13" s="30"/>
      <c r="M13" s="30"/>
      <c r="N13" s="30"/>
      <c r="O13" s="30"/>
      <c r="P13" s="30"/>
      <c r="Q13" s="29"/>
    </row>
    <row r="14" s="28" customFormat="1" customHeight="1" spans="1:17">
      <c r="B14" s="29"/>
      <c r="C14" s="29"/>
      <c r="D14" s="30"/>
      <c r="E14" s="17"/>
      <c r="F14" s="17"/>
      <c r="G14" s="17"/>
      <c r="H14" s="30"/>
      <c r="I14" s="30"/>
      <c r="J14" s="30"/>
      <c r="K14" s="30"/>
      <c r="L14" s="30"/>
      <c r="M14" s="30"/>
      <c r="N14" s="30"/>
      <c r="O14" s="30"/>
      <c r="P14" s="30"/>
      <c r="Q14" s="29"/>
    </row>
  </sheetData>
  <sheetProtection formatCells="0" formatColumns="0" formatRows="0" insertRows="0" insertColumns="0" insertHyperlinks="0" deleteColumns="0" deleteRows="0" sort="0" autoFilter="0" pivotTables="0"/>
  <mergeCells count="10">
    <mergeCell ref="H2:I2"/>
    <mergeCell ref="H4:I4"/>
    <mergeCell ref="J4:K4"/>
    <mergeCell ref="L4:M4"/>
    <mergeCell ref="N4:O4"/>
    <mergeCell ref="D4:D5"/>
    <mergeCell ref="E4:E5"/>
    <mergeCell ref="F4:F5"/>
    <mergeCell ref="G4:G5"/>
    <mergeCell ref="P4:P5"/>
  </mergeCells>
  <conditionalFormatting sqref="P6:P1048576">
    <cfRule type="expression" dxfId="0" priority="1">
      <formula>$N6&lt;$P6</formula>
    </cfRule>
  </conditionalFormatting>
  <pageMargins left="0.75" right="0.75" top="1" bottom="1" header="0.5" footer="0.5"/>
  <headerFooter/>
  <drawing r:id="rId2"/>
  <legacyDrawing r:id="rId3"/>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8">
    <pageSetUpPr fitToPage="1"/>
  </sheetPr>
  <dimension ref="A1:J5"/>
  <sheetViews>
    <sheetView showGridLines="0" workbookViewId="0">
      <pane ySplit="5" topLeftCell="A6" activePane="bottomLeft" state="frozen"/>
      <selection/>
      <selection pane="bottomLeft" activeCell="D7" sqref="D7"/>
    </sheetView>
  </sheetViews>
  <sheetFormatPr defaultColWidth="9" defaultRowHeight="20.1" customHeight="1" outlineLevelRow="4"/>
  <cols>
    <col min="1" max="1" width="4.625" style="3" customWidth="1"/>
    <col min="2" max="2" width="3.375" style="4" customWidth="1"/>
    <col min="3" max="3" width="4.625" style="4" hidden="1" customWidth="1"/>
    <col min="4" max="9" width="16.875" style="13" customWidth="1"/>
    <col min="10" max="10" width="3.375" style="4" customWidth="1"/>
    <col min="11" max="11" width="9" style="3" customWidth="1"/>
    <col min="12" max="16384" width="9" style="3"/>
  </cols>
  <sheetData>
    <row r="1" s="1" customFormat="1" ht="60" customHeight="1" spans="1:10">
      <c r="A1" s="7"/>
    </row>
    <row r="2" s="2" customFormat="1" ht="39.95" customHeight="1"/>
    <row r="3" s="2" customFormat="1" customHeight="1" spans="1:10">
      <c r="B3" s="9"/>
      <c r="C3" s="9"/>
      <c r="D3" s="9"/>
      <c r="E3" s="9"/>
      <c r="F3" s="9"/>
      <c r="G3" s="9"/>
      <c r="H3" s="9"/>
      <c r="I3" s="9"/>
      <c r="J3" s="9"/>
    </row>
    <row r="4" s="2" customFormat="1" ht="24.95" customHeight="1" spans="1:10">
      <c r="B4" s="9"/>
      <c r="C4" s="9" t="s">
        <v>63</v>
      </c>
      <c r="D4" s="16" t="s">
        <v>103</v>
      </c>
      <c r="E4" s="16" t="s">
        <v>27</v>
      </c>
      <c r="F4" s="16" t="s">
        <v>28</v>
      </c>
      <c r="G4" s="16" t="s">
        <v>26</v>
      </c>
      <c r="H4" s="24" t="s">
        <v>104</v>
      </c>
      <c r="I4" s="24" t="s">
        <v>105</v>
      </c>
      <c r="J4" s="9"/>
    </row>
    <row r="5" s="2" customFormat="1" ht="24.95" customHeight="1" spans="1:10">
      <c r="B5" s="9"/>
      <c r="C5" s="9"/>
      <c r="D5" s="16"/>
      <c r="E5" s="16"/>
      <c r="F5" s="16"/>
      <c r="G5" s="16"/>
      <c r="H5" s="25"/>
      <c r="I5" s="25"/>
      <c r="J5" s="9"/>
    </row>
  </sheetData>
  <sheetProtection formatCells="0" formatColumns="0" formatRows="0" insertRows="0" insertColumns="0" insertHyperlinks="0" deleteColumns="0" deleteRows="0" sort="0" autoFilter="0" pivotTables="0"/>
  <mergeCells count="6">
    <mergeCell ref="D4:D5"/>
    <mergeCell ref="E4:E5"/>
    <mergeCell ref="F4:F5"/>
    <mergeCell ref="G4:G5"/>
    <mergeCell ref="H4:H5"/>
    <mergeCell ref="I4:I5"/>
  </mergeCells>
  <pageMargins left="0.75" right="0.75" top="1" bottom="1" header="0.5" footer="0.5"/>
  <pageSetup paperSize="9" scale="79" orientation="portrait"/>
  <headerFooter/>
  <drawing r:id="rId1"/>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5">
    <pageSetUpPr fitToPage="1"/>
  </sheetPr>
  <dimension ref="A1:K20"/>
  <sheetViews>
    <sheetView showGridLines="0" workbookViewId="0">
      <pane ySplit="5" topLeftCell="A6" activePane="bottomLeft" state="frozen"/>
      <selection/>
      <selection pane="bottomLeft" activeCell="H10" sqref="H10"/>
    </sheetView>
  </sheetViews>
  <sheetFormatPr defaultColWidth="9" defaultRowHeight="20.1" customHeight="1"/>
  <cols>
    <col min="1" max="1" width="4.625" style="3" customWidth="1"/>
    <col min="2" max="2" width="3.375" style="4" customWidth="1"/>
    <col min="3" max="3" width="4.625" style="4" hidden="1" customWidth="1"/>
    <col min="4" max="4" width="18.875" style="21" customWidth="1"/>
    <col min="5" max="10" width="16.875" style="13" customWidth="1"/>
    <col min="11" max="11" width="3.375" style="4" customWidth="1"/>
    <col min="12" max="12" width="9" style="3" customWidth="1"/>
    <col min="13" max="16384" width="9" style="3"/>
  </cols>
  <sheetData>
    <row r="1" s="1" customFormat="1" ht="60" customHeight="1" spans="1:11">
      <c r="A1" s="7"/>
    </row>
    <row r="2" s="2" customFormat="1" ht="39.95" customHeight="1"/>
    <row r="3" s="2" customFormat="1" customHeight="1" spans="1:11">
      <c r="B3" s="9"/>
      <c r="C3" s="9"/>
      <c r="D3" s="9"/>
      <c r="E3" s="9"/>
      <c r="F3" s="9"/>
      <c r="G3" s="9"/>
      <c r="H3" s="9"/>
      <c r="I3" s="9"/>
      <c r="J3" s="9"/>
      <c r="K3" s="9"/>
    </row>
    <row r="4" s="2" customFormat="1" ht="24.95" customHeight="1" spans="1:11">
      <c r="B4" s="9"/>
      <c r="C4" s="9" t="s">
        <v>63</v>
      </c>
      <c r="D4" s="16" t="s">
        <v>27</v>
      </c>
      <c r="E4" s="16" t="s">
        <v>26</v>
      </c>
      <c r="F4" s="16" t="s">
        <v>91</v>
      </c>
      <c r="G4" s="22" t="s">
        <v>99</v>
      </c>
      <c r="H4" s="23"/>
      <c r="I4" s="22" t="s">
        <v>100</v>
      </c>
      <c r="J4" s="23"/>
      <c r="K4" s="9"/>
    </row>
    <row r="5" s="2" customFormat="1" ht="24.95" customHeight="1" spans="1:11">
      <c r="B5" s="9"/>
      <c r="C5" s="9"/>
      <c r="D5" s="16"/>
      <c r="E5" s="16"/>
      <c r="F5" s="16"/>
      <c r="G5" s="16" t="s">
        <v>30</v>
      </c>
      <c r="H5" s="16" t="s">
        <v>31</v>
      </c>
      <c r="I5" s="16" t="s">
        <v>30</v>
      </c>
      <c r="J5" s="16" t="s">
        <v>31</v>
      </c>
      <c r="K5" s="9"/>
    </row>
    <row r="6" s="3" customFormat="1" customHeight="1" spans="1:11">
      <c r="B6" s="4"/>
      <c r="C6" s="4"/>
      <c r="D6" s="21" t="s">
        <v>56</v>
      </c>
      <c r="E6" s="13" t="s">
        <v>55</v>
      </c>
      <c r="F6" s="13" t="s">
        <v>57</v>
      </c>
      <c r="G6" s="13">
        <v>1</v>
      </c>
      <c r="H6" s="13">
        <v>1</v>
      </c>
      <c r="I6" s="13">
        <v>2</v>
      </c>
      <c r="J6" s="13">
        <v>4</v>
      </c>
      <c r="K6" s="4"/>
    </row>
    <row r="7" s="3" customFormat="1" customHeight="1" spans="1:11">
      <c r="B7" s="4"/>
      <c r="C7" s="4"/>
      <c r="D7" s="21"/>
      <c r="E7" s="13"/>
      <c r="F7" s="13"/>
      <c r="G7" s="13"/>
      <c r="H7" s="13"/>
      <c r="I7" s="13"/>
      <c r="J7" s="13"/>
      <c r="K7" s="4"/>
    </row>
    <row r="8" s="3" customFormat="1" customHeight="1" spans="1:11">
      <c r="B8" s="4"/>
      <c r="C8" s="4"/>
      <c r="D8" s="21"/>
      <c r="E8" s="13"/>
      <c r="F8" s="13"/>
      <c r="G8" s="13"/>
      <c r="H8" s="13"/>
      <c r="I8" s="13"/>
      <c r="J8" s="13"/>
      <c r="K8" s="4"/>
    </row>
    <row r="9" s="3" customFormat="1" customHeight="1" spans="1:11">
      <c r="B9" s="4"/>
      <c r="C9" s="4"/>
      <c r="D9" s="21"/>
      <c r="E9" s="13"/>
      <c r="F9" s="13"/>
      <c r="G9" s="13"/>
      <c r="H9" s="13"/>
      <c r="I9" s="13"/>
      <c r="J9" s="13"/>
      <c r="K9" s="4"/>
    </row>
    <row r="10" s="3" customFormat="1" customHeight="1" spans="1:11">
      <c r="B10" s="4"/>
      <c r="C10" s="4"/>
      <c r="D10" s="21"/>
      <c r="E10" s="13"/>
      <c r="F10" s="13"/>
      <c r="G10" s="13"/>
      <c r="H10" s="13"/>
      <c r="I10" s="13"/>
      <c r="J10" s="13"/>
      <c r="K10" s="4"/>
    </row>
    <row r="11" s="3" customFormat="1" customHeight="1" spans="1:11">
      <c r="B11" s="4"/>
      <c r="C11" s="4"/>
      <c r="D11" s="21"/>
      <c r="E11" s="13"/>
      <c r="F11" s="13"/>
      <c r="G11" s="13"/>
      <c r="H11" s="13"/>
      <c r="I11" s="13"/>
      <c r="J11" s="13"/>
      <c r="K11" s="4"/>
    </row>
    <row r="12" s="3" customFormat="1" customHeight="1" spans="1:11">
      <c r="B12" s="4"/>
      <c r="C12" s="4"/>
      <c r="D12" s="21"/>
      <c r="E12" s="13"/>
      <c r="F12" s="13"/>
      <c r="G12" s="13"/>
      <c r="H12" s="13"/>
      <c r="I12" s="13"/>
      <c r="J12" s="13"/>
      <c r="K12" s="4"/>
    </row>
    <row r="13" s="3" customFormat="1" customHeight="1" spans="1:11">
      <c r="B13" s="4"/>
      <c r="C13" s="4"/>
      <c r="D13" s="21"/>
      <c r="E13" s="13"/>
      <c r="F13" s="13"/>
      <c r="G13" s="13"/>
      <c r="H13" s="13"/>
      <c r="I13" s="13"/>
      <c r="J13" s="13"/>
      <c r="K13" s="4"/>
    </row>
    <row r="14" s="3" customFormat="1" customHeight="1" spans="1:11">
      <c r="B14" s="4"/>
      <c r="C14" s="4"/>
      <c r="D14" s="21"/>
      <c r="E14" s="13"/>
      <c r="F14" s="13"/>
      <c r="G14" s="13"/>
      <c r="H14" s="13"/>
      <c r="I14" s="13"/>
      <c r="J14" s="13"/>
      <c r="K14" s="4"/>
    </row>
    <row r="15" s="3" customFormat="1" customHeight="1" spans="1:11">
      <c r="B15" s="4"/>
      <c r="C15" s="4"/>
      <c r="D15" s="21"/>
      <c r="E15" s="13"/>
      <c r="F15" s="13"/>
      <c r="G15" s="13"/>
      <c r="H15" s="13"/>
      <c r="I15" s="13"/>
      <c r="J15" s="13"/>
      <c r="K15" s="4"/>
    </row>
    <row r="16" s="3" customFormat="1" customHeight="1" spans="1:11">
      <c r="B16" s="4"/>
      <c r="C16" s="4"/>
      <c r="D16" s="21"/>
      <c r="E16" s="13"/>
      <c r="F16" s="13"/>
      <c r="G16" s="13"/>
      <c r="H16" s="13"/>
      <c r="I16" s="13"/>
      <c r="J16" s="13"/>
      <c r="K16" s="4"/>
    </row>
    <row r="17" s="3" customFormat="1" customHeight="1" spans="2:11">
      <c r="B17" s="4"/>
      <c r="C17" s="4"/>
      <c r="D17" s="21"/>
      <c r="E17" s="13"/>
      <c r="F17" s="13"/>
      <c r="G17" s="13"/>
      <c r="H17" s="13"/>
      <c r="I17" s="13"/>
      <c r="J17" s="13"/>
      <c r="K17" s="4"/>
    </row>
    <row r="18" s="3" customFormat="1" customHeight="1" spans="2:11">
      <c r="B18" s="4"/>
      <c r="C18" s="4"/>
      <c r="D18" s="21"/>
      <c r="E18" s="13"/>
      <c r="F18" s="13"/>
      <c r="G18" s="13"/>
      <c r="H18" s="13"/>
      <c r="I18" s="13"/>
      <c r="J18" s="13"/>
      <c r="K18" s="4"/>
    </row>
    <row r="19" s="3" customFormat="1" customHeight="1" spans="2:11">
      <c r="B19" s="4"/>
      <c r="C19" s="4"/>
      <c r="D19" s="21"/>
      <c r="E19" s="13"/>
      <c r="F19" s="13"/>
      <c r="G19" s="13"/>
      <c r="H19" s="13"/>
      <c r="I19" s="13"/>
      <c r="J19" s="13"/>
      <c r="K19" s="4"/>
    </row>
    <row r="20" s="3" customFormat="1" customHeight="1" spans="2:11">
      <c r="B20" s="4"/>
      <c r="C20" s="4"/>
      <c r="D20" s="21"/>
      <c r="E20" s="13"/>
      <c r="F20" s="13"/>
      <c r="G20" s="13"/>
      <c r="H20" s="13"/>
      <c r="I20" s="13"/>
      <c r="J20" s="13"/>
      <c r="K20" s="4"/>
    </row>
  </sheetData>
  <mergeCells count="5">
    <mergeCell ref="G4:H4"/>
    <mergeCell ref="I4:J4"/>
    <mergeCell ref="D4:D5"/>
    <mergeCell ref="E4:E5"/>
    <mergeCell ref="F4:F5"/>
  </mergeCells>
  <pageMargins left="0.75" right="0.75" top="1" bottom="1" header="0.5" footer="0.5"/>
  <pageSetup paperSize="9" scale="67" orientation="portrait"/>
  <headerFooter/>
  <drawing r:id="rId1"/>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9"/>
  <dimension ref="A1:M6"/>
  <sheetViews>
    <sheetView showGridLines="0" workbookViewId="0">
      <pane ySplit="4" topLeftCell="A5" activePane="bottomLeft" state="frozen"/>
      <selection/>
      <selection pane="bottomLeft" activeCell="H10" sqref="H10"/>
    </sheetView>
  </sheetViews>
  <sheetFormatPr defaultColWidth="9" defaultRowHeight="20.1" customHeight="1" outlineLevelRow="5"/>
  <cols>
    <col min="1" max="1" width="4.625" style="3" customWidth="1"/>
    <col min="2" max="2" width="3.375" style="4" customWidth="1"/>
    <col min="3" max="3" width="4.625" style="4" hidden="1" customWidth="1"/>
    <col min="4" max="12" width="16.875" style="13" customWidth="1"/>
    <col min="13" max="13" width="3.375" style="4" customWidth="1"/>
    <col min="14" max="14" width="9" style="3" hidden="1" customWidth="1"/>
    <col min="15" max="16384" width="9" style="3"/>
  </cols>
  <sheetData>
    <row r="1" s="1" customFormat="1" ht="60" customHeight="1" spans="1:13">
      <c r="A1" s="7"/>
    </row>
    <row r="2" s="2" customFormat="1" ht="39.95" customHeight="1"/>
    <row r="3" s="2" customFormat="1" customHeight="1" spans="1:13">
      <c r="B3" s="9"/>
      <c r="C3" s="9"/>
      <c r="D3" s="18"/>
      <c r="E3" s="9"/>
      <c r="F3" s="9"/>
      <c r="G3" s="9"/>
      <c r="H3" s="9"/>
      <c r="I3" s="9"/>
      <c r="J3" s="9"/>
      <c r="K3" s="9"/>
      <c r="L3" s="9"/>
      <c r="M3" s="9"/>
    </row>
    <row r="4" s="2" customFormat="1" ht="30" customHeight="1" spans="1:13">
      <c r="B4" s="9"/>
      <c r="C4" s="9" t="s">
        <v>63</v>
      </c>
      <c r="D4" s="19" t="s">
        <v>25</v>
      </c>
      <c r="E4" s="16" t="s">
        <v>26</v>
      </c>
      <c r="F4" s="16" t="s">
        <v>27</v>
      </c>
      <c r="G4" s="16" t="s">
        <v>28</v>
      </c>
      <c r="H4" s="16" t="s">
        <v>29</v>
      </c>
      <c r="I4" s="16" t="s">
        <v>106</v>
      </c>
      <c r="J4" s="16" t="s">
        <v>103</v>
      </c>
      <c r="K4" s="16" t="s">
        <v>107</v>
      </c>
      <c r="L4" s="16" t="s">
        <v>102</v>
      </c>
      <c r="M4" s="9"/>
    </row>
    <row r="5" customHeight="1" spans="1:13">
      <c r="D5" s="20"/>
    </row>
    <row r="6" customHeight="1" spans="1:13">
      <c r="D6" s="20"/>
    </row>
  </sheetData>
  <sheetProtection formatCells="0" formatColumns="0" formatRows="0" insertRows="0" insertColumns="0" insertHyperlinks="0" deleteColumns="0" deleteRows="0" sort="0" autoFilter="0" pivotTables="0"/>
  <pageMargins left="0.75" right="0.75" top="1" bottom="1" header="0.5" footer="0.5"/>
  <headerFooter/>
  <drawing r:id="rId2"/>
  <legacyDrawing r:id="rId3"/>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0"/>
  <dimension ref="A1:H13"/>
  <sheetViews>
    <sheetView showGridLines="0" workbookViewId="0">
      <pane ySplit="4" topLeftCell="A5" activePane="bottomLeft" state="frozen"/>
      <selection/>
      <selection pane="bottomLeft" activeCell="F6" sqref="F6"/>
    </sheetView>
  </sheetViews>
  <sheetFormatPr defaultColWidth="9" defaultRowHeight="20.1" customHeight="1" outlineLevelCol="7"/>
  <cols>
    <col min="1" max="1" width="4.625" style="3" customWidth="1"/>
    <col min="2" max="2" width="3.375" style="4" customWidth="1"/>
    <col min="3" max="3" width="4" style="4" hidden="1" customWidth="1"/>
    <col min="4" max="6" width="16.875" style="13" customWidth="1"/>
    <col min="7" max="7" width="16.875" style="17" customWidth="1"/>
    <col min="8" max="8" width="3.375" style="4" customWidth="1"/>
    <col min="9" max="9" width="6.75" style="3" hidden="1" customWidth="1"/>
    <col min="10" max="18" width="9" style="3"/>
    <col min="19" max="16384" width="9" style="6"/>
  </cols>
  <sheetData>
    <row r="1" s="1" customFormat="1" ht="60" customHeight="1" spans="1:8">
      <c r="A1" s="7"/>
    </row>
    <row r="2" s="2" customFormat="1" ht="39.95" customHeight="1"/>
    <row r="3" s="2" customFormat="1" customHeight="1" spans="1:8">
      <c r="B3" s="9"/>
      <c r="C3" s="9"/>
      <c r="D3" s="9"/>
      <c r="E3" s="9"/>
      <c r="F3" s="9"/>
      <c r="G3" s="9"/>
      <c r="H3" s="9"/>
    </row>
    <row r="4" s="2" customFormat="1" ht="30" customHeight="1" spans="1:8">
      <c r="B4" s="9"/>
      <c r="C4" s="9" t="s">
        <v>63</v>
      </c>
      <c r="D4" s="16" t="s">
        <v>25</v>
      </c>
      <c r="E4" s="16" t="s">
        <v>108</v>
      </c>
      <c r="F4" s="16" t="s">
        <v>109</v>
      </c>
      <c r="G4" s="16" t="s">
        <v>110</v>
      </c>
      <c r="H4" s="9"/>
    </row>
    <row r="5" s="3" customFormat="1" customHeight="1" spans="1:8">
      <c r="B5" s="4"/>
      <c r="C5" s="4"/>
      <c r="D5" s="13"/>
      <c r="E5" s="13"/>
      <c r="F5" s="13"/>
      <c r="G5" s="17"/>
      <c r="H5" s="4"/>
    </row>
    <row r="6" s="3" customFormat="1" customHeight="1" spans="1:8">
      <c r="B6" s="4"/>
      <c r="C6" s="4"/>
      <c r="D6" s="13"/>
      <c r="E6" s="13"/>
      <c r="F6" s="13"/>
      <c r="G6" s="17"/>
      <c r="H6" s="4"/>
    </row>
    <row r="7" s="3" customFormat="1" customHeight="1" spans="1:8">
      <c r="B7" s="4"/>
      <c r="C7" s="4"/>
      <c r="D7" s="13"/>
      <c r="E7" s="13"/>
      <c r="F7" s="13"/>
      <c r="G7" s="17"/>
      <c r="H7" s="4"/>
    </row>
    <row r="8" s="3" customFormat="1" customHeight="1" spans="1:8">
      <c r="B8" s="4"/>
      <c r="C8" s="4"/>
      <c r="D8" s="13"/>
      <c r="E8" s="13"/>
      <c r="F8" s="13"/>
      <c r="G8" s="17"/>
      <c r="H8" s="4"/>
    </row>
    <row r="9" s="3" customFormat="1" customHeight="1" spans="1:8">
      <c r="B9" s="4"/>
      <c r="C9" s="4"/>
      <c r="D9" s="13"/>
      <c r="E9" s="13"/>
      <c r="F9" s="13"/>
      <c r="G9" s="17"/>
      <c r="H9" s="4"/>
    </row>
    <row r="10" s="3" customFormat="1" customHeight="1" spans="1:8">
      <c r="B10" s="4"/>
      <c r="C10" s="4"/>
      <c r="D10" s="13"/>
      <c r="E10" s="13"/>
      <c r="F10" s="13"/>
      <c r="G10" s="17"/>
      <c r="H10" s="4"/>
    </row>
    <row r="11" s="3" customFormat="1" customHeight="1" spans="1:8">
      <c r="B11" s="4"/>
      <c r="C11" s="4"/>
      <c r="D11" s="13"/>
      <c r="E11" s="13"/>
      <c r="F11" s="13"/>
      <c r="G11" s="17"/>
      <c r="H11" s="4"/>
    </row>
    <row r="12" s="3" customFormat="1" customHeight="1" spans="1:8">
      <c r="B12" s="4"/>
      <c r="C12" s="4"/>
      <c r="D12" s="13"/>
      <c r="E12" s="13"/>
      <c r="F12" s="13"/>
      <c r="G12" s="17"/>
      <c r="H12" s="4"/>
    </row>
    <row r="13" s="3" customFormat="1" customHeight="1" spans="1:8">
      <c r="B13" s="4"/>
      <c r="C13" s="4"/>
      <c r="D13" s="13"/>
      <c r="E13" s="13"/>
      <c r="F13" s="13"/>
      <c r="G13" s="17"/>
      <c r="H13" s="4"/>
    </row>
  </sheetData>
  <sheetProtection formatCells="0" formatColumns="0" formatRows="0" insertRows="0" insertColumns="0" insertHyperlinks="0" deleteColumns="0" deleteRows="0" sort="0" autoFilter="0" pivotTables="0"/>
  <pageMargins left="0.75" right="0.75" top="1" bottom="1" header="0.5" footer="0.5"/>
  <headerFooter/>
  <drawing r:id="rId1"/>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1"/>
  <dimension ref="A1:H13"/>
  <sheetViews>
    <sheetView showGridLines="0" workbookViewId="0">
      <pane ySplit="4" topLeftCell="A5" activePane="bottomLeft" state="frozen"/>
      <selection/>
      <selection pane="bottomLeft" activeCell="E8" sqref="E8"/>
    </sheetView>
  </sheetViews>
  <sheetFormatPr defaultColWidth="9" defaultRowHeight="20.1" customHeight="1" outlineLevelCol="7"/>
  <cols>
    <col min="1" max="1" width="4.625" style="3" customWidth="1"/>
    <col min="2" max="2" width="3.375" style="4" customWidth="1"/>
    <col min="3" max="3" width="4" style="4" hidden="1" customWidth="1"/>
    <col min="4" max="6" width="16.875" style="13" customWidth="1"/>
    <col min="7" max="7" width="16.875" style="17" customWidth="1"/>
    <col min="8" max="8" width="3.375" style="4" customWidth="1"/>
    <col min="9" max="9" width="6.75" style="3" hidden="1" customWidth="1"/>
    <col min="10" max="18" width="9" style="3"/>
    <col min="19" max="16382" width="9" style="6"/>
    <col min="16384" max="16384" width="9" style="6"/>
  </cols>
  <sheetData>
    <row r="1" s="1" customFormat="1" ht="60" customHeight="1" spans="1:8">
      <c r="A1" s="7"/>
    </row>
    <row r="2" s="2" customFormat="1" ht="39.95" customHeight="1"/>
    <row r="3" s="2" customFormat="1" customHeight="1" spans="1:8">
      <c r="B3" s="9"/>
      <c r="C3" s="9"/>
      <c r="D3" s="9"/>
      <c r="E3" s="9"/>
      <c r="F3" s="9"/>
      <c r="G3" s="9"/>
      <c r="H3" s="9"/>
    </row>
    <row r="4" s="2" customFormat="1" ht="30" customHeight="1" spans="1:8">
      <c r="B4" s="9"/>
      <c r="C4" s="9" t="s">
        <v>63</v>
      </c>
      <c r="D4" s="16" t="s">
        <v>25</v>
      </c>
      <c r="E4" s="16" t="s">
        <v>111</v>
      </c>
      <c r="F4" s="16" t="s">
        <v>109</v>
      </c>
      <c r="G4" s="16" t="s">
        <v>110</v>
      </c>
      <c r="H4" s="9"/>
    </row>
    <row r="5" s="3" customFormat="1" customHeight="1" spans="1:8">
      <c r="B5" s="4"/>
      <c r="C5" s="4"/>
      <c r="D5" s="13"/>
      <c r="E5" s="13"/>
      <c r="F5" s="13"/>
      <c r="G5" s="17"/>
      <c r="H5" s="4"/>
    </row>
    <row r="6" s="3" customFormat="1" customHeight="1" spans="1:8">
      <c r="B6" s="4"/>
      <c r="C6" s="4"/>
      <c r="D6" s="13"/>
      <c r="E6" s="13"/>
      <c r="F6" s="13"/>
      <c r="G6" s="17"/>
      <c r="H6" s="4"/>
    </row>
    <row r="7" s="3" customFormat="1" customHeight="1" spans="1:8">
      <c r="B7" s="4"/>
      <c r="C7" s="4"/>
      <c r="D7" s="13"/>
      <c r="E7" s="13"/>
      <c r="F7" s="13"/>
      <c r="G7" s="17"/>
      <c r="H7" s="4"/>
    </row>
    <row r="8" s="3" customFormat="1" customHeight="1" spans="1:8">
      <c r="B8" s="4"/>
      <c r="C8" s="4"/>
      <c r="D8" s="13"/>
      <c r="E8" s="13"/>
      <c r="F8" s="13"/>
      <c r="G8" s="17"/>
      <c r="H8" s="4"/>
    </row>
    <row r="9" s="3" customFormat="1" customHeight="1" spans="1:8">
      <c r="B9" s="4"/>
      <c r="C9" s="4"/>
      <c r="D9" s="13"/>
      <c r="E9" s="13"/>
      <c r="F9" s="13"/>
      <c r="G9" s="17"/>
      <c r="H9" s="4"/>
    </row>
    <row r="10" s="3" customFormat="1" customHeight="1" spans="1:8">
      <c r="B10" s="4"/>
      <c r="C10" s="4"/>
      <c r="D10" s="13"/>
      <c r="E10" s="13"/>
      <c r="F10" s="13"/>
      <c r="G10" s="17"/>
      <c r="H10" s="4"/>
    </row>
    <row r="11" s="3" customFormat="1" customHeight="1" spans="1:8">
      <c r="B11" s="4"/>
      <c r="C11" s="4"/>
      <c r="D11" s="13"/>
      <c r="E11" s="13"/>
      <c r="F11" s="13"/>
      <c r="G11" s="17"/>
      <c r="H11" s="4"/>
    </row>
    <row r="12" s="3" customFormat="1" customHeight="1" spans="1:8">
      <c r="B12" s="4"/>
      <c r="C12" s="4"/>
      <c r="D12" s="13"/>
      <c r="E12" s="13"/>
      <c r="F12" s="13"/>
      <c r="G12" s="17"/>
      <c r="H12" s="4"/>
    </row>
    <row r="13" s="3" customFormat="1" customHeight="1" spans="1:8">
      <c r="B13" s="4"/>
      <c r="C13" s="4"/>
      <c r="D13" s="13"/>
      <c r="E13" s="13"/>
      <c r="F13" s="13"/>
      <c r="G13" s="17"/>
      <c r="H13" s="4"/>
    </row>
  </sheetData>
  <sheetProtection formatCells="0" formatColumns="0" formatRows="0" insertRows="0" insertColumns="0" insertHyperlinks="0" deleteColumns="0" deleteRows="0" sort="0" autoFilter="0" pivotTables="0"/>
  <pageMargins left="0.75" right="0.75" top="1" bottom="1" header="0.5" footer="0.5"/>
  <headerFooter/>
  <drawing r:id="rId1"/>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1"/>
  <dimension ref="A1:E13"/>
  <sheetViews>
    <sheetView showGridLines="0" workbookViewId="0">
      <pane ySplit="4" topLeftCell="A5" activePane="bottomLeft" state="frozen"/>
      <selection/>
      <selection pane="bottomLeft" activeCell="L7" sqref="L7"/>
    </sheetView>
  </sheetViews>
  <sheetFormatPr defaultColWidth="9" defaultRowHeight="20.1" customHeight="1" outlineLevelCol="4"/>
  <cols>
    <col min="1" max="1" width="4.625" style="3" customWidth="1"/>
    <col min="2" max="2" width="3.625" style="4" customWidth="1"/>
    <col min="3" max="3" width="4" style="4" hidden="1" customWidth="1"/>
    <col min="4" max="4" width="16.875" style="13" customWidth="1"/>
    <col min="5" max="5" width="3.625" style="4" customWidth="1"/>
    <col min="6" max="6" width="6.75" style="3" customWidth="1"/>
    <col min="7" max="10" width="9" style="3"/>
    <col min="11" max="11" width="9" style="3" hidden="1" customWidth="1"/>
    <col min="12" max="15" width="9" style="3"/>
    <col min="16" max="16384" width="9" style="6"/>
  </cols>
  <sheetData>
    <row r="1" s="1" customFormat="1" ht="60" customHeight="1" spans="1:5">
      <c r="A1" s="7"/>
    </row>
    <row r="2" s="2" customFormat="1" ht="39.95" customHeight="1"/>
    <row r="3" s="2" customFormat="1" customHeight="1" spans="1:5">
      <c r="B3" s="9"/>
      <c r="C3" s="9"/>
      <c r="D3" s="9"/>
      <c r="E3" s="9"/>
    </row>
    <row r="4" s="2" customFormat="1" ht="30" customHeight="1" spans="1:5">
      <c r="B4" s="9"/>
      <c r="C4" s="9" t="s">
        <v>63</v>
      </c>
      <c r="D4" s="16" t="s">
        <v>94</v>
      </c>
      <c r="E4" s="9"/>
    </row>
    <row r="5" s="3" customFormat="1" customHeight="1" spans="1:5">
      <c r="B5" s="4"/>
      <c r="C5" s="4">
        <v>1</v>
      </c>
      <c r="D5" s="13" t="s">
        <v>77</v>
      </c>
      <c r="E5" s="4"/>
    </row>
    <row r="6" s="3" customFormat="1" customHeight="1" spans="1:5">
      <c r="B6" s="4"/>
      <c r="C6" s="4">
        <v>2</v>
      </c>
      <c r="D6" s="13" t="s">
        <v>52</v>
      </c>
      <c r="E6" s="4"/>
    </row>
    <row r="7" s="3" customFormat="1" customHeight="1" spans="1:5">
      <c r="B7" s="4"/>
      <c r="C7" s="4"/>
      <c r="D7" s="13"/>
      <c r="E7" s="4"/>
    </row>
    <row r="8" s="3" customFormat="1" customHeight="1" spans="1:5">
      <c r="B8" s="4"/>
      <c r="C8" s="4"/>
      <c r="D8" s="13"/>
      <c r="E8" s="4"/>
    </row>
    <row r="9" s="3" customFormat="1" customHeight="1" spans="1:5">
      <c r="B9" s="4"/>
      <c r="C9" s="4"/>
      <c r="D9" s="13"/>
      <c r="E9" s="4"/>
    </row>
    <row r="10" s="3" customFormat="1" customHeight="1" spans="1:5">
      <c r="B10" s="4"/>
      <c r="C10" s="4"/>
      <c r="D10" s="13"/>
      <c r="E10" s="4"/>
    </row>
    <row r="11" s="3" customFormat="1" customHeight="1" spans="1:5">
      <c r="B11" s="4"/>
      <c r="C11" s="4"/>
      <c r="D11" s="13"/>
      <c r="E11" s="4"/>
    </row>
    <row r="12" s="3" customFormat="1" customHeight="1" spans="1:5">
      <c r="B12" s="4"/>
      <c r="C12" s="4"/>
      <c r="D12" s="13"/>
      <c r="E12" s="4"/>
    </row>
    <row r="13" s="3" customFormat="1" customHeight="1" spans="1:5">
      <c r="B13" s="4"/>
      <c r="C13" s="4"/>
      <c r="D13" s="13"/>
      <c r="E13" s="4"/>
    </row>
  </sheetData>
  <sheetProtection formatCells="0" formatColumns="0" formatRows="0" insertRows="0" insertColumns="0" insertHyperlinks="0" deleteColumns="0" deleteRows="0" sort="0" autoFilter="0" pivotTables="0"/>
  <pageMargins left="0.75" right="0.75" top="1" bottom="1" header="0.5" footer="0.5"/>
  <headerFooter/>
  <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2">
    <pageSetUpPr autoPageBreaks="0"/>
  </sheetPr>
  <dimension ref="A1:J13"/>
  <sheetViews>
    <sheetView showGridLines="0" workbookViewId="0">
      <pane ySplit="4" topLeftCell="A5" activePane="bottomLeft" state="frozen"/>
      <selection/>
      <selection pane="bottomLeft" activeCell="F10" sqref="F10"/>
    </sheetView>
  </sheetViews>
  <sheetFormatPr defaultColWidth="9" defaultRowHeight="20.1" customHeight="1"/>
  <cols>
    <col min="1" max="1" width="4.625" style="3" customWidth="1"/>
    <col min="2" max="2" width="3.625" style="4" customWidth="1"/>
    <col min="3" max="3" width="4" style="4" hidden="1" customWidth="1"/>
    <col min="4" max="6" width="16.875" style="13" customWidth="1"/>
    <col min="7" max="9" width="16.875" style="17" customWidth="1"/>
    <col min="10" max="10" width="3.625" style="4" customWidth="1"/>
    <col min="11" max="11" width="6.75" style="3" customWidth="1"/>
    <col min="12" max="20" width="9" style="3"/>
    <col min="21" max="16384" width="9" style="6"/>
  </cols>
  <sheetData>
    <row r="1" s="1" customFormat="1" ht="60" customHeight="1" spans="1:10">
      <c r="A1" s="7"/>
    </row>
    <row r="2" s="2" customFormat="1" ht="39.95" customHeight="1"/>
    <row r="3" s="2" customFormat="1" customHeight="1" spans="1:10">
      <c r="B3" s="9"/>
      <c r="C3" s="9"/>
      <c r="D3" s="9"/>
      <c r="E3" s="9"/>
      <c r="F3" s="9"/>
      <c r="G3" s="9"/>
      <c r="H3" s="9"/>
      <c r="I3" s="9"/>
      <c r="J3" s="9"/>
    </row>
    <row r="4" s="2" customFormat="1" ht="30" customHeight="1" spans="1:10">
      <c r="B4" s="9"/>
      <c r="C4" s="9" t="s">
        <v>63</v>
      </c>
      <c r="D4" s="16" t="s">
        <v>25</v>
      </c>
      <c r="E4" s="16" t="s">
        <v>27</v>
      </c>
      <c r="F4" s="16" t="s">
        <v>26</v>
      </c>
      <c r="G4" s="16" t="s">
        <v>28</v>
      </c>
      <c r="H4" s="16" t="s">
        <v>29</v>
      </c>
      <c r="I4" s="16" t="s">
        <v>112</v>
      </c>
      <c r="J4" s="9"/>
    </row>
    <row r="5" s="3" customFormat="1" customHeight="1" spans="1:10">
      <c r="B5" s="4"/>
      <c r="C5" s="4"/>
      <c r="D5" s="13"/>
      <c r="E5" s="13"/>
      <c r="F5" s="13"/>
      <c r="G5" s="17"/>
      <c r="H5" s="17"/>
      <c r="I5" s="17"/>
      <c r="J5" s="4"/>
    </row>
    <row r="6" s="3" customFormat="1" customHeight="1" spans="1:10">
      <c r="B6" s="4"/>
      <c r="C6" s="4"/>
      <c r="D6" s="13"/>
      <c r="E6" s="13"/>
      <c r="F6" s="13"/>
      <c r="G6" s="17"/>
      <c r="H6" s="17"/>
      <c r="I6" s="17"/>
      <c r="J6" s="4"/>
    </row>
    <row r="7" s="3" customFormat="1" customHeight="1" spans="1:10">
      <c r="B7" s="4"/>
      <c r="C7" s="4"/>
      <c r="D7" s="13"/>
      <c r="E7" s="13"/>
      <c r="F7" s="13"/>
      <c r="G7" s="17"/>
      <c r="H7" s="17"/>
      <c r="I7" s="17"/>
      <c r="J7" s="4"/>
    </row>
    <row r="8" s="3" customFormat="1" customHeight="1" spans="1:10">
      <c r="B8" s="4"/>
      <c r="C8" s="4"/>
      <c r="D8" s="13"/>
      <c r="E8" s="13"/>
      <c r="F8" s="13"/>
      <c r="G8" s="17"/>
      <c r="H8" s="17"/>
      <c r="I8" s="17"/>
      <c r="J8" s="4"/>
    </row>
    <row r="9" s="3" customFormat="1" customHeight="1" spans="1:10">
      <c r="B9" s="4"/>
      <c r="C9" s="4"/>
      <c r="D9" s="13"/>
      <c r="E9" s="13"/>
      <c r="F9" s="13"/>
      <c r="G9" s="17"/>
      <c r="H9" s="17"/>
      <c r="I9" s="17"/>
      <c r="J9" s="4"/>
    </row>
    <row r="10" s="3" customFormat="1" customHeight="1" spans="1:10">
      <c r="B10" s="4"/>
      <c r="C10" s="4"/>
      <c r="D10" s="13"/>
      <c r="E10" s="13"/>
      <c r="F10" s="13"/>
      <c r="G10" s="17"/>
      <c r="H10" s="17"/>
      <c r="I10" s="17"/>
      <c r="J10" s="4"/>
    </row>
    <row r="11" s="3" customFormat="1" customHeight="1" spans="1:10">
      <c r="B11" s="4"/>
      <c r="C11" s="4"/>
      <c r="D11" s="13"/>
      <c r="E11" s="13"/>
      <c r="F11" s="13"/>
      <c r="G11" s="17"/>
      <c r="H11" s="17"/>
      <c r="I11" s="17"/>
      <c r="J11" s="4"/>
    </row>
    <row r="12" s="3" customFormat="1" customHeight="1" spans="1:10">
      <c r="B12" s="4"/>
      <c r="C12" s="4"/>
      <c r="D12" s="13"/>
      <c r="E12" s="13"/>
      <c r="F12" s="13"/>
      <c r="G12" s="17"/>
      <c r="H12" s="17"/>
      <c r="I12" s="17"/>
      <c r="J12" s="4"/>
    </row>
    <row r="13" s="3" customFormat="1" customHeight="1" spans="1:10">
      <c r="B13" s="4"/>
      <c r="C13" s="4"/>
      <c r="D13" s="13"/>
      <c r="E13" s="13"/>
      <c r="F13" s="13"/>
      <c r="G13" s="17"/>
      <c r="H13" s="17"/>
      <c r="I13" s="17"/>
      <c r="J13" s="4"/>
    </row>
  </sheetData>
  <sheetProtection formatCells="0" formatColumns="0" formatRows="0" insertRows="0" insertColumns="0" insertHyperlinks="0" deleteColumns="0" deleteRows="0" sort="0" autoFilter="0" pivotTables="0"/>
  <pageMargins left="0.75" right="0.75" top="1" bottom="1" header="0.5" footer="0.5"/>
  <pageSetup paperSize="9" orientation="portrait"/>
  <headerFooter/>
  <drawing r:id="rId1"/>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3"/>
  <dimension ref="A1:T13"/>
  <sheetViews>
    <sheetView showGridLines="0" workbookViewId="0">
      <pane ySplit="4" topLeftCell="A5" activePane="bottomLeft" state="frozen"/>
      <selection/>
      <selection pane="bottomLeft" activeCell="AP16" sqref="AP16"/>
    </sheetView>
  </sheetViews>
  <sheetFormatPr defaultColWidth="9" defaultRowHeight="20.1" customHeight="1"/>
  <cols>
    <col min="1" max="1" width="4.625" style="3" customWidth="1"/>
    <col min="2" max="2" width="3.625" style="4" customWidth="1"/>
    <col min="3" max="3" width="4.5" style="12" hidden="1" customWidth="1"/>
    <col min="4" max="10" width="16.875" style="13" customWidth="1"/>
    <col min="11" max="11" width="3.625" style="4" customWidth="1"/>
    <col min="12" max="13" width="9" style="3"/>
    <col min="14" max="16" width="9" style="6"/>
    <col min="17" max="20" width="9" style="6" customWidth="1"/>
    <col min="21" max="16384" width="9" style="6"/>
  </cols>
  <sheetData>
    <row r="1" s="1" customFormat="1" ht="60" customHeight="1" spans="1:20">
      <c r="A1" s="7"/>
      <c r="R1" s="14"/>
      <c r="S1" s="14"/>
      <c r="T1" s="14">
        <v>1</v>
      </c>
    </row>
    <row r="2" s="2" customFormat="1" ht="39.95" customHeight="1"/>
    <row r="3" s="2" customFormat="1" customHeight="1" spans="1:20">
      <c r="B3" s="9"/>
      <c r="C3" s="9"/>
      <c r="D3" s="9"/>
      <c r="E3" s="9"/>
      <c r="F3" s="9"/>
      <c r="G3" s="9"/>
      <c r="H3" s="9"/>
      <c r="I3" s="9"/>
      <c r="J3" s="9"/>
      <c r="K3" s="9"/>
    </row>
    <row r="4" s="2" customFormat="1" ht="30" customHeight="1" spans="1:20">
      <c r="B4" s="9"/>
      <c r="C4" s="15" t="s">
        <v>63</v>
      </c>
      <c r="D4" s="16" t="s">
        <v>113</v>
      </c>
      <c r="E4" s="16" t="s">
        <v>114</v>
      </c>
      <c r="F4" s="16" t="s">
        <v>115</v>
      </c>
      <c r="G4" s="16" t="s">
        <v>116</v>
      </c>
      <c r="H4" s="16" t="s">
        <v>117</v>
      </c>
      <c r="I4" s="16" t="s">
        <v>118</v>
      </c>
      <c r="J4" s="16" t="s">
        <v>119</v>
      </c>
      <c r="K4" s="9"/>
    </row>
    <row r="5" s="3" customFormat="1" customHeight="1" spans="1:20">
      <c r="B5" s="4"/>
      <c r="C5" s="12"/>
      <c r="D5" s="13"/>
      <c r="E5" s="13"/>
      <c r="F5" s="13"/>
      <c r="G5" s="13"/>
      <c r="H5" s="13"/>
      <c r="I5" s="13"/>
      <c r="J5" s="13"/>
      <c r="K5" s="4"/>
    </row>
    <row r="6" s="3" customFormat="1" customHeight="1" spans="1:20">
      <c r="B6" s="4"/>
      <c r="C6" s="12"/>
      <c r="D6" s="13"/>
      <c r="E6" s="13"/>
      <c r="F6" s="13"/>
      <c r="G6" s="13"/>
      <c r="H6" s="13"/>
      <c r="I6" s="13"/>
      <c r="J6" s="13"/>
      <c r="K6" s="4"/>
    </row>
    <row r="7" s="3" customFormat="1" customHeight="1" spans="1:20">
      <c r="B7" s="4"/>
      <c r="C7" s="12"/>
      <c r="D7" s="13"/>
      <c r="E7" s="13"/>
      <c r="F7" s="13"/>
      <c r="G7" s="13"/>
      <c r="H7" s="13"/>
      <c r="I7" s="13"/>
      <c r="J7" s="13"/>
      <c r="K7" s="4"/>
    </row>
    <row r="8" s="3" customFormat="1" customHeight="1" spans="1:20">
      <c r="B8" s="4"/>
      <c r="C8" s="12"/>
      <c r="D8" s="13"/>
      <c r="E8" s="13"/>
      <c r="F8" s="13"/>
      <c r="G8" s="13"/>
      <c r="H8" s="13"/>
      <c r="I8" s="13"/>
      <c r="J8" s="13"/>
      <c r="K8" s="4"/>
    </row>
    <row r="9" s="3" customFormat="1" customHeight="1" spans="1:20">
      <c r="B9" s="4"/>
      <c r="C9" s="12"/>
      <c r="D9" s="13"/>
      <c r="E9" s="13"/>
      <c r="F9" s="13"/>
      <c r="G9" s="13"/>
      <c r="H9" s="13"/>
      <c r="I9" s="13"/>
      <c r="J9" s="13"/>
      <c r="K9" s="4"/>
    </row>
    <row r="10" s="3" customFormat="1" customHeight="1" spans="1:20">
      <c r="B10" s="4"/>
      <c r="C10" s="12"/>
      <c r="D10" s="13"/>
      <c r="E10" s="13"/>
      <c r="F10" s="13"/>
      <c r="G10" s="13"/>
      <c r="H10" s="13"/>
      <c r="I10" s="13"/>
      <c r="J10" s="13"/>
      <c r="K10" s="4"/>
    </row>
    <row r="11" s="3" customFormat="1" customHeight="1" spans="1:20">
      <c r="B11" s="4"/>
      <c r="C11" s="12"/>
      <c r="D11" s="13"/>
      <c r="E11" s="13"/>
      <c r="F11" s="13"/>
      <c r="G11" s="13"/>
      <c r="H11" s="13"/>
      <c r="I11" s="13"/>
      <c r="J11" s="13"/>
      <c r="K11" s="4"/>
    </row>
    <row r="12" s="3" customFormat="1" customHeight="1" spans="1:20">
      <c r="B12" s="4"/>
      <c r="C12" s="12"/>
      <c r="D12" s="13"/>
      <c r="E12" s="13"/>
      <c r="F12" s="13"/>
      <c r="G12" s="13"/>
      <c r="H12" s="13"/>
      <c r="I12" s="13"/>
      <c r="J12" s="13"/>
      <c r="K12" s="4"/>
    </row>
    <row r="13" s="3" customFormat="1" customHeight="1" spans="1:20">
      <c r="B13" s="4"/>
      <c r="C13" s="12"/>
      <c r="D13" s="13"/>
      <c r="E13" s="13"/>
      <c r="F13" s="13"/>
      <c r="G13" s="13"/>
      <c r="H13" s="13"/>
      <c r="I13" s="13"/>
      <c r="J13" s="13"/>
      <c r="K13" s="4"/>
    </row>
  </sheetData>
  <sheetProtection formatCells="0" formatColumns="0" formatRows="0" insertRows="0" insertColumns="0" insertHyperlinks="0" deleteColumns="0" deleteRows="0" sort="0" autoFilter="0" pivotTables="0"/>
  <conditionalFormatting sqref="I5:I1048576">
    <cfRule type="cellIs" dxfId="1" priority="2" operator="equal">
      <formula>"双击修改"</formula>
    </cfRule>
  </conditionalFormatting>
  <conditionalFormatting sqref="J5:J1048576">
    <cfRule type="cellIs" dxfId="1" priority="1" operator="equal">
      <formula>"双击删除"</formula>
    </cfRule>
  </conditionalFormatting>
  <dataValidations count="2">
    <dataValidation type="list" allowBlank="1" showInputMessage="1" showErrorMessage="1" sqref="G5:G1048576">
      <formula1>"管理员,普通用户"</formula1>
    </dataValidation>
    <dataValidation type="list" allowBlank="1" showInputMessage="1" showErrorMessage="1" sqref="H5:H1048576">
      <formula1>"正常,锁定"</formula1>
    </dataValidation>
  </dataValidations>
  <pageMargins left="0.75" right="0.75" top="1" bottom="1" header="0.5" footer="0.5"/>
  <headerFooter/>
  <drawing r:id="rId1"/>
  <legacyDrawing r:id="rId2"/>
  <controls>
    <mc:AlternateContent xmlns:mc="http://schemas.openxmlformats.org/markup-compatibility/2006">
      <mc:Choice Requires="x14">
        <control shapeId="4098" r:id="rId3" name="TextBox1">
          <controlPr defaultSize="0" r:id="rId4">
            <anchor>
              <from>
                <xdr:col>3</xdr:col>
                <xdr:colOff>847725</xdr:colOff>
                <xdr:row>1</xdr:row>
                <xdr:rowOff>128905</xdr:rowOff>
              </from>
              <to>
                <xdr:col>5</xdr:col>
                <xdr:colOff>800100</xdr:colOff>
                <xdr:row>1</xdr:row>
                <xdr:rowOff>443230</xdr:rowOff>
              </to>
            </anchor>
          </controlPr>
        </control>
      </mc:Choice>
      <mc:Fallback>
        <control shapeId="4098" r:id="rId3" name="TextBox1"/>
      </mc:Fallback>
    </mc:AlternateContent>
  </controls>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8">
    <pageSetUpPr fitToPage="1"/>
  </sheetPr>
  <dimension ref="A1:E12"/>
  <sheetViews>
    <sheetView workbookViewId="0">
      <pane ySplit="2" topLeftCell="A3" activePane="bottomLeft" state="frozen"/>
      <selection/>
      <selection pane="bottomLeft" activeCell="J3" sqref="J3"/>
    </sheetView>
  </sheetViews>
  <sheetFormatPr defaultColWidth="9" defaultRowHeight="140" customHeight="1" outlineLevelCol="4"/>
  <cols>
    <col min="1" max="1" width="4.625" style="3" customWidth="1"/>
    <col min="2" max="2" width="3.375" style="4" customWidth="1"/>
    <col min="3" max="3" width="4" style="4" hidden="1" customWidth="1"/>
    <col min="4" max="4" width="26.875" style="5" customWidth="1"/>
    <col min="5" max="5" width="3.375" style="4" customWidth="1"/>
    <col min="6" max="6" width="6.75" style="3" hidden="1" customWidth="1"/>
    <col min="7" max="15" width="9" style="3"/>
    <col min="16" max="16384" width="9" style="6"/>
  </cols>
  <sheetData>
    <row r="1" s="1" customFormat="1" ht="60" customHeight="1" spans="1:5">
      <c r="A1" s="7"/>
      <c r="D1" s="8"/>
    </row>
    <row r="2" s="2" customFormat="1" ht="39.95" customHeight="1" spans="1:5">
      <c r="D2" s="3"/>
    </row>
    <row r="3" s="2" customFormat="1" customHeight="1" spans="1:5">
      <c r="B3" s="9"/>
      <c r="C3" s="9"/>
      <c r="D3" s="10" t="s">
        <v>120</v>
      </c>
      <c r="E3" s="9"/>
    </row>
    <row r="4" s="3" customFormat="1" customHeight="1" spans="1:5">
      <c r="B4" s="4"/>
      <c r="C4" s="4"/>
      <c r="D4" s="11"/>
      <c r="E4" s="4"/>
    </row>
    <row r="5" s="3" customFormat="1" customHeight="1" spans="1:5">
      <c r="B5" s="4"/>
      <c r="C5" s="4"/>
      <c r="D5" s="11"/>
      <c r="E5" s="4"/>
    </row>
    <row r="6" s="3" customFormat="1" customHeight="1" spans="1:5">
      <c r="B6" s="4"/>
      <c r="C6" s="4"/>
      <c r="D6" s="11"/>
      <c r="E6" s="4"/>
    </row>
    <row r="7" s="3" customFormat="1" customHeight="1" spans="1:5">
      <c r="B7" s="4"/>
      <c r="C7" s="4"/>
      <c r="D7" s="11"/>
      <c r="E7" s="4"/>
    </row>
    <row r="8" s="3" customFormat="1" customHeight="1" spans="1:5">
      <c r="B8" s="4"/>
      <c r="C8" s="4"/>
      <c r="D8" s="5"/>
      <c r="E8" s="4"/>
    </row>
    <row r="9" s="3" customFormat="1" customHeight="1" spans="1:5">
      <c r="B9" s="4"/>
      <c r="C9" s="4"/>
      <c r="D9" s="5"/>
      <c r="E9" s="4"/>
    </row>
    <row r="10" s="3" customFormat="1" customHeight="1" spans="1:5">
      <c r="B10" s="4"/>
      <c r="C10" s="4"/>
      <c r="D10" s="5"/>
      <c r="E10" s="4"/>
    </row>
    <row r="11" s="3" customFormat="1" customHeight="1" spans="1:5">
      <c r="B11" s="4"/>
      <c r="C11" s="4"/>
      <c r="D11" s="5"/>
      <c r="E11" s="4"/>
    </row>
    <row r="12" s="3" customFormat="1" customHeight="1" spans="1:5">
      <c r="B12" s="4"/>
      <c r="C12" s="4"/>
      <c r="D12" s="5"/>
      <c r="E12" s="4"/>
    </row>
  </sheetData>
  <pageMargins left="0.75" right="0.75" top="1" bottom="1" header="0.5" footer="0.5"/>
  <pageSetup paperSize="9" orientation="portrait"/>
  <headerFooter/>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allowEditUser xmlns="https://web.wps.cn/et/2018/main" xmlns:s="http://schemas.openxmlformats.org/spreadsheetml/2006/main" hasInvisiblePropRange="0">
  <rangeList sheetStid="1" master="" otherUserPermission="visible"/>
  <rangeList sheetStid="2" master="" otherUserPermission="visible"/>
  <rangeList sheetStid="3" master="" otherUserPermission="visible"/>
  <rangeList sheetStid="4" master="" otherUserPermission="visible"/>
  <rangeList sheetStid="16" master="" otherUserPermission="visible"/>
  <rangeList sheetStid="14" master="" otherUserPermission="visible"/>
  <rangeList sheetStid="17" master="" otherUserPermission="visible"/>
  <rangeList sheetStid="19" master="" otherUserPermission="visible"/>
  <rangeList sheetStid="20" master="" otherUserPermission="visible"/>
  <rangeList sheetStid="22" master="" otherUserPermission="visible"/>
  <rangeList sheetStid="23" master="" otherUserPermission="visible"/>
  <rangeList sheetStid="25" master="" otherUserPermission="visible"/>
  <rangeList sheetStid="26" master="" otherUserPermission="visible"/>
  <rangeList sheetStid="24" master="" otherUserPermission="visible"/>
  <rangeList sheetStid="5" master="" otherUserPermission="visible"/>
  <rangeList sheetStid="27" master="" otherUserPermission="visible"/>
  <rangeList sheetStid="29" master="" otherUserPermission="visible"/>
  <rangeList sheetStid="30" master="" otherUserPermission="visible"/>
  <rangeList sheetStid="31" master="" otherUserPermission="visible"/>
  <rangeList sheetStid="28" master="" otherUserPermission="visible"/>
  <rangeList sheetStid="6" master="" otherUserPermission="visible"/>
  <rangeList sheetStid="7" master="" otherUserPermission="visible"/>
  <rangeList sheetStid="8" master="" otherUserPermission="visible"/>
  <rangeList sheetStid="15" master="" otherUserPermission="visible"/>
  <rangeList sheetStid="9" master="" otherUserPermission="visible"/>
  <rangeList sheetStid="10" master="" otherUserPermission="visible"/>
  <rangeList sheetStid="11" master="" otherUserPermission="visible"/>
  <rangeList sheetStid="21" master="" otherUserPermission="visible"/>
  <rangeList sheetStid="12" master="" otherUserPermission="visible"/>
  <rangeList sheetStid="13" master="" otherUserPermission="visible"/>
  <rangeList sheetStid="18" master="" otherUserPermission="visible"/>
</allowEditUser>
</file>

<file path=customXml/itemProps1.xml><?xml version="1.0" encoding="utf-8"?>
<ds:datastoreItem xmlns:ds="http://schemas.openxmlformats.org/officeDocument/2006/customXml" ds:itemID="{5A5607D9-04D2-4DE1-AC0E-A7772F01BC71}">
  <ds:schemaRefs>
    <ds:schemaRef ds:uri="https://web.wps.cn/et/2018/main"/>
    <ds:schemaRef ds:uri="http://schemas.openxmlformats.org/spreadsheetml/2006/main"/>
  </ds:schemaRefs>
</ds:datastoreItem>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31</vt:i4>
      </vt:variant>
    </vt:vector>
  </HeadingPairs>
  <TitlesOfParts>
    <vt:vector size="31" baseType="lpstr">
      <vt:lpstr>首页</vt:lpstr>
      <vt:lpstr>说明书</vt:lpstr>
      <vt:lpstr>加密</vt:lpstr>
      <vt:lpstr>入库</vt:lpstr>
      <vt:lpstr>入库单</vt:lpstr>
      <vt:lpstr>出库</vt:lpstr>
      <vt:lpstr>出库单</vt:lpstr>
      <vt:lpstr>库存调拨</vt:lpstr>
      <vt:lpstr>库存盘点</vt:lpstr>
      <vt:lpstr>销售退货</vt:lpstr>
      <vt:lpstr>采购退货</vt:lpstr>
      <vt:lpstr>采购单</vt:lpstr>
      <vt:lpstr>采购未入库明细</vt:lpstr>
      <vt:lpstr>单据</vt:lpstr>
      <vt:lpstr>期初数</vt:lpstr>
      <vt:lpstr>期末数</vt:lpstr>
      <vt:lpstr>销售退货统计</vt:lpstr>
      <vt:lpstr>采购退货统计</vt:lpstr>
      <vt:lpstr>进出明细统计</vt:lpstr>
      <vt:lpstr>库存积压统计</vt:lpstr>
      <vt:lpstr>明细</vt:lpstr>
      <vt:lpstr>进销存</vt:lpstr>
      <vt:lpstr>客户|供应商查询</vt:lpstr>
      <vt:lpstr>商品进出查询</vt:lpstr>
      <vt:lpstr>基础资料</vt:lpstr>
      <vt:lpstr>客户资料</vt:lpstr>
      <vt:lpstr>供应商资料</vt:lpstr>
      <vt:lpstr>仓库资料</vt:lpstr>
      <vt:lpstr>笔记</vt:lpstr>
      <vt:lpstr>用户管理</vt:lpstr>
      <vt:lpstr>二维码打印</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技术服务工程师</cp:lastModifiedBy>
  <dcterms:created xsi:type="dcterms:W3CDTF">2021-02-01T06:30:00Z</dcterms:created>
  <dcterms:modified xsi:type="dcterms:W3CDTF">2026-03-03T00:55:54Z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2052-12.1.0.25225</vt:lpwstr>
  </property>
  <property fmtid="{D5CDD505-2E9C-101B-9397-08002B2CF9AE}" pid="3" name="ICV">
    <vt:lpwstr>2880E496AE9040DCA7CC04DAC228E7B9</vt:lpwstr>
  </property>
  <property fmtid="{D5CDD505-2E9C-101B-9397-08002B2CF9AE}" pid="4" name="commondata">
    <vt:lpwstr>eyJoZGlkIjoiODI2NTdlNmIyYjhkYWM0NDQwYWU3Y2Q0NmEyMTJiMWEifQ==</vt:lpwstr>
  </property>
  <property fmtid="{D5CDD505-2E9C-101B-9397-08002B2CF9AE}" pid="5" name="CalculationRule">
    <vt:i4>0</vt:i4>
  </property>
</Properties>
</file>