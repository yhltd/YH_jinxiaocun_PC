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colors4.xml" ContentType="application/vnd.ms-office.chartcolorstyle+xml"/>
  <Override PartName="/xl/charts/colors5.xml" ContentType="application/vnd.ms-office.chartcolorstyle+xml"/>
  <Override PartName="/xl/charts/colors6.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harts/style4.xml" ContentType="application/vnd.ms-office.chartstyle+xml"/>
  <Override PartName="/xl/charts/style5.xml" ContentType="application/vnd.ms-office.chartstyle+xml"/>
  <Override PartName="/xl/charts/style6.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库存调拨" sheetId="19" state="veryHidden" r:id="rId8"/>
    <sheet name="库存盘点" sheetId="20" state="veryHidden" r:id="rId9"/>
    <sheet name="销售退货" sheetId="22" state="veryHidden" r:id="rId10"/>
    <sheet name="采购退货" sheetId="23" state="veryHidden" r:id="rId11"/>
    <sheet name="采购单" sheetId="25" state="veryHidden" r:id="rId12"/>
    <sheet name="采购未入库明细" sheetId="26" state="veryHidden" r:id="rId13"/>
    <sheet name="单据" sheetId="24" state="veryHidden" r:id="rId14"/>
    <sheet name="期初数" sheetId="5" state="veryHidden" r:id="rId15"/>
    <sheet name="期末数" sheetId="27" state="veryHidden" r:id="rId16"/>
    <sheet name="销售退货统计" sheetId="29" state="veryHidden" r:id="rId17"/>
    <sheet name="采购退货统计" sheetId="30" state="veryHidden" r:id="rId18"/>
    <sheet name="进出明细统计" sheetId="31" state="veryHidden" r:id="rId19"/>
    <sheet name="库存积压统计" sheetId="28" state="veryHidden" r:id="rId20"/>
    <sheet name="明细" sheetId="6" state="veryHidden" r:id="rId21"/>
    <sheet name="进销存" sheetId="7" state="veryHidden" r:id="rId22"/>
    <sheet name="客户|供应商查询" sheetId="8" state="veryHidden" r:id="rId23"/>
    <sheet name="商品进出查询" sheetId="15" state="veryHidden" r:id="rId24"/>
    <sheet name="基础资料" sheetId="9" state="veryHidden" r:id="rId25"/>
    <sheet name="客户资料" sheetId="10" state="veryHidden" r:id="rId26"/>
    <sheet name="供应商资料" sheetId="11" state="veryHidden" r:id="rId27"/>
    <sheet name="仓库资料" sheetId="21" state="veryHidden" r:id="rId28"/>
    <sheet name="笔记" sheetId="12" state="veryHidden" r:id="rId29"/>
    <sheet name="用户管理" sheetId="13" state="veryHidden" r:id="rId30"/>
    <sheet name="二维码打印" sheetId="18" state="veryHidden" r:id="rId31"/>
  </sheets>
  <externalReferences>
    <externalReference r:id="rId33"/>
  </externalReferences>
  <definedNames>
    <definedName name="_xlnm._FilterDatabase" localSheetId="12" hidden="1">采购未入库明细!$D$4:$K$188</definedName>
    <definedName name="_xlnm._FilterDatabase" localSheetId="20" hidden="1">明细!$D$4:$K$70</definedName>
    <definedName name="_xlnm.Print_Area" localSheetId="6">出库单!$C$4:$H$19</definedName>
    <definedName name="_xlnm.Print_Area" localSheetId="4">入库单!$C$4:$H$19</definedName>
    <definedName name="_xlnm.Print_Area" localSheetId="13">单据!$C$4:$H$20</definedName>
    <definedName name="_xlnm.Print_Area" localSheetId="30">二维码打印!$D$3</definedName>
    <definedName name="_xlnm.Print_Area" localSheetId="22">'客户|供应商查询'!$D$4:$I$9</definedName>
    <definedName name="_xlnm.Print_Area" localSheetId="23">商品进出查询!$D$4:$J$6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5.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6.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<sst xmlns="http://schemas.openxmlformats.org/spreadsheetml/2006/main" count="365" uniqueCount="116">
  <si>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</si>
  <si>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</si>
  <si>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</si>
  <si>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</si>
  <si>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</si>
  <si>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</si>
  <si>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</si>
  <si>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</si>
  <si>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</si>
  <si>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</si>
  <si>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</si>
  <si>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</si>
  <si>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</si>
  <si>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</si>
  <si>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</si>
  <si>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</si>
  <si>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</si>
  <si>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</si>
  <si>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</si>
  <si>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</si>
  <si>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</si>
  <si>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</si>
  <si>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</si>
  <si>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$APP安卓|PC端|EXCEL|小程序$123</t>
  </si>
  <si>
    <t>APP20260421mssql</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</si>
  <si>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</si>
  <si>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</si>
  <si>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</si>
  <si>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</si>
  <si>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</si>
  <si>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</si>
  <si>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</si>
  <si>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</si>
  <si>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</si>
  <si>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</si>
  <si>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</si>
  <si>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</si>
  <si>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</si>
  <si>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</si>
  <si>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</si>
  <si>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</si>
  <si>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</si>
  <si>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</si>
  <si>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</si>
  <si>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</si>
  <si>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</si>
  <si>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</si>
  <si>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</si>
  <si>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</si>
  <si>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</si>
  <si>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</si>
  <si>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</si>
  <si>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</si>
  <si>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A仓库</t>
  </si>
  <si>
    <t>钢笔</t>
  </si>
  <si>
    <t>文具</t>
  </si>
  <si>
    <t>支</t>
  </si>
  <si>
    <t>实际数量</t>
  </si>
  <si>
    <t>B仓库</t>
  </si>
  <si>
    <t>双击
勾选</t>
  </si>
  <si>
    <t>id</t>
  </si>
  <si>
    <t>订单号</t>
  </si>
  <si>
    <t>价格</t>
  </si>
  <si>
    <t>类型</t>
  </si>
  <si>
    <t>时间</t>
  </si>
  <si>
    <t>公司名</t>
  </si>
  <si>
    <t>进货方</t>
  </si>
  <si>
    <t>采购单</t>
  </si>
  <si>
    <t>订单号:</t>
  </si>
  <si>
    <t>入库时间:</t>
  </si>
  <si>
    <t>供应商:</t>
  </si>
  <si>
    <t>海蓝</t>
  </si>
  <si>
    <t>仓库:</t>
  </si>
  <si>
    <t>合计金额：29000</t>
  </si>
  <si>
    <t>商品售价</t>
  </si>
  <si>
    <t>商品数量</t>
  </si>
  <si>
    <t>期初合计金额：399</t>
  </si>
  <si>
    <t>期末合计金额：0</t>
  </si>
  <si>
    <t>期初数量</t>
  </si>
  <si>
    <t>期初金额</t>
  </si>
  <si>
    <t>期末数量</t>
  </si>
  <si>
    <t>期末金额</t>
  </si>
  <si>
    <t>总退货数量</t>
  </si>
  <si>
    <t>总退货金额</t>
  </si>
  <si>
    <t>平均退货数量</t>
  </si>
  <si>
    <t>涉及商品数</t>
  </si>
  <si>
    <t>类别</t>
  </si>
  <si>
    <t>名称</t>
  </si>
  <si>
    <t>售价</t>
  </si>
  <si>
    <t>仓库</t>
  </si>
  <si>
    <t>库存金额</t>
  </si>
  <si>
    <t>明细类型</t>
  </si>
  <si>
    <t>收/进货方</t>
  </si>
  <si>
    <t>期初</t>
  </si>
  <si>
    <t>入库</t>
  </si>
  <si>
    <t>出库</t>
  </si>
  <si>
    <t>结存</t>
  </si>
  <si>
    <t>边缘存量</t>
  </si>
  <si>
    <t>客户名称</t>
  </si>
  <si>
    <t>入库/出库数量</t>
  </si>
  <si>
    <t>入库/出库金额</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</si>
  <si>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</si>
  <si>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</si>
  <si>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</si>
  <si>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</si>
  <si>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</si>
  <si>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</si>
  <si>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</si>
  <si>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</si>
  <si>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</si>
  <si>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</si>
  <si>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</si>
  <si>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</si>
  <si>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</si>
  <si>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</si>
  <si>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订单号：1
 时间：2026/2/28 18:47:14</t>
  </si>
</sst>
</file>

<file path=xl/styles.xml><?xml version="1.0" encoding="utf-8"?>
<styleSheet xmlns="http://schemas.openxmlformats.org/spreadsheetml/2006/main" xmlns:mc="http://schemas.openxmlformats.org/markup-compatibility/2006" xmlns:xr9="http://schemas.microsoft.com/office/spreadsheetml/2016/revision9" mc:Ignorable="xr9">
  <numFmts count="9">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0.00_);[Red]\(0.00\)"/>
    <numFmt numFmtId="179" formatCode="[DBNum2][$RMB]General;[Red][DBNum2][$RMB]General"/>
    <numFmt numFmtId="180" formatCode="00"/>
  </numFmts>
  <fonts count="54">
    <font>
      <sz val="12"/>
      <name val="宋体"/>
      <charset val="134"/>
    </font>
    <font>
      <sz val="12"/>
      <name val="等线"/>
      <charset val="134"/>
    </font>
    <font>
      <sz val="10"/>
      <name val="等线"/>
      <charset val="134"/>
    </font>
    <font>
      <b/>
      <sz val="14"/>
      <color theme="0"/>
      <name val="等线"/>
      <charset val="134"/>
    </font>
    <font>
      <sz val="12"/>
      <color theme="1" tint="0.349986266670736"/>
      <name val="等线"/>
      <charset val="134"/>
    </font>
    <font>
      <b/>
      <sz val="14"/>
      <name val="等线"/>
      <charset val="134"/>
    </font>
    <font>
      <sz val="14"/>
      <name val="微软雅黑"/>
      <charset val="134"/>
    </font>
    <font>
      <b/>
      <sz val="12"/>
      <name val="等线"/>
      <charset val="134"/>
    </font>
    <font>
      <b/>
      <sz val="14"/>
      <color theme="0"/>
      <name val="微软雅黑"/>
      <charset val="134"/>
    </font>
    <font>
      <b/>
      <sz val="12"/>
      <name val="微软雅黑"/>
      <charset val="134"/>
    </font>
    <font>
      <sz val="12"/>
      <color theme="4" tint="0.6"/>
      <name val="等线"/>
      <charset val="134"/>
    </font>
    <font>
      <sz val="20"/>
      <name val="微软雅黑"/>
      <charset val="134"/>
    </font>
    <font>
      <sz val="16"/>
      <name val="微软雅黑"/>
      <charset val="134"/>
    </font>
    <font>
      <sz val="11"/>
      <name val="等线"/>
      <charset val="134"/>
    </font>
    <font>
      <b/>
      <sz val="10"/>
      <name val="等线"/>
      <charset val="134"/>
    </font>
    <font>
      <b/>
      <sz val="16"/>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4">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patternFill patternType="solid">
        <fgColor theme="4" tint="0.6"/>
        <bgColor indexed="64"/>
      </patternFill>
    </fill>
    <fill>
      <patternFill patternType="solid">
        <fgColor theme="0" tint="-0.15"/>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9">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right/>
      <top/>
      <bottom style="thin">
        <color theme="0" tint="-0.349986266670736"/>
      </bottom>
      <diagonal/>
    </border>
    <border>
      <left style="thin">
        <color theme="2" tint="-0.25"/>
      </left>
      <right style="thin">
        <color theme="2" tint="-0.25"/>
      </right>
      <top style="thin">
        <color theme="2" tint="-0.25"/>
      </top>
      <bottom style="thin">
        <color theme="2" tint="-0.25"/>
      </bottom>
      <diagonal/>
    </border>
    <border>
      <left style="thin">
        <color theme="0" tint="-0.35"/>
      </left>
      <right style="thin">
        <color theme="0" tint="-0.35"/>
      </right>
      <top style="thin">
        <color theme="0" tint="-0.35"/>
      </top>
      <bottom style="thin">
        <color theme="0" tint="-0.35"/>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17" fillId="14" borderId="11" applyNumberFormat="0" applyFont="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9" fillId="0" borderId="13" applyNumberFormat="0" applyFill="0" applyAlignment="0" applyProtection="0">
      <alignment vertical="center"/>
    </xf>
    <xf numFmtId="0" fontId="39" fillId="0" borderId="0" applyNumberFormat="0" applyFill="0" applyBorder="0" applyAlignment="0" applyProtection="0">
      <alignment vertical="center"/>
    </xf>
    <xf numFmtId="0" fontId="40" fillId="15" borderId="14" applyNumberFormat="0" applyAlignment="0" applyProtection="0">
      <alignment vertical="center"/>
    </xf>
    <xf numFmtId="0" fontId="41" fillId="16" borderId="15" applyNumberFormat="0" applyAlignment="0" applyProtection="0">
      <alignment vertical="center"/>
    </xf>
    <xf numFmtId="0" fontId="42" fillId="16" borderId="14" applyNumberFormat="0" applyAlignment="0" applyProtection="0">
      <alignment vertical="center"/>
    </xf>
    <xf numFmtId="0" fontId="43" fillId="17" borderId="16" applyNumberFormat="0" applyAlignment="0" applyProtection="0">
      <alignment vertical="center"/>
    </xf>
    <xf numFmtId="0" fontId="44" fillId="0" borderId="17" applyNumberFormat="0" applyFill="0" applyAlignment="0" applyProtection="0">
      <alignment vertical="center"/>
    </xf>
    <xf numFmtId="0" fontId="45" fillId="0" borderId="18" applyNumberFormat="0" applyFill="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8" fillId="20" borderId="0" applyNumberFormat="0" applyBorder="0" applyAlignment="0" applyProtection="0">
      <alignment vertical="center"/>
    </xf>
    <xf numFmtId="0" fontId="49" fillId="21" borderId="0" applyNumberFormat="0" applyBorder="0" applyAlignment="0" applyProtection="0">
      <alignment vertical="center"/>
    </xf>
    <xf numFmtId="0" fontId="50" fillId="22" borderId="0" applyNumberFormat="0" applyBorder="0" applyAlignment="0" applyProtection="0">
      <alignment vertical="center"/>
    </xf>
    <xf numFmtId="0" fontId="50" fillId="3" borderId="0" applyNumberFormat="0" applyBorder="0" applyAlignment="0" applyProtection="0">
      <alignment vertical="center"/>
    </xf>
    <xf numFmtId="0" fontId="49" fillId="23" borderId="0" applyNumberFormat="0" applyBorder="0" applyAlignment="0" applyProtection="0">
      <alignment vertical="center"/>
    </xf>
    <xf numFmtId="0" fontId="49" fillId="24" borderId="0" applyNumberFormat="0" applyBorder="0" applyAlignment="0" applyProtection="0">
      <alignment vertical="center"/>
    </xf>
    <xf numFmtId="0" fontId="50" fillId="25" borderId="0" applyNumberFormat="0" applyBorder="0" applyAlignment="0" applyProtection="0">
      <alignment vertical="center"/>
    </xf>
    <xf numFmtId="0" fontId="50" fillId="26" borderId="0" applyNumberFormat="0" applyBorder="0" applyAlignment="0" applyProtection="0">
      <alignment vertical="center"/>
    </xf>
    <xf numFmtId="0" fontId="49" fillId="27" borderId="0" applyNumberFormat="0" applyBorder="0" applyAlignment="0" applyProtection="0">
      <alignment vertical="center"/>
    </xf>
    <xf numFmtId="0" fontId="49" fillId="28" borderId="0" applyNumberFormat="0" applyBorder="0" applyAlignment="0" applyProtection="0">
      <alignment vertical="center"/>
    </xf>
    <xf numFmtId="0" fontId="50" fillId="29" borderId="0" applyNumberFormat="0" applyBorder="0" applyAlignment="0" applyProtection="0">
      <alignment vertical="center"/>
    </xf>
    <xf numFmtId="0" fontId="50" fillId="30" borderId="0" applyNumberFormat="0" applyBorder="0" applyAlignment="0" applyProtection="0">
      <alignment vertical="center"/>
    </xf>
    <xf numFmtId="0" fontId="49" fillId="31" borderId="0" applyNumberFormat="0" applyBorder="0" applyAlignment="0" applyProtection="0">
      <alignment vertical="center"/>
    </xf>
    <xf numFmtId="0" fontId="49" fillId="32" borderId="0" applyNumberFormat="0" applyBorder="0" applyAlignment="0" applyProtection="0">
      <alignment vertical="center"/>
    </xf>
    <xf numFmtId="0" fontId="50" fillId="33" borderId="0" applyNumberFormat="0" applyBorder="0" applyAlignment="0" applyProtection="0">
      <alignment vertical="center"/>
    </xf>
    <xf numFmtId="0" fontId="50" fillId="34" borderId="0" applyNumberFormat="0" applyBorder="0" applyAlignment="0" applyProtection="0">
      <alignment vertical="center"/>
    </xf>
    <xf numFmtId="0" fontId="49" fillId="35" borderId="0" applyNumberFormat="0" applyBorder="0" applyAlignment="0" applyProtection="0">
      <alignment vertical="center"/>
    </xf>
    <xf numFmtId="0" fontId="49" fillId="36" borderId="0" applyNumberFormat="0" applyBorder="0" applyAlignment="0" applyProtection="0">
      <alignment vertical="center"/>
    </xf>
    <xf numFmtId="0" fontId="50" fillId="37" borderId="0" applyNumberFormat="0" applyBorder="0" applyAlignment="0" applyProtection="0">
      <alignment vertical="center"/>
    </xf>
    <xf numFmtId="0" fontId="50" fillId="38" borderId="0" applyNumberFormat="0" applyBorder="0" applyAlignment="0" applyProtection="0">
      <alignment vertical="center"/>
    </xf>
    <xf numFmtId="0" fontId="49" fillId="39" borderId="0" applyNumberFormat="0" applyBorder="0" applyAlignment="0" applyProtection="0">
      <alignment vertical="center"/>
    </xf>
    <xf numFmtId="0" fontId="49" fillId="40" borderId="0" applyNumberFormat="0" applyBorder="0" applyAlignment="0" applyProtection="0">
      <alignment vertical="center"/>
    </xf>
    <xf numFmtId="0" fontId="50" fillId="41" borderId="0" applyNumberFormat="0" applyBorder="0" applyAlignment="0" applyProtection="0">
      <alignment vertical="center"/>
    </xf>
    <xf numFmtId="0" fontId="50" fillId="42" borderId="0" applyNumberFormat="0" applyBorder="0" applyAlignment="0" applyProtection="0">
      <alignment vertical="center"/>
    </xf>
    <xf numFmtId="0" fontId="49" fillId="43" borderId="0" applyNumberFormat="0" applyBorder="0" applyAlignment="0" applyProtection="0">
      <alignment vertical="center"/>
    </xf>
  </cellStyleXfs>
  <cellXfs count="102">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2" borderId="0" xfId="0" applyFont="1" applyFill="1" applyAlignment="1">
      <alignment horizontal="center" vertical="center"/>
    </xf>
    <xf numFmtId="0" fontId="5" fillId="0" borderId="0" xfId="0" applyFont="1" applyFill="1" applyAlignment="1">
      <alignment horizontal="center" vertical="center"/>
    </xf>
    <xf numFmtId="0" fontId="6" fillId="5" borderId="1" xfId="0" applyFont="1" applyFill="1" applyBorder="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6"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6" fillId="5" borderId="3" xfId="0" applyFont="1" applyFill="1" applyBorder="1" applyAlignment="1">
      <alignment horizontal="center" vertical="center"/>
    </xf>
    <xf numFmtId="0" fontId="6" fillId="5" borderId="4" xfId="0" applyFont="1" applyFill="1" applyBorder="1" applyAlignment="1">
      <alignment horizontal="center" vertical="center"/>
    </xf>
    <xf numFmtId="0" fontId="6" fillId="5" borderId="5" xfId="0" applyFont="1" applyFill="1" applyBorder="1" applyAlignment="1">
      <alignment horizontal="center" vertical="center"/>
    </xf>
    <xf numFmtId="0" fontId="6"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6" fillId="5" borderId="1" xfId="0" applyNumberFormat="1" applyFont="1" applyFill="1" applyBorder="1" applyAlignment="1">
      <alignment horizontal="center" vertical="center"/>
    </xf>
    <xf numFmtId="49" fontId="6"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0" fontId="6" fillId="5" borderId="7" xfId="0" applyFont="1" applyFill="1" applyBorder="1" applyAlignment="1">
      <alignment horizontal="center" vertical="center"/>
    </xf>
    <xf numFmtId="177" fontId="6"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1" xfId="0" applyFont="1" applyFill="1" applyBorder="1" applyAlignment="1">
      <alignment horizontal="center" vertical="center"/>
    </xf>
    <xf numFmtId="0" fontId="0" fillId="7" borderId="0" xfId="0" applyFill="1">
      <alignment vertical="center"/>
    </xf>
    <xf numFmtId="0" fontId="9" fillId="3" borderId="0" xfId="0" applyFont="1" applyFill="1" applyAlignment="1">
      <alignment horizontal="center" vertical="center"/>
    </xf>
    <xf numFmtId="0" fontId="1" fillId="6" borderId="8" xfId="0" applyFont="1" applyFill="1" applyBorder="1" applyAlignment="1">
      <alignment horizontal="center" vertical="center"/>
    </xf>
    <xf numFmtId="0" fontId="7" fillId="8" borderId="9" xfId="0" applyFont="1" applyFill="1" applyBorder="1" applyAlignment="1">
      <alignment horizontal="center" vertical="center"/>
    </xf>
    <xf numFmtId="0" fontId="10" fillId="3" borderId="0" xfId="0" applyFont="1" applyFill="1" applyAlignment="1">
      <alignment horizontal="center" vertical="center"/>
    </xf>
    <xf numFmtId="0" fontId="10" fillId="7" borderId="0" xfId="0" applyFont="1" applyFill="1" applyAlignment="1">
      <alignment horizontal="center" vertical="center"/>
    </xf>
    <xf numFmtId="0" fontId="1" fillId="6" borderId="9" xfId="0" applyFont="1" applyFill="1" applyBorder="1" applyAlignment="1">
      <alignment horizontal="center" vertical="center"/>
    </xf>
    <xf numFmtId="178" fontId="1" fillId="6" borderId="9"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11" fillId="6" borderId="0" xfId="0" applyFont="1" applyFill="1" applyBorder="1" applyAlignment="1">
      <alignment horizontal="center" vertical="center"/>
    </xf>
    <xf numFmtId="0" fontId="12" fillId="6" borderId="0" xfId="0" applyFont="1" applyFill="1" applyBorder="1" applyAlignment="1">
      <alignment horizontal="center" vertical="center"/>
    </xf>
    <xf numFmtId="0" fontId="13" fillId="6" borderId="0" xfId="0" applyFont="1" applyFill="1" applyBorder="1" applyAlignment="1">
      <alignment horizontal="center" vertical="center"/>
    </xf>
    <xf numFmtId="22" fontId="13" fillId="6" borderId="0" xfId="0" applyNumberFormat="1" applyFont="1" applyFill="1" applyBorder="1" applyAlignment="1">
      <alignment horizontal="center" vertical="center"/>
    </xf>
    <xf numFmtId="0" fontId="6" fillId="0" borderId="0" xfId="0" applyFont="1" applyFill="1" applyBorder="1" applyAlignment="1">
      <alignment horizontal="center" vertical="center"/>
    </xf>
    <xf numFmtId="0" fontId="6" fillId="5" borderId="10" xfId="0" applyFont="1" applyFill="1" applyBorder="1" applyAlignment="1">
      <alignment horizontal="center" vertical="center"/>
    </xf>
    <xf numFmtId="0" fontId="2" fillId="6" borderId="10" xfId="0" applyFont="1" applyFill="1" applyBorder="1" applyAlignment="1">
      <alignment horizontal="center" vertical="center"/>
    </xf>
    <xf numFmtId="0" fontId="6" fillId="6" borderId="1" xfId="0" applyFont="1" applyFill="1" applyBorder="1" applyAlignment="1">
      <alignment horizontal="center" vertical="center"/>
    </xf>
    <xf numFmtId="179" fontId="6" fillId="6" borderId="1" xfId="0" applyNumberFormat="1" applyFont="1" applyFill="1" applyBorder="1" applyAlignment="1">
      <alignment horizontal="center" vertical="center"/>
    </xf>
    <xf numFmtId="0" fontId="14" fillId="0" borderId="10" xfId="0" applyFont="1" applyFill="1" applyBorder="1" applyAlignment="1">
      <alignment horizontal="center" vertical="center"/>
    </xf>
    <xf numFmtId="0" fontId="5" fillId="2" borderId="0" xfId="0" applyFont="1" applyFill="1" applyAlignment="1">
      <alignment horizontal="center" vertical="center"/>
    </xf>
    <xf numFmtId="0" fontId="7" fillId="0" borderId="10" xfId="0" applyFont="1" applyFill="1" applyBorder="1" applyAlignment="1">
      <alignment horizontal="center" vertical="center" wrapText="1"/>
    </xf>
    <xf numFmtId="0" fontId="15" fillId="9" borderId="0" xfId="0" applyFont="1" applyFill="1" applyAlignment="1">
      <alignment horizontal="center" vertical="center"/>
    </xf>
    <xf numFmtId="14" fontId="13" fillId="6" borderId="0" xfId="0" applyNumberFormat="1" applyFont="1" applyFill="1" applyBorder="1" applyAlignment="1">
      <alignment horizontal="center" vertical="center"/>
    </xf>
    <xf numFmtId="14" fontId="0" fillId="0" borderId="0" xfId="0" applyNumberFormat="1">
      <alignment vertical="center"/>
    </xf>
    <xf numFmtId="0" fontId="16" fillId="10" borderId="0" xfId="0" applyFont="1" applyFill="1" applyAlignment="1" applyProtection="1">
      <alignment horizontal="left" vertical="center"/>
    </xf>
    <xf numFmtId="0" fontId="17" fillId="11" borderId="0" xfId="0" applyFont="1" applyFill="1" applyAlignment="1" applyProtection="1">
      <alignment vertical="center"/>
    </xf>
    <xf numFmtId="0" fontId="18" fillId="11" borderId="0" xfId="0" applyFont="1" applyFill="1" applyAlignment="1" applyProtection="1">
      <alignment horizontal="left" vertical="center"/>
    </xf>
    <xf numFmtId="0" fontId="18" fillId="6" borderId="0" xfId="0" applyFont="1" applyFill="1" applyAlignment="1" applyProtection="1">
      <alignment horizontal="left" vertical="center"/>
    </xf>
    <xf numFmtId="49" fontId="19" fillId="6" borderId="0" xfId="0" applyNumberFormat="1" applyFont="1" applyFill="1" applyAlignment="1" applyProtection="1">
      <alignment horizontal="right" vertical="center"/>
    </xf>
    <xf numFmtId="0" fontId="20" fillId="6" borderId="0" xfId="0" applyFont="1" applyFill="1" applyAlignment="1" applyProtection="1">
      <alignment horizontal="left" vertical="center"/>
    </xf>
    <xf numFmtId="0" fontId="21" fillId="10" borderId="0" xfId="0" applyFont="1" applyFill="1" applyAlignment="1" applyProtection="1">
      <alignment horizontal="center" vertical="center"/>
    </xf>
    <xf numFmtId="49" fontId="22" fillId="10" borderId="0" xfId="0" applyNumberFormat="1" applyFont="1" applyFill="1" applyAlignment="1" applyProtection="1">
      <alignment horizontal="left" vertical="center"/>
    </xf>
    <xf numFmtId="49" fontId="16" fillId="10" borderId="0" xfId="0" applyNumberFormat="1" applyFont="1" applyFill="1" applyAlignment="1" applyProtection="1">
      <alignment horizontal="left" vertical="center"/>
    </xf>
    <xf numFmtId="49" fontId="23" fillId="11" borderId="0" xfId="0" applyNumberFormat="1" applyFont="1" applyFill="1" applyAlignment="1" applyProtection="1">
      <alignment horizontal="right" vertical="center"/>
    </xf>
    <xf numFmtId="49" fontId="23" fillId="6" borderId="0" xfId="0" applyNumberFormat="1" applyFont="1" applyFill="1" applyAlignment="1" applyProtection="1">
      <alignment horizontal="center" vertical="center"/>
    </xf>
    <xf numFmtId="49" fontId="24" fillId="12" borderId="0" xfId="0" applyNumberFormat="1" applyFont="1" applyFill="1" applyAlignment="1" applyProtection="1">
      <alignment horizontal="center" vertical="center" wrapText="1"/>
    </xf>
    <xf numFmtId="0" fontId="25" fillId="12" borderId="0" xfId="0" applyFont="1" applyFill="1" applyAlignment="1" applyProtection="1">
      <alignment horizontal="center" vertical="center" wrapText="1"/>
    </xf>
    <xf numFmtId="180" fontId="26" fillId="12" borderId="0" xfId="0" applyNumberFormat="1" applyFont="1" applyFill="1" applyAlignment="1" applyProtection="1">
      <alignment horizontal="right" vertical="center" indent="1"/>
    </xf>
    <xf numFmtId="0" fontId="27" fillId="12" borderId="0" xfId="0" applyFont="1" applyFill="1" applyAlignment="1" applyProtection="1">
      <alignment horizontal="center" vertical="center" wrapText="1"/>
    </xf>
    <xf numFmtId="49" fontId="25" fillId="12" borderId="0" xfId="0" applyNumberFormat="1" applyFont="1" applyFill="1" applyAlignment="1" applyProtection="1">
      <alignment horizontal="center" vertical="center" wrapText="1"/>
    </xf>
    <xf numFmtId="0" fontId="27" fillId="12" borderId="0" xfId="0" applyFont="1" applyFill="1" applyAlignment="1" applyProtection="1">
      <alignment vertical="center" wrapText="1"/>
    </xf>
    <xf numFmtId="49" fontId="19" fillId="13" borderId="0" xfId="0" applyNumberFormat="1" applyFont="1" applyFill="1" applyAlignment="1" applyProtection="1">
      <alignment horizontal="center" vertical="center" wrapText="1"/>
    </xf>
    <xf numFmtId="0" fontId="28" fillId="13" borderId="0" xfId="0" applyFont="1" applyFill="1" applyAlignment="1" applyProtection="1">
      <alignment horizontal="center" vertical="center" wrapText="1"/>
    </xf>
    <xf numFmtId="0" fontId="20" fillId="13" borderId="0" xfId="0" applyFont="1" applyFill="1" applyAlignment="1" applyProtection="1">
      <alignment horizontal="left" vertical="center"/>
    </xf>
    <xf numFmtId="0" fontId="29" fillId="3" borderId="0" xfId="0" applyFont="1" applyFill="1" applyAlignment="1">
      <alignment vertical="center"/>
    </xf>
    <xf numFmtId="0" fontId="30" fillId="3" borderId="0" xfId="0" applyFont="1" applyFill="1" applyAlignment="1">
      <alignment vertical="center"/>
    </xf>
    <xf numFmtId="0" fontId="31" fillId="3" borderId="0" xfId="0" applyFont="1" applyFill="1" applyAlignment="1">
      <alignment vertical="center"/>
    </xf>
    <xf numFmtId="0" fontId="31" fillId="3" borderId="0" xfId="0" applyFont="1" applyFill="1" applyBorder="1" applyAlignment="1">
      <alignment vertical="center"/>
    </xf>
    <xf numFmtId="0" fontId="6" fillId="3" borderId="0" xfId="0" applyFont="1" applyFill="1" applyAlignment="1">
      <alignment vertical="center"/>
    </xf>
    <xf numFmtId="0" fontId="6" fillId="3" borderId="0" xfId="0" applyFont="1" applyFill="1" applyBorder="1" applyAlignment="1">
      <alignment vertical="center"/>
    </xf>
    <xf numFmtId="0" fontId="29"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7" Type="http://schemas.openxmlformats.org/officeDocument/2006/relationships/styles" Target="styles.xml"/><Relationship Id="rId36" Type="http://schemas.microsoft.com/office/2006/relationships/vbaProject" Target="vbaProject.bin"/><Relationship Id="rId35" Type="http://schemas.openxmlformats.org/officeDocument/2006/relationships/sharedStrings" Target="sharedStrings.xml"/><Relationship Id="rId34" Type="http://schemas.openxmlformats.org/officeDocument/2006/relationships/theme" Target="theme/theme1.xml"/><Relationship Id="rId33" Type="http://schemas.openxmlformats.org/officeDocument/2006/relationships/externalLink" Target="externalLinks/externalLink1.xml"/><Relationship Id="rId32" Type="http://schemas.openxmlformats.org/officeDocument/2006/relationships/customXml" Target="../customXml/item1.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销售退货统计!$N$3:$U$3</c:f>
              <c:strCache>
                <c:ptCount val="8"/>
                <c:pt idx="0">
                  <c:v>B仓库</c:v>
                </c:pt>
              </c:strCache>
            </c:strRef>
          </c:cat>
          <c:val>
            <c:numRef>
              <c:f>销售退货统计!$N$4:$U$4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3820e598-4046-41bf-8924-0c78b13b6e60}"/>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销售退货统计!$N$3:$U$3</c:f>
              <c:strCache>
                <c:ptCount val="8"/>
                <c:pt idx="0">
                  <c:v>B仓库</c:v>
                </c:pt>
              </c:strCache>
            </c:strRef>
          </c:cat>
          <c:val>
            <c:numRef>
              <c:f>销售退货统计!$N$4:$U$4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2b68a73c-8af1-4aa8-9154-6a3ebcb0f516}"/>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采购退货统计!$N$3:$U$3</c:f>
              <c:strCache>
                <c:ptCount val="8"/>
                <c:pt idx="0">
                  <c:v>B仓库</c:v>
                </c:pt>
              </c:strCache>
            </c:strRef>
          </c:cat>
          <c:val>
            <c:numRef>
              <c:f>采购退货统计!$N$4:$U$4</c:f>
              <c:numCache>
                <c:formatCode>General</c:formatCode>
                <c:ptCount val="8"/>
                <c:pt idx="0">
                  <c:v>10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4.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采购退货统计!$N$3:$U$3</c:f>
              <c:strCache>
                <c:ptCount val="8"/>
                <c:pt idx="0">
                  <c:v>B仓库</c:v>
                </c:pt>
              </c:strCache>
            </c:strRef>
          </c:cat>
          <c:val>
            <c:numRef>
              <c:f>采购退货统计!$N$4:$U$4</c:f>
              <c:numCache>
                <c:formatCode>General</c:formatCode>
                <c:ptCount val="8"/>
                <c:pt idx="0">
                  <c:v>10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5.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manualLayout>
          <c:layoutTarget val="inner"/>
          <c:xMode val="edge"/>
          <c:yMode val="edge"/>
          <c:x val="0.0631052631578947"/>
          <c:y val="0.173398328690808"/>
          <c:w val="0.907947368421053"/>
          <c:h val="0.606174558960074"/>
        </c:manualLayout>
      </c:layout>
      <c:barChart>
        <c:barDir val="col"/>
        <c:grouping val="clustered"/>
        <c:varyColors val="0"/>
        <c:ser>
          <c:idx val="0"/>
          <c:order val="0"/>
          <c:tx>
            <c:strRef>
              <c:f>"数量"</c:f>
              <c:strCache>
                <c:ptCount val="1"/>
                <c:pt idx="0">
                  <c:v>数量</c:v>
                </c:pt>
              </c:strCache>
            </c:strRef>
          </c:tx>
          <c:spPr>
            <a:solidFill>
              <a:schemeClr val="accent1"/>
            </a:solidFill>
            <a:ln>
              <a:noFill/>
            </a:ln>
            <a:effectLst/>
          </c:spPr>
          <c:invertIfNegative val="0"/>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er>
        <c:dLbls>
          <c:showLegendKey val="0"/>
          <c:showVal val="0"/>
          <c:showCatName val="0"/>
          <c:showSerName val="0"/>
          <c:showPercent val="0"/>
          <c:showBubbleSize val="0"/>
        </c:dLbls>
        <c:gapWidth val="246"/>
        <c:overlap val="-28"/>
        <c:axId val="981913187"/>
        <c:axId val="831286833"/>
      </c:barChart>
      <c:catAx>
        <c:axId val="9819131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831286833"/>
        <c:crosses val="autoZero"/>
        <c:auto val="1"/>
        <c:lblAlgn val="ctr"/>
        <c:lblOffset val="100"/>
        <c:noMultiLvlLbl val="0"/>
      </c:catAx>
      <c:valAx>
        <c:axId val="831286833"/>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98191318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172cb74f-b374-482b-9147-02224f02e462}"/>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hart6.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0" vertOverflow="ellipsis" vert="horz" wrap="square" anchor="ctr" anchorCtr="1"/>
        <a:lstStyle/>
        <a:p>
          <a:pPr>
            <a:defRPr lang="zh-CN" sz="1400" b="1" i="0" u="none" strike="noStrike" kern="1200" baseline="0">
              <a:solidFill>
                <a:schemeClr val="tx1">
                  <a:lumMod val="75000"/>
                  <a:lumOff val="25000"/>
                </a:schemeClr>
              </a:solidFill>
              <a:latin typeface="+mn-lt"/>
              <a:ea typeface="+mn-ea"/>
              <a:cs typeface="+mn-cs"/>
            </a:defRPr>
          </a:pPr>
        </a:p>
      </c:txPr>
    </c:title>
    <c:autoTitleDeleted val="0"/>
    <c:plotArea>
      <c:layout/>
      <c:lineChart>
        <c:grouping val="standard"/>
        <c:varyColors val="0"/>
        <c:ser>
          <c:idx val="2"/>
          <c:order val="0"/>
          <c:tx>
            <c:strRef>
              <c:f>"数量"</c:f>
              <c:strCache>
                <c:ptCount val="1"/>
                <c:pt idx="0">
                  <c:v>数量</c:v>
                </c:pt>
              </c:strCache>
            </c:strRef>
          </c:tx>
          <c:spPr>
            <a:ln w="28575" cap="rnd">
              <a:solidFill>
                <a:schemeClr val="accent3"/>
              </a:solidFill>
              <a:round/>
            </a:ln>
            <a:effectLst/>
          </c:spPr>
          <c:marker>
            <c:symbol val="none"/>
          </c:marker>
          <c:dLbls>
            <c:delete val="1"/>
          </c:dLbls>
          <c:cat>
            <c:strRef>
              <c:f>进出明细统计!$N$3:$U$3</c:f>
              <c:strCache>
                <c:ptCount val="8"/>
                <c:pt idx="0">
                  <c:v>B仓库</c:v>
                </c:pt>
                <c:pt idx="1">
                  <c:v>A仓库</c:v>
                </c:pt>
              </c:strCache>
            </c:strRef>
          </c:cat>
          <c:val>
            <c:numRef>
              <c:f>进出明细统计!$N$4:$U$4</c:f>
              <c:numCache>
                <c:formatCode>General</c:formatCode>
                <c:ptCount val="8"/>
                <c:pt idx="0">
                  <c:v>50</c:v>
                </c:pt>
                <c:pt idx="1">
                  <c:v>30</c:v>
                </c:pt>
              </c:numCache>
            </c:numRef>
          </c:val>
          <c:smooth val="0"/>
        </c:ser>
        <c:dLbls>
          <c:showLegendKey val="0"/>
          <c:showVal val="0"/>
          <c:showCatName val="0"/>
          <c:showSerName val="0"/>
          <c:showPercent val="0"/>
          <c:showBubbleSize val="0"/>
        </c:dLbls>
        <c:marker val="0"/>
        <c:smooth val="0"/>
        <c:axId val="129799557"/>
        <c:axId val="493683554"/>
      </c:lineChart>
      <c:catAx>
        <c:axId val="12979955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493683554"/>
        <c:crosses val="autoZero"/>
        <c:auto val="1"/>
        <c:lblAlgn val="ctr"/>
        <c:lblOffset val="100"/>
        <c:noMultiLvlLbl val="0"/>
      </c:catAx>
      <c:valAx>
        <c:axId val="493683554"/>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129799557"/>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legend>
    <c:plotVisOnly val="1"/>
    <c:dispBlanksAs val="gap"/>
    <c:showDLblsOverMax val="0"/>
    <c:extLst>
      <c:ext uri="{0b15fc19-7d7d-44ad-8c2d-2c3a37ce22c3}">
        <chartProps xmlns="https://web.wps.cn/et/2018/main" chartId="{963c6c1f-1854-461e-ad61-b72c55fc712b}"/>
      </c:ext>
    </c:extLst>
  </c:chart>
  <c:spPr>
    <a:solidFill>
      <a:schemeClr val="bg1"/>
    </a:solidFill>
    <a:ln w="9525" cap="flat" cmpd="sng" algn="ctr">
      <a:solidFill>
        <a:schemeClr val="tx1">
          <a:lumMod val="15000"/>
          <a:lumOff val="85000"/>
        </a:schemeClr>
      </a:solidFill>
      <a:round/>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9" Type="http://schemas.openxmlformats.org/officeDocument/2006/relationships/hyperlink" Target="#&#36827;&#38144;&#23384;!A1"/><Relationship Id="rId8" Type="http://schemas.openxmlformats.org/officeDocument/2006/relationships/hyperlink" Target="#&#26126;&#32454;!A1"/><Relationship Id="rId7" Type="http://schemas.openxmlformats.org/officeDocument/2006/relationships/hyperlink" Target="#&#26399;&#21021;&#25968;!A1"/><Relationship Id="rId6" Type="http://schemas.openxmlformats.org/officeDocument/2006/relationships/hyperlink" Target="#&#20837;&#24211;!A1"/><Relationship Id="rId5" Type="http://schemas.openxmlformats.org/officeDocument/2006/relationships/hyperlink" Target="#&#22522;&#30784;&#36164;&#26009;!A1"/><Relationship Id="rId4" Type="http://schemas.openxmlformats.org/officeDocument/2006/relationships/hyperlink" Target="#'&#23458;&#25143;|&#20379;&#24212;&#21830;&#26597;&#35810;'!A1"/><Relationship Id="rId3" Type="http://schemas.openxmlformats.org/officeDocument/2006/relationships/hyperlink" Target="#&#20379;&#24212;&#21830;&#36164;&#26009;!A1"/><Relationship Id="rId26" Type="http://schemas.openxmlformats.org/officeDocument/2006/relationships/hyperlink" Target="#&#20179;&#24211;&#36164;&#26009;!A1"/><Relationship Id="rId25" Type="http://schemas.openxmlformats.org/officeDocument/2006/relationships/hyperlink" Target="#&#26399;&#26411;&#25968;!A1"/><Relationship Id="rId24" Type="http://schemas.openxmlformats.org/officeDocument/2006/relationships/hyperlink" Target="#&#24211;&#23384;&#31215;&#21387;&#32479;&#35745;!A1"/><Relationship Id="rId23" Type="http://schemas.openxmlformats.org/officeDocument/2006/relationships/hyperlink" Target="#&#37319;&#36141;&#26410;&#20837;&#24211;&#26126;&#32454;!A1"/><Relationship Id="rId22" Type="http://schemas.openxmlformats.org/officeDocument/2006/relationships/hyperlink" Target="#&#36827;&#20986;&#26126;&#32454;&#32479;&#35745;!A1"/><Relationship Id="rId21" Type="http://schemas.openxmlformats.org/officeDocument/2006/relationships/hyperlink" Target="#&#37319;&#36141;&#21333;!A1"/><Relationship Id="rId20" Type="http://schemas.openxmlformats.org/officeDocument/2006/relationships/hyperlink" Target="#&#37319;&#36141;&#36864;&#36135;&#32479;&#35745;!A1"/><Relationship Id="rId2" Type="http://schemas.openxmlformats.org/officeDocument/2006/relationships/hyperlink" Target="#&#23458;&#25143;&#36164;&#26009;!A1"/><Relationship Id="rId19" Type="http://schemas.openxmlformats.org/officeDocument/2006/relationships/hyperlink" Target="#&#38144;&#21806;&#36864;&#36135;&#32479;&#35745;!A1"/><Relationship Id="rId18" Type="http://schemas.openxmlformats.org/officeDocument/2006/relationships/hyperlink" Target="#&#37319;&#36141;&#36864;&#36135;!A1"/><Relationship Id="rId17" Type="http://schemas.openxmlformats.org/officeDocument/2006/relationships/hyperlink" Target="#&#38144;&#21806;&#36864;&#36135;!A1"/><Relationship Id="rId16" Type="http://schemas.openxmlformats.org/officeDocument/2006/relationships/hyperlink" Target="#&#24211;&#23384;&#30424;&#28857;!A1"/><Relationship Id="rId15" Type="http://schemas.openxmlformats.org/officeDocument/2006/relationships/hyperlink" Target="#&#24211;&#23384;&#35843;&#25320;!A1"/><Relationship Id="rId14" Type="http://schemas.openxmlformats.org/officeDocument/2006/relationships/hyperlink" Target="#&#21830;&#21697;&#36827;&#20986;&#26597;&#35810;!A1"/><Relationship Id="rId13" Type="http://schemas.openxmlformats.org/officeDocument/2006/relationships/hyperlink" Target="#&#20108;&#32500;&#30721;&#25171;&#21360;!A1"/><Relationship Id="rId12" Type="http://schemas.openxmlformats.org/officeDocument/2006/relationships/hyperlink" Target="#&#20986;&#24211;!A1"/><Relationship Id="rId11" Type="http://schemas.openxmlformats.org/officeDocument/2006/relationships/hyperlink" Target="#&#29992;&#25143;&#31649;&#29702;!A1"/><Relationship Id="rId10" Type="http://schemas.openxmlformats.org/officeDocument/2006/relationships/hyperlink" Target="#&#31508;&#35760;!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8.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0.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1.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2.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3.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5.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16.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2.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1.xml"/></Relationships>
</file>

<file path=xl/drawings/_rels/drawing17.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4.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3.xml"/></Relationships>
</file>

<file path=xl/drawings/_rels/drawing18.xml.rels><?xml version="1.0" encoding="UTF-8" standalone="yes"?>
<Relationships xmlns="http://schemas.openxmlformats.org/package/2006/relationships"><Relationship Id="rId9" Type="http://schemas.openxmlformats.org/officeDocument/2006/relationships/hyperlink" Target="#&#36827;&#20986;&#26126;&#32454;&#32479;&#35745;!A1"/><Relationship Id="rId8" Type="http://schemas.openxmlformats.org/officeDocument/2006/relationships/hyperlink" Target="#&#37319;&#36141;&#36864;&#36135;&#32479;&#35745;!A1"/><Relationship Id="rId7" Type="http://schemas.openxmlformats.org/officeDocument/2006/relationships/hyperlink" Target="#&#38144;&#21806;&#36864;&#36135;&#32479;&#35745;!A1"/><Relationship Id="rId6" Type="http://schemas.openxmlformats.org/officeDocument/2006/relationships/hyperlink" Target="#&#37319;&#36141;&#36864;&#36135;!A1"/><Relationship Id="rId5" Type="http://schemas.openxmlformats.org/officeDocument/2006/relationships/hyperlink" Target="#&#38144;&#21806;&#36864;&#36135;!A1"/><Relationship Id="rId4" Type="http://schemas.openxmlformats.org/officeDocument/2006/relationships/hyperlink" Target="#&#24211;&#23384;&#30424;&#28857;!A1"/><Relationship Id="rId3" Type="http://schemas.openxmlformats.org/officeDocument/2006/relationships/hyperlink" Target="#&#24211;&#23384;&#35843;&#25320;!A1"/><Relationship Id="rId2" Type="http://schemas.openxmlformats.org/officeDocument/2006/relationships/chart" Target="../charts/chart6.xml"/><Relationship Id="rId14" Type="http://schemas.openxmlformats.org/officeDocument/2006/relationships/hyperlink" Target="#&#37319;&#36141;&#26410;&#20837;&#24211;&#26126;&#32454;!A1"/><Relationship Id="rId13" Type="http://schemas.openxmlformats.org/officeDocument/2006/relationships/hyperlink" Target="#&#20179;&#24211;&#36164;&#26009;!A1"/><Relationship Id="rId12" Type="http://schemas.openxmlformats.org/officeDocument/2006/relationships/hyperlink" Target="#&#26399;&#26411;&#25968;!A1"/><Relationship Id="rId11" Type="http://schemas.openxmlformats.org/officeDocument/2006/relationships/hyperlink" Target="#&#24211;&#23384;&#31215;&#21387;&#32479;&#35745;!A1"/><Relationship Id="rId10" Type="http://schemas.openxmlformats.org/officeDocument/2006/relationships/hyperlink" Target="#&#37319;&#36141;&#21333;!A1"/><Relationship Id="rId1" Type="http://schemas.openxmlformats.org/officeDocument/2006/relationships/chart" Target="../charts/chart5.xml"/></Relationships>
</file>

<file path=xl/drawings/_rels/drawing19.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27.xml.rels><?xml version="1.0" encoding="UTF-8" standalone="yes"?>
<Relationships xmlns="http://schemas.openxmlformats.org/package/2006/relationships"><Relationship Id="rId9" Type="http://schemas.openxmlformats.org/officeDocument/2006/relationships/hyperlink" Target="#&#24211;&#23384;&#31215;&#21387;&#32479;&#35745;!A1"/><Relationship Id="rId8" Type="http://schemas.openxmlformats.org/officeDocument/2006/relationships/hyperlink" Target="#&#37319;&#36141;&#21333;!A1"/><Relationship Id="rId7" Type="http://schemas.openxmlformats.org/officeDocument/2006/relationships/hyperlink" Target="#&#36827;&#20986;&#26126;&#32454;&#32479;&#35745;!A1"/><Relationship Id="rId6" Type="http://schemas.openxmlformats.org/officeDocument/2006/relationships/hyperlink" Target="#&#37319;&#36141;&#36864;&#36135;&#32479;&#35745;!A1"/><Relationship Id="rId5" Type="http://schemas.openxmlformats.org/officeDocument/2006/relationships/hyperlink" Target="#&#38144;&#21806;&#36864;&#36135;&#32479;&#35745;!A1"/><Relationship Id="rId4" Type="http://schemas.openxmlformats.org/officeDocument/2006/relationships/hyperlink" Target="#&#37319;&#36141;&#36864;&#36135;!A1"/><Relationship Id="rId3" Type="http://schemas.openxmlformats.org/officeDocument/2006/relationships/hyperlink" Target="#&#38144;&#21806;&#36864;&#36135;!A1"/><Relationship Id="rId2" Type="http://schemas.openxmlformats.org/officeDocument/2006/relationships/hyperlink" Target="#&#24211;&#23384;&#30424;&#28857;!A1"/><Relationship Id="rId12" Type="http://schemas.openxmlformats.org/officeDocument/2006/relationships/hyperlink" Target="#&#37319;&#36141;&#26410;&#20837;&#24211;&#26126;&#32454;!A1"/><Relationship Id="rId11" Type="http://schemas.openxmlformats.org/officeDocument/2006/relationships/hyperlink" Target="#&#20179;&#24211;&#36164;&#26009;!A1"/><Relationship Id="rId10" Type="http://schemas.openxmlformats.org/officeDocument/2006/relationships/hyperlink" Target="#&#26399;&#26411;&#25968;!A1"/><Relationship Id="rId1" Type="http://schemas.openxmlformats.org/officeDocument/2006/relationships/hyperlink" Target="#&#24211;&#23384;&#35843;&#25320;!A1"/></Relationships>
</file>

<file path=xl/drawings/_rels/drawing30.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27</xdr:col>
      <xdr:colOff>257175</xdr:colOff>
      <xdr:row>6</xdr:row>
      <xdr:rowOff>161925</xdr:rowOff>
    </xdr:from>
    <xdr:to>
      <xdr:col>33</xdr:col>
      <xdr:colOff>40005</xdr:colOff>
      <xdr:row>9</xdr:row>
      <xdr:rowOff>180975</xdr:rowOff>
    </xdr:to>
    <xdr:sp macro="[1]!asht10">
      <xdr:nvSpPr>
        <xdr:cNvPr id="7" name="圆角矩形 14">
          <a:hlinkClick xmlns:r="http://schemas.openxmlformats.org/officeDocument/2006/relationships" r:id="rId2"/>
        </xdr:cNvPr>
        <xdr:cNvSpPr/>
      </xdr:nvSpPr>
      <xdr:spPr>
        <a:xfrm>
          <a:off x="77152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6</xdr:row>
      <xdr:rowOff>161925</xdr:rowOff>
    </xdr:from>
    <xdr:to>
      <xdr:col>38</xdr:col>
      <xdr:colOff>268605</xdr:colOff>
      <xdr:row>9</xdr:row>
      <xdr:rowOff>180975</xdr:rowOff>
    </xdr:to>
    <xdr:sp macro="[1]!asht11">
      <xdr:nvSpPr>
        <xdr:cNvPr id="8" name="圆角矩形 16">
          <a:hlinkClick xmlns:r="http://schemas.openxmlformats.org/officeDocument/2006/relationships" r:id="rId3"/>
        </xdr:cNvPr>
        <xdr:cNvSpPr/>
      </xdr:nvSpPr>
      <xdr:spPr>
        <a:xfrm>
          <a:off x="932497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6</xdr:row>
      <xdr:rowOff>161925</xdr:rowOff>
    </xdr:from>
    <xdr:to>
      <xdr:col>16</xdr:col>
      <xdr:colOff>31115</xdr:colOff>
      <xdr:row>9</xdr:row>
      <xdr:rowOff>180975</xdr:rowOff>
    </xdr:to>
    <xdr:sp macro="[1]!asht8">
      <xdr:nvSpPr>
        <xdr:cNvPr id="10" name="圆角矩形 4">
          <a:hlinkClick xmlns:r="http://schemas.openxmlformats.org/officeDocument/2006/relationships" r:id="rId4"/>
        </xdr:cNvPr>
        <xdr:cNvSpPr/>
      </xdr:nvSpPr>
      <xdr:spPr>
        <a:xfrm>
          <a:off x="3010535"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a:t>
          </a:r>
          <a:r>
            <a:rPr lang="en-US" altLang="zh-CN" sz="1600" b="1">
              <a:latin typeface="微软雅黑" panose="020B0503020204020204" charset="-122"/>
              <a:ea typeface="微软雅黑" panose="020B0503020204020204" charset="-122"/>
            </a:rPr>
            <a:t>/</a:t>
          </a:r>
          <a:r>
            <a:rPr lang="zh-CN" altLang="en-US" sz="1600" b="1">
              <a:latin typeface="微软雅黑" panose="020B0503020204020204" charset="-122"/>
              <a:ea typeface="微软雅黑" panose="020B0503020204020204" charset="-122"/>
            </a:rPr>
            <a:t>供应商</a:t>
          </a:r>
          <a:endParaRPr lang="zh-CN" altLang="en-US" sz="1600" b="1">
            <a:latin typeface="微软雅黑" panose="020B0503020204020204" charset="-122"/>
            <a:ea typeface="微软雅黑" panose="020B0503020204020204" charset="-122"/>
          </a:endParaRPr>
        </a:p>
        <a:p>
          <a:pPr algn="ctr"/>
          <a:r>
            <a:rPr lang="zh-CN" altLang="en-US" sz="1600" b="1">
              <a:latin typeface="微软雅黑" panose="020B0503020204020204" charset="-122"/>
              <a:ea typeface="微软雅黑" panose="020B0503020204020204" charset="-122"/>
            </a:rPr>
            <a:t>查询</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6</xdr:row>
      <xdr:rowOff>161925</xdr:rowOff>
    </xdr:from>
    <xdr:to>
      <xdr:col>27</xdr:col>
      <xdr:colOff>160655</xdr:colOff>
      <xdr:row>9</xdr:row>
      <xdr:rowOff>180975</xdr:rowOff>
    </xdr:to>
    <xdr:sp macro="[1]!asht9">
      <xdr:nvSpPr>
        <xdr:cNvPr id="11" name="圆角矩形 8">
          <a:hlinkClick xmlns:r="http://schemas.openxmlformats.org/officeDocument/2006/relationships" r:id="rId5"/>
        </xdr:cNvPr>
        <xdr:cNvSpPr/>
      </xdr:nvSpPr>
      <xdr:spPr>
        <a:xfrm>
          <a:off x="6178550" y="146494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3</xdr:row>
      <xdr:rowOff>57785</xdr:rowOff>
    </xdr:from>
    <xdr:to>
      <xdr:col>16</xdr:col>
      <xdr:colOff>31115</xdr:colOff>
      <xdr:row>6</xdr:row>
      <xdr:rowOff>76835</xdr:rowOff>
    </xdr:to>
    <xdr:sp macro="[1]!asht4">
      <xdr:nvSpPr>
        <xdr:cNvPr id="12" name="圆角矩形 3">
          <a:hlinkClick xmlns:r="http://schemas.openxmlformats.org/officeDocument/2006/relationships" r:id="rId6"/>
        </xdr:cNvPr>
        <xdr:cNvSpPr/>
      </xdr:nvSpPr>
      <xdr:spPr>
        <a:xfrm>
          <a:off x="301053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3</xdr:row>
      <xdr:rowOff>57785</xdr:rowOff>
    </xdr:from>
    <xdr:to>
      <xdr:col>27</xdr:col>
      <xdr:colOff>160655</xdr:colOff>
      <xdr:row>6</xdr:row>
      <xdr:rowOff>76835</xdr:rowOff>
    </xdr:to>
    <xdr:sp macro="[1]!asht5">
      <xdr:nvSpPr>
        <xdr:cNvPr id="13" name="圆角矩形 7">
          <a:hlinkClick xmlns:r="http://schemas.openxmlformats.org/officeDocument/2006/relationships" r:id="rId7"/>
        </xdr:cNvPr>
        <xdr:cNvSpPr/>
      </xdr:nvSpPr>
      <xdr:spPr>
        <a:xfrm>
          <a:off x="61785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3</xdr:row>
      <xdr:rowOff>57785</xdr:rowOff>
    </xdr:from>
    <xdr:to>
      <xdr:col>33</xdr:col>
      <xdr:colOff>40005</xdr:colOff>
      <xdr:row>6</xdr:row>
      <xdr:rowOff>76835</xdr:rowOff>
    </xdr:to>
    <xdr:sp macro="[1]!asht6">
      <xdr:nvSpPr>
        <xdr:cNvPr id="14" name="圆角矩形 13">
          <a:hlinkClick xmlns:r="http://schemas.openxmlformats.org/officeDocument/2006/relationships" r:id="rId8"/>
        </xdr:cNvPr>
        <xdr:cNvSpPr/>
      </xdr:nvSpPr>
      <xdr:spPr>
        <a:xfrm>
          <a:off x="77152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3</xdr:row>
      <xdr:rowOff>57785</xdr:rowOff>
    </xdr:from>
    <xdr:to>
      <xdr:col>38</xdr:col>
      <xdr:colOff>268605</xdr:colOff>
      <xdr:row>6</xdr:row>
      <xdr:rowOff>76835</xdr:rowOff>
    </xdr:to>
    <xdr:sp macro="[1]!asht7">
      <xdr:nvSpPr>
        <xdr:cNvPr id="15" name="圆角矩形 15">
          <a:hlinkClick xmlns:r="http://schemas.openxmlformats.org/officeDocument/2006/relationships" r:id="rId9"/>
        </xdr:cNvPr>
        <xdr:cNvSpPr/>
      </xdr:nvSpPr>
      <xdr:spPr>
        <a:xfrm>
          <a:off x="9324975"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10</xdr:row>
      <xdr:rowOff>60960</xdr:rowOff>
    </xdr:from>
    <xdr:to>
      <xdr:col>16</xdr:col>
      <xdr:colOff>31115</xdr:colOff>
      <xdr:row>13</xdr:row>
      <xdr:rowOff>80010</xdr:rowOff>
    </xdr:to>
    <xdr:sp macro="[1]!asht12">
      <xdr:nvSpPr>
        <xdr:cNvPr id="16" name="圆角矩形 15">
          <a:hlinkClick xmlns:r="http://schemas.openxmlformats.org/officeDocument/2006/relationships" r:id="rId10"/>
        </xdr:cNvPr>
        <xdr:cNvSpPr/>
      </xdr:nvSpPr>
      <xdr:spPr>
        <a:xfrm>
          <a:off x="301053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10</xdr:row>
      <xdr:rowOff>60960</xdr:rowOff>
    </xdr:from>
    <xdr:to>
      <xdr:col>21</xdr:col>
      <xdr:colOff>243205</xdr:colOff>
      <xdr:row>13</xdr:row>
      <xdr:rowOff>80010</xdr:rowOff>
    </xdr:to>
    <xdr:sp macro="[1]!asht13">
      <xdr:nvSpPr>
        <xdr:cNvPr id="17" name="圆角矩形 8">
          <a:hlinkClick xmlns:r="http://schemas.openxmlformats.org/officeDocument/2006/relationships" r:id="rId11"/>
        </xdr:cNvPr>
        <xdr:cNvSpPr/>
      </xdr:nvSpPr>
      <xdr:spPr>
        <a:xfrm>
          <a:off x="46037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3</xdr:row>
      <xdr:rowOff>57785</xdr:rowOff>
    </xdr:from>
    <xdr:to>
      <xdr:col>21</xdr:col>
      <xdr:colOff>243205</xdr:colOff>
      <xdr:row>6</xdr:row>
      <xdr:rowOff>76835</xdr:rowOff>
    </xdr:to>
    <xdr:sp macro="[1]!asht14">
      <xdr:nvSpPr>
        <xdr:cNvPr id="18" name="圆角矩形 3">
          <a:hlinkClick xmlns:r="http://schemas.openxmlformats.org/officeDocument/2006/relationships" r:id="rId12"/>
        </xdr:cNvPr>
        <xdr:cNvSpPr/>
      </xdr:nvSpPr>
      <xdr:spPr>
        <a:xfrm>
          <a:off x="4603750" y="70929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10</xdr:row>
      <xdr:rowOff>60960</xdr:rowOff>
    </xdr:from>
    <xdr:to>
      <xdr:col>27</xdr:col>
      <xdr:colOff>160655</xdr:colOff>
      <xdr:row>13</xdr:row>
      <xdr:rowOff>80010</xdr:rowOff>
    </xdr:to>
    <xdr:sp macro="[1]!asht18">
      <xdr:nvSpPr>
        <xdr:cNvPr id="19" name="圆角矩形 8">
          <a:hlinkClick xmlns:r="http://schemas.openxmlformats.org/officeDocument/2006/relationships" r:id="rId13"/>
        </xdr:cNvPr>
        <xdr:cNvSpPr/>
      </xdr:nvSpPr>
      <xdr:spPr>
        <a:xfrm>
          <a:off x="61785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6</xdr:row>
      <xdr:rowOff>165735</xdr:rowOff>
    </xdr:from>
    <xdr:to>
      <xdr:col>21</xdr:col>
      <xdr:colOff>243205</xdr:colOff>
      <xdr:row>9</xdr:row>
      <xdr:rowOff>184785</xdr:rowOff>
    </xdr:to>
    <xdr:sp macro="[1]!asht15">
      <xdr:nvSpPr>
        <xdr:cNvPr id="20" name="圆角矩形 19">
          <a:hlinkClick xmlns:r="http://schemas.openxmlformats.org/officeDocument/2006/relationships" r:id="rId14"/>
        </xdr:cNvPr>
        <xdr:cNvSpPr/>
      </xdr:nvSpPr>
      <xdr:spPr>
        <a:xfrm>
          <a:off x="4603750" y="14687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商品进出查询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10</xdr:row>
      <xdr:rowOff>60960</xdr:rowOff>
    </xdr:from>
    <xdr:to>
      <xdr:col>33</xdr:col>
      <xdr:colOff>40005</xdr:colOff>
      <xdr:row>13</xdr:row>
      <xdr:rowOff>80010</xdr:rowOff>
    </xdr:to>
    <xdr:sp macro="[1]!asht13">
      <xdr:nvSpPr>
        <xdr:cNvPr id="21" name="圆角矩形 8">
          <a:hlinkClick xmlns:r="http://schemas.openxmlformats.org/officeDocument/2006/relationships" r:id="rId15"/>
        </xdr:cNvPr>
        <xdr:cNvSpPr/>
      </xdr:nvSpPr>
      <xdr:spPr>
        <a:xfrm>
          <a:off x="7715250"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库存调拨</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10</xdr:row>
      <xdr:rowOff>60960</xdr:rowOff>
    </xdr:from>
    <xdr:to>
      <xdr:col>38</xdr:col>
      <xdr:colOff>268605</xdr:colOff>
      <xdr:row>13</xdr:row>
      <xdr:rowOff>80010</xdr:rowOff>
    </xdr:to>
    <xdr:sp macro="[1]!asht18">
      <xdr:nvSpPr>
        <xdr:cNvPr id="22" name="圆角矩形 8">
          <a:hlinkClick xmlns:r="http://schemas.openxmlformats.org/officeDocument/2006/relationships" r:id="rId16"/>
        </xdr:cNvPr>
        <xdr:cNvSpPr/>
      </xdr:nvSpPr>
      <xdr:spPr>
        <a:xfrm>
          <a:off x="9324975" y="2232660"/>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库存盘点</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13</xdr:row>
      <xdr:rowOff>156845</xdr:rowOff>
    </xdr:from>
    <xdr:to>
      <xdr:col>16</xdr:col>
      <xdr:colOff>31115</xdr:colOff>
      <xdr:row>16</xdr:row>
      <xdr:rowOff>175895</xdr:rowOff>
    </xdr:to>
    <xdr:sp macro="[1]!asht13">
      <xdr:nvSpPr>
        <xdr:cNvPr id="24" name="圆角矩形 8">
          <a:hlinkClick xmlns:r="http://schemas.openxmlformats.org/officeDocument/2006/relationships" r:id="rId17"/>
        </xdr:cNvPr>
        <xdr:cNvSpPr/>
      </xdr:nvSpPr>
      <xdr:spPr>
        <a:xfrm>
          <a:off x="301053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a:t>
          </a:r>
          <a:endParaRPr lang="en-US" altLang="zh-CN" sz="1600" b="1">
            <a:latin typeface="微软雅黑" panose="020B0503020204020204" charset="-122"/>
            <a:ea typeface="微软雅黑" panose="020B0503020204020204" charset="-122"/>
          </a:endParaRPr>
        </a:p>
      </xdr:txBody>
    </xdr:sp>
    <xdr:clientData/>
  </xdr:twoCellAnchor>
  <xdr:twoCellAnchor>
    <xdr:from>
      <xdr:col>16</xdr:col>
      <xdr:colOff>184150</xdr:colOff>
      <xdr:row>13</xdr:row>
      <xdr:rowOff>156845</xdr:rowOff>
    </xdr:from>
    <xdr:to>
      <xdr:col>21</xdr:col>
      <xdr:colOff>243205</xdr:colOff>
      <xdr:row>16</xdr:row>
      <xdr:rowOff>175895</xdr:rowOff>
    </xdr:to>
    <xdr:sp macro="[1]!asht18">
      <xdr:nvSpPr>
        <xdr:cNvPr id="26" name="圆角矩形 8">
          <a:hlinkClick xmlns:r="http://schemas.openxmlformats.org/officeDocument/2006/relationships" r:id="rId18"/>
        </xdr:cNvPr>
        <xdr:cNvSpPr/>
      </xdr:nvSpPr>
      <xdr:spPr>
        <a:xfrm>
          <a:off x="46037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13</xdr:row>
      <xdr:rowOff>156845</xdr:rowOff>
    </xdr:from>
    <xdr:to>
      <xdr:col>27</xdr:col>
      <xdr:colOff>160655</xdr:colOff>
      <xdr:row>16</xdr:row>
      <xdr:rowOff>175895</xdr:rowOff>
    </xdr:to>
    <xdr:sp macro="[1]!asht13">
      <xdr:nvSpPr>
        <xdr:cNvPr id="32" name="圆角矩形 8">
          <a:hlinkClick xmlns:r="http://schemas.openxmlformats.org/officeDocument/2006/relationships" r:id="rId19"/>
        </xdr:cNvPr>
        <xdr:cNvSpPr/>
      </xdr:nvSpPr>
      <xdr:spPr>
        <a:xfrm>
          <a:off x="61785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销售退货统计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13</xdr:row>
      <xdr:rowOff>156845</xdr:rowOff>
    </xdr:from>
    <xdr:to>
      <xdr:col>33</xdr:col>
      <xdr:colOff>40005</xdr:colOff>
      <xdr:row>16</xdr:row>
      <xdr:rowOff>175895</xdr:rowOff>
    </xdr:to>
    <xdr:sp macro="[1]!asht18">
      <xdr:nvSpPr>
        <xdr:cNvPr id="40" name="圆角矩形 8">
          <a:hlinkClick xmlns:r="http://schemas.openxmlformats.org/officeDocument/2006/relationships" r:id="rId20"/>
        </xdr:cNvPr>
        <xdr:cNvSpPr/>
      </xdr:nvSpPr>
      <xdr:spPr>
        <a:xfrm>
          <a:off x="7715250"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采购退货统计</a:t>
          </a:r>
          <a:endParaRPr lang="zh-CN" altLang="en-US" sz="1600" b="1">
            <a:latin typeface="微软雅黑" panose="020B0503020204020204" charset="-122"/>
            <a:ea typeface="微软雅黑" panose="020B0503020204020204" charset="-122"/>
          </a:endParaRPr>
        </a:p>
      </xdr:txBody>
    </xdr:sp>
    <xdr:clientData/>
  </xdr:twoCellAnchor>
  <xdr:twoCellAnchor>
    <xdr:from>
      <xdr:col>10</xdr:col>
      <xdr:colOff>248285</xdr:colOff>
      <xdr:row>17</xdr:row>
      <xdr:rowOff>50165</xdr:rowOff>
    </xdr:from>
    <xdr:to>
      <xdr:col>16</xdr:col>
      <xdr:colOff>31115</xdr:colOff>
      <xdr:row>20</xdr:row>
      <xdr:rowOff>69215</xdr:rowOff>
    </xdr:to>
    <xdr:sp macro="[1]!asht13">
      <xdr:nvSpPr>
        <xdr:cNvPr id="41" name="圆角矩形 8">
          <a:hlinkClick xmlns:r="http://schemas.openxmlformats.org/officeDocument/2006/relationships" r:id="rId21"/>
        </xdr:cNvPr>
        <xdr:cNvSpPr/>
      </xdr:nvSpPr>
      <xdr:spPr>
        <a:xfrm>
          <a:off x="301053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采购单</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13</xdr:row>
      <xdr:rowOff>156845</xdr:rowOff>
    </xdr:from>
    <xdr:to>
      <xdr:col>38</xdr:col>
      <xdr:colOff>268605</xdr:colOff>
      <xdr:row>16</xdr:row>
      <xdr:rowOff>175895</xdr:rowOff>
    </xdr:to>
    <xdr:sp macro="[1]!asht18">
      <xdr:nvSpPr>
        <xdr:cNvPr id="42" name="圆角矩形 8">
          <a:hlinkClick xmlns:r="http://schemas.openxmlformats.org/officeDocument/2006/relationships" r:id="rId22"/>
        </xdr:cNvPr>
        <xdr:cNvSpPr/>
      </xdr:nvSpPr>
      <xdr:spPr>
        <a:xfrm>
          <a:off x="9324975" y="2980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进出明细统计</a:t>
          </a:r>
          <a:endParaRPr lang="zh-CN" altLang="en-US" sz="1600" b="1">
            <a:latin typeface="微软雅黑" panose="020B0503020204020204" charset="-122"/>
            <a:ea typeface="微软雅黑" panose="020B0503020204020204" charset="-122"/>
          </a:endParaRPr>
        </a:p>
      </xdr:txBody>
    </xdr:sp>
    <xdr:clientData/>
  </xdr:twoCellAnchor>
  <xdr:twoCellAnchor>
    <xdr:from>
      <xdr:col>16</xdr:col>
      <xdr:colOff>184150</xdr:colOff>
      <xdr:row>17</xdr:row>
      <xdr:rowOff>50165</xdr:rowOff>
    </xdr:from>
    <xdr:to>
      <xdr:col>21</xdr:col>
      <xdr:colOff>243205</xdr:colOff>
      <xdr:row>20</xdr:row>
      <xdr:rowOff>69215</xdr:rowOff>
    </xdr:to>
    <xdr:sp macro="[1]!asht13">
      <xdr:nvSpPr>
        <xdr:cNvPr id="43" name="圆角矩形 8">
          <a:hlinkClick xmlns:r="http://schemas.openxmlformats.org/officeDocument/2006/relationships" r:id="rId23"/>
        </xdr:cNvPr>
        <xdr:cNvSpPr/>
      </xdr:nvSpPr>
      <xdr:spPr>
        <a:xfrm>
          <a:off x="46037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采购未入库明细</a:t>
          </a:r>
          <a:endParaRPr lang="zh-CN" altLang="en-US" sz="1600" b="1">
            <a:latin typeface="微软雅黑" panose="020B0503020204020204" charset="-122"/>
            <a:ea typeface="微软雅黑" panose="020B0503020204020204" charset="-122"/>
          </a:endParaRPr>
        </a:p>
      </xdr:txBody>
    </xdr:sp>
    <xdr:clientData/>
  </xdr:twoCellAnchor>
  <xdr:twoCellAnchor>
    <xdr:from>
      <xdr:col>22</xdr:col>
      <xdr:colOff>101600</xdr:colOff>
      <xdr:row>17</xdr:row>
      <xdr:rowOff>50165</xdr:rowOff>
    </xdr:from>
    <xdr:to>
      <xdr:col>27</xdr:col>
      <xdr:colOff>160655</xdr:colOff>
      <xdr:row>20</xdr:row>
      <xdr:rowOff>69215</xdr:rowOff>
    </xdr:to>
    <xdr:sp macro="[1]!asht18">
      <xdr:nvSpPr>
        <xdr:cNvPr id="44" name="圆角矩形 8">
          <a:hlinkClick xmlns:r="http://schemas.openxmlformats.org/officeDocument/2006/relationships" r:id="rId24"/>
        </xdr:cNvPr>
        <xdr:cNvSpPr/>
      </xdr:nvSpPr>
      <xdr:spPr>
        <a:xfrm>
          <a:off x="61785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库存积压统计</a:t>
          </a:r>
          <a:endParaRPr lang="zh-CN" altLang="en-US" sz="1600" b="1">
            <a:latin typeface="微软雅黑" panose="020B0503020204020204" charset="-122"/>
            <a:ea typeface="微软雅黑" panose="020B0503020204020204" charset="-122"/>
          </a:endParaRPr>
        </a:p>
      </xdr:txBody>
    </xdr:sp>
    <xdr:clientData/>
  </xdr:twoCellAnchor>
  <xdr:twoCellAnchor>
    <xdr:from>
      <xdr:col>27</xdr:col>
      <xdr:colOff>257175</xdr:colOff>
      <xdr:row>17</xdr:row>
      <xdr:rowOff>50165</xdr:rowOff>
    </xdr:from>
    <xdr:to>
      <xdr:col>33</xdr:col>
      <xdr:colOff>40005</xdr:colOff>
      <xdr:row>20</xdr:row>
      <xdr:rowOff>69215</xdr:rowOff>
    </xdr:to>
    <xdr:sp macro="[1]!asht13">
      <xdr:nvSpPr>
        <xdr:cNvPr id="45" name="圆角矩形 8">
          <a:hlinkClick xmlns:r="http://schemas.openxmlformats.org/officeDocument/2006/relationships" r:id="rId25"/>
        </xdr:cNvPr>
        <xdr:cNvSpPr/>
      </xdr:nvSpPr>
      <xdr:spPr>
        <a:xfrm>
          <a:off x="7715250"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期末数</a:t>
          </a:r>
          <a:endParaRPr lang="zh-CN" altLang="en-US" sz="1600" b="1">
            <a:latin typeface="微软雅黑" panose="020B0503020204020204" charset="-122"/>
            <a:ea typeface="微软雅黑" panose="020B0503020204020204" charset="-122"/>
          </a:endParaRPr>
        </a:p>
      </xdr:txBody>
    </xdr:sp>
    <xdr:clientData/>
  </xdr:twoCellAnchor>
  <xdr:twoCellAnchor>
    <xdr:from>
      <xdr:col>33</xdr:col>
      <xdr:colOff>209550</xdr:colOff>
      <xdr:row>17</xdr:row>
      <xdr:rowOff>50165</xdr:rowOff>
    </xdr:from>
    <xdr:to>
      <xdr:col>38</xdr:col>
      <xdr:colOff>268605</xdr:colOff>
      <xdr:row>20</xdr:row>
      <xdr:rowOff>69215</xdr:rowOff>
    </xdr:to>
    <xdr:sp macro="[1]!asht18">
      <xdr:nvSpPr>
        <xdr:cNvPr id="46" name="圆角矩形 8">
          <a:hlinkClick xmlns:r="http://schemas.openxmlformats.org/officeDocument/2006/relationships" r:id="rId26"/>
        </xdr:cNvPr>
        <xdr:cNvSpPr/>
      </xdr:nvSpPr>
      <xdr:spPr>
        <a:xfrm>
          <a:off x="9324975" y="3742055"/>
          <a:ext cx="1440180" cy="67056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仓库资料</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297815</xdr:colOff>
      <xdr:row>0</xdr:row>
      <xdr:rowOff>85725</xdr:rowOff>
    </xdr:from>
    <xdr:to>
      <xdr:col>7</xdr:col>
      <xdr:colOff>996315</xdr:colOff>
      <xdr:row>0</xdr:row>
      <xdr:rowOff>600710</xdr:rowOff>
    </xdr:to>
    <xdr:sp macro="[0]!up">
      <xdr:nvSpPr>
        <xdr:cNvPr id="3" name="nextPage"/>
        <xdr:cNvSpPr/>
      </xdr:nvSpPr>
      <xdr:spPr>
        <a:xfrm>
          <a:off x="7793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7</xdr:col>
      <xdr:colOff>1183640</xdr:colOff>
      <xdr:row>0</xdr:row>
      <xdr:rowOff>159385</xdr:rowOff>
    </xdr:from>
    <xdr:to>
      <xdr:col>10</xdr:col>
      <xdr:colOff>228600</xdr:colOff>
      <xdr:row>0</xdr:row>
      <xdr:rowOff>565785</xdr:rowOff>
    </xdr:to>
    <xdr:sp macro="[0]!OpenWebPage">
      <xdr:nvSpPr>
        <xdr:cNvPr id="10" name="圆角矩形 13"/>
        <xdr:cNvSpPr/>
      </xdr:nvSpPr>
      <xdr:spPr>
        <a:xfrm>
          <a:off x="8679815" y="159385"/>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使用说明</a:t>
          </a:r>
          <a:endParaRPr lang="en-US" altLang="zh-CN"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19">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diaobo">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调拨</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445770</xdr:colOff>
      <xdr:row>0</xdr:row>
      <xdr:rowOff>624205</xdr:rowOff>
    </xdr:to>
    <xdr:sp>
      <xdr:nvSpPr>
        <xdr:cNvPr id="4" name="圆角矩形 14"/>
        <xdr:cNvSpPr/>
      </xdr:nvSpPr>
      <xdr:spPr>
        <a:xfrm>
          <a:off x="1118235" y="127000"/>
          <a:ext cx="248831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库存调拨</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447675</xdr:colOff>
      <xdr:row>0</xdr:row>
      <xdr:rowOff>207645</xdr:rowOff>
    </xdr:from>
    <xdr:to>
      <xdr:col>18</xdr:col>
      <xdr:colOff>579755</xdr:colOff>
      <xdr:row>0</xdr:row>
      <xdr:rowOff>561975</xdr:rowOff>
    </xdr:to>
    <xdr:sp macro="[1]!asht18">
      <xdr:nvSpPr>
        <xdr:cNvPr id="23" name="12">
          <a:hlinkClick xmlns:r="http://schemas.openxmlformats.org/officeDocument/2006/relationships" r:id="rId1"/>
        </xdr:cNvPr>
        <xdr:cNvSpPr/>
      </xdr:nvSpPr>
      <xdr:spPr>
        <a:xfrm>
          <a:off x="1571625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库存调拨</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18</xdr:col>
      <xdr:colOff>553720</xdr:colOff>
      <xdr:row>0</xdr:row>
      <xdr:rowOff>207645</xdr:rowOff>
    </xdr:from>
    <xdr:to>
      <xdr:col>20</xdr:col>
      <xdr:colOff>0</xdr:colOff>
      <xdr:row>0</xdr:row>
      <xdr:rowOff>561975</xdr:rowOff>
    </xdr:to>
    <xdr:sp macro="[1]!asht18">
      <xdr:nvSpPr>
        <xdr:cNvPr id="24" name="12">
          <a:hlinkClick xmlns:r="http://schemas.openxmlformats.org/officeDocument/2006/relationships" r:id="rId2"/>
        </xdr:cNvPr>
        <xdr:cNvSpPr/>
      </xdr:nvSpPr>
      <xdr:spPr>
        <a:xfrm>
          <a:off x="16508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1270</xdr:colOff>
      <xdr:row>0</xdr:row>
      <xdr:rowOff>207645</xdr:rowOff>
    </xdr:from>
    <xdr:to>
      <xdr:col>21</xdr:col>
      <xdr:colOff>133350</xdr:colOff>
      <xdr:row>0</xdr:row>
      <xdr:rowOff>561975</xdr:rowOff>
    </xdr:to>
    <xdr:sp macro="[1]!asht18">
      <xdr:nvSpPr>
        <xdr:cNvPr id="25" name="12">
          <a:hlinkClick xmlns:r="http://schemas.openxmlformats.org/officeDocument/2006/relationships" r:id="rId3"/>
        </xdr:cNvPr>
        <xdr:cNvSpPr/>
      </xdr:nvSpPr>
      <xdr:spPr>
        <a:xfrm>
          <a:off x="173272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86995</xdr:colOff>
      <xdr:row>0</xdr:row>
      <xdr:rowOff>207645</xdr:rowOff>
    </xdr:from>
    <xdr:to>
      <xdr:col>22</xdr:col>
      <xdr:colOff>219075</xdr:colOff>
      <xdr:row>0</xdr:row>
      <xdr:rowOff>561975</xdr:rowOff>
    </xdr:to>
    <xdr:sp macro="[1]!asht18">
      <xdr:nvSpPr>
        <xdr:cNvPr id="26" name="12">
          <a:hlinkClick xmlns:r="http://schemas.openxmlformats.org/officeDocument/2006/relationships" r:id="rId4"/>
        </xdr:cNvPr>
        <xdr:cNvSpPr/>
      </xdr:nvSpPr>
      <xdr:spPr>
        <a:xfrm>
          <a:off x="18098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191770</xdr:colOff>
      <xdr:row>0</xdr:row>
      <xdr:rowOff>207645</xdr:rowOff>
    </xdr:from>
    <xdr:to>
      <xdr:col>23</xdr:col>
      <xdr:colOff>323850</xdr:colOff>
      <xdr:row>0</xdr:row>
      <xdr:rowOff>561975</xdr:rowOff>
    </xdr:to>
    <xdr:sp macro="[1]!asht18">
      <xdr:nvSpPr>
        <xdr:cNvPr id="27" name="12">
          <a:hlinkClick xmlns:r="http://schemas.openxmlformats.org/officeDocument/2006/relationships" r:id="rId5"/>
        </xdr:cNvPr>
        <xdr:cNvSpPr/>
      </xdr:nvSpPr>
      <xdr:spPr>
        <a:xfrm>
          <a:off x="18889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382270</xdr:colOff>
      <xdr:row>0</xdr:row>
      <xdr:rowOff>207645</xdr:rowOff>
    </xdr:from>
    <xdr:to>
      <xdr:col>24</xdr:col>
      <xdr:colOff>514350</xdr:colOff>
      <xdr:row>0</xdr:row>
      <xdr:rowOff>561975</xdr:rowOff>
    </xdr:to>
    <xdr:sp macro="[1]!asht18">
      <xdr:nvSpPr>
        <xdr:cNvPr id="28" name="12">
          <a:hlinkClick xmlns:r="http://schemas.openxmlformats.org/officeDocument/2006/relationships" r:id="rId6"/>
        </xdr:cNvPr>
        <xdr:cNvSpPr/>
      </xdr:nvSpPr>
      <xdr:spPr>
        <a:xfrm>
          <a:off x="197656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553720</xdr:colOff>
      <xdr:row>0</xdr:row>
      <xdr:rowOff>207645</xdr:rowOff>
    </xdr:from>
    <xdr:to>
      <xdr:col>26</xdr:col>
      <xdr:colOff>0</xdr:colOff>
      <xdr:row>0</xdr:row>
      <xdr:rowOff>561975</xdr:rowOff>
    </xdr:to>
    <xdr:sp macro="[1]!asht18">
      <xdr:nvSpPr>
        <xdr:cNvPr id="29" name="12">
          <a:hlinkClick xmlns:r="http://schemas.openxmlformats.org/officeDocument/2006/relationships" r:id="rId7"/>
        </xdr:cNvPr>
        <xdr:cNvSpPr/>
      </xdr:nvSpPr>
      <xdr:spPr>
        <a:xfrm>
          <a:off x="206228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86995</xdr:colOff>
      <xdr:row>0</xdr:row>
      <xdr:rowOff>207645</xdr:rowOff>
    </xdr:from>
    <xdr:to>
      <xdr:col>27</xdr:col>
      <xdr:colOff>219075</xdr:colOff>
      <xdr:row>0</xdr:row>
      <xdr:rowOff>561975</xdr:rowOff>
    </xdr:to>
    <xdr:sp macro="[1]!asht18">
      <xdr:nvSpPr>
        <xdr:cNvPr id="30" name="12">
          <a:hlinkClick xmlns:r="http://schemas.openxmlformats.org/officeDocument/2006/relationships" r:id="rId8"/>
        </xdr:cNvPr>
        <xdr:cNvSpPr/>
      </xdr:nvSpPr>
      <xdr:spPr>
        <a:xfrm>
          <a:off x="21527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191770</xdr:colOff>
      <xdr:row>0</xdr:row>
      <xdr:rowOff>207645</xdr:rowOff>
    </xdr:from>
    <xdr:to>
      <xdr:col>28</xdr:col>
      <xdr:colOff>323850</xdr:colOff>
      <xdr:row>0</xdr:row>
      <xdr:rowOff>561975</xdr:rowOff>
    </xdr:to>
    <xdr:sp macro="[1]!asht18">
      <xdr:nvSpPr>
        <xdr:cNvPr id="31" name="12">
          <a:hlinkClick xmlns:r="http://schemas.openxmlformats.org/officeDocument/2006/relationships" r:id="rId9"/>
        </xdr:cNvPr>
        <xdr:cNvSpPr/>
      </xdr:nvSpPr>
      <xdr:spPr>
        <a:xfrm>
          <a:off x="223183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429895</xdr:colOff>
      <xdr:row>0</xdr:row>
      <xdr:rowOff>207645</xdr:rowOff>
    </xdr:from>
    <xdr:to>
      <xdr:col>29</xdr:col>
      <xdr:colOff>561975</xdr:colOff>
      <xdr:row>0</xdr:row>
      <xdr:rowOff>561975</xdr:rowOff>
    </xdr:to>
    <xdr:sp macro="[1]!asht18">
      <xdr:nvSpPr>
        <xdr:cNvPr id="32" name="12">
          <a:hlinkClick xmlns:r="http://schemas.openxmlformats.org/officeDocument/2006/relationships" r:id="rId10"/>
        </xdr:cNvPr>
        <xdr:cNvSpPr/>
      </xdr:nvSpPr>
      <xdr:spPr>
        <a:xfrm>
          <a:off x="232422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563245</xdr:colOff>
      <xdr:row>0</xdr:row>
      <xdr:rowOff>207645</xdr:rowOff>
    </xdr:from>
    <xdr:to>
      <xdr:col>31</xdr:col>
      <xdr:colOff>9525</xdr:colOff>
      <xdr:row>0</xdr:row>
      <xdr:rowOff>561975</xdr:rowOff>
    </xdr:to>
    <xdr:sp macro="[1]!asht18">
      <xdr:nvSpPr>
        <xdr:cNvPr id="33" name="12">
          <a:hlinkClick xmlns:r="http://schemas.openxmlformats.org/officeDocument/2006/relationships" r:id="rId11"/>
        </xdr:cNvPr>
        <xdr:cNvSpPr/>
      </xdr:nvSpPr>
      <xdr:spPr>
        <a:xfrm>
          <a:off x="240614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13970</xdr:colOff>
      <xdr:row>0</xdr:row>
      <xdr:rowOff>207645</xdr:rowOff>
    </xdr:from>
    <xdr:to>
      <xdr:col>32</xdr:col>
      <xdr:colOff>146050</xdr:colOff>
      <xdr:row>0</xdr:row>
      <xdr:rowOff>561975</xdr:rowOff>
    </xdr:to>
    <xdr:sp macro="[1]!asht18">
      <xdr:nvSpPr>
        <xdr:cNvPr id="34" name="12">
          <a:hlinkClick xmlns:r="http://schemas.openxmlformats.org/officeDocument/2006/relationships" r:id="rId12"/>
        </xdr:cNvPr>
        <xdr:cNvSpPr/>
      </xdr:nvSpPr>
      <xdr:spPr>
        <a:xfrm>
          <a:off x="24883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0">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pandian">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盘点</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33</xdr:col>
      <xdr:colOff>455295</xdr:colOff>
      <xdr:row>0</xdr:row>
      <xdr:rowOff>624205</xdr:rowOff>
    </xdr:to>
    <xdr:sp>
      <xdr:nvSpPr>
        <xdr:cNvPr id="4" name="圆角矩形 14"/>
        <xdr:cNvSpPr/>
      </xdr:nvSpPr>
      <xdr:spPr>
        <a:xfrm>
          <a:off x="1118235" y="127000"/>
          <a:ext cx="249783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10</xdr:col>
      <xdr:colOff>670560</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24130</xdr:colOff>
      <xdr:row>0</xdr:row>
      <xdr:rowOff>203200</xdr:rowOff>
    </xdr:from>
    <xdr:to>
      <xdr:col>12</xdr:col>
      <xdr:colOff>156210</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库存盘点</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12</xdr:col>
      <xdr:colOff>195580</xdr:colOff>
      <xdr:row>0</xdr:row>
      <xdr:rowOff>203200</xdr:rowOff>
    </xdr:from>
    <xdr:to>
      <xdr:col>13</xdr:col>
      <xdr:colOff>327660</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14</xdr:col>
      <xdr:colOff>499110</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538480</xdr:colOff>
      <xdr:row>0</xdr:row>
      <xdr:rowOff>203200</xdr:rowOff>
    </xdr:from>
    <xdr:to>
      <xdr:col>15</xdr:col>
      <xdr:colOff>670560</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24130</xdr:colOff>
      <xdr:row>0</xdr:row>
      <xdr:rowOff>203200</xdr:rowOff>
    </xdr:from>
    <xdr:to>
      <xdr:col>17</xdr:col>
      <xdr:colOff>156210</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195580</xdr:colOff>
      <xdr:row>0</xdr:row>
      <xdr:rowOff>203200</xdr:rowOff>
    </xdr:from>
    <xdr:to>
      <xdr:col>18</xdr:col>
      <xdr:colOff>327660</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400050</xdr:colOff>
      <xdr:row>0</xdr:row>
      <xdr:rowOff>228600</xdr:rowOff>
    </xdr:from>
    <xdr:to>
      <xdr:col>19</xdr:col>
      <xdr:colOff>532130</xdr:colOff>
      <xdr:row>0</xdr:row>
      <xdr:rowOff>582930</xdr:rowOff>
    </xdr:to>
    <xdr:sp macro="[1]!asht18">
      <xdr:nvSpPr>
        <xdr:cNvPr id="23" name="12">
          <a:hlinkClick xmlns:r="http://schemas.openxmlformats.org/officeDocument/2006/relationships" r:id="rId1"/>
        </xdr:cNvPr>
        <xdr:cNvSpPr/>
      </xdr:nvSpPr>
      <xdr:spPr>
        <a:xfrm>
          <a:off x="1575435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506095</xdr:colOff>
      <xdr:row>0</xdr:row>
      <xdr:rowOff>228600</xdr:rowOff>
    </xdr:from>
    <xdr:to>
      <xdr:col>20</xdr:col>
      <xdr:colOff>638175</xdr:colOff>
      <xdr:row>0</xdr:row>
      <xdr:rowOff>582930</xdr:rowOff>
    </xdr:to>
    <xdr:sp macro="[1]!asht18">
      <xdr:nvSpPr>
        <xdr:cNvPr id="24" name="12">
          <a:hlinkClick xmlns:r="http://schemas.openxmlformats.org/officeDocument/2006/relationships" r:id="rId2"/>
        </xdr:cNvPr>
        <xdr:cNvSpPr/>
      </xdr:nvSpPr>
      <xdr:spPr>
        <a:xfrm>
          <a:off x="16546195" y="22860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库存盘点</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20</xdr:col>
      <xdr:colOff>639445</xdr:colOff>
      <xdr:row>0</xdr:row>
      <xdr:rowOff>228600</xdr:rowOff>
    </xdr:from>
    <xdr:to>
      <xdr:col>22</xdr:col>
      <xdr:colOff>85725</xdr:colOff>
      <xdr:row>0</xdr:row>
      <xdr:rowOff>582930</xdr:rowOff>
    </xdr:to>
    <xdr:sp macro="[1]!asht18">
      <xdr:nvSpPr>
        <xdr:cNvPr id="25" name="12">
          <a:hlinkClick xmlns:r="http://schemas.openxmlformats.org/officeDocument/2006/relationships" r:id="rId3"/>
        </xdr:cNvPr>
        <xdr:cNvSpPr/>
      </xdr:nvSpPr>
      <xdr:spPr>
        <a:xfrm>
          <a:off x="173653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39370</xdr:colOff>
      <xdr:row>0</xdr:row>
      <xdr:rowOff>228600</xdr:rowOff>
    </xdr:from>
    <xdr:to>
      <xdr:col>23</xdr:col>
      <xdr:colOff>171450</xdr:colOff>
      <xdr:row>0</xdr:row>
      <xdr:rowOff>582930</xdr:rowOff>
    </xdr:to>
    <xdr:sp macro="[1]!asht18">
      <xdr:nvSpPr>
        <xdr:cNvPr id="26" name="12">
          <a:hlinkClick xmlns:r="http://schemas.openxmlformats.org/officeDocument/2006/relationships" r:id="rId4"/>
        </xdr:cNvPr>
        <xdr:cNvSpPr/>
      </xdr:nvSpPr>
      <xdr:spPr>
        <a:xfrm>
          <a:off x="18136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144145</xdr:colOff>
      <xdr:row>0</xdr:row>
      <xdr:rowOff>228600</xdr:rowOff>
    </xdr:from>
    <xdr:to>
      <xdr:col>24</xdr:col>
      <xdr:colOff>276225</xdr:colOff>
      <xdr:row>0</xdr:row>
      <xdr:rowOff>582930</xdr:rowOff>
    </xdr:to>
    <xdr:sp macro="[1]!asht18">
      <xdr:nvSpPr>
        <xdr:cNvPr id="27" name="12">
          <a:hlinkClick xmlns:r="http://schemas.openxmlformats.org/officeDocument/2006/relationships" r:id="rId5"/>
        </xdr:cNvPr>
        <xdr:cNvSpPr/>
      </xdr:nvSpPr>
      <xdr:spPr>
        <a:xfrm>
          <a:off x="18927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334645</xdr:colOff>
      <xdr:row>0</xdr:row>
      <xdr:rowOff>228600</xdr:rowOff>
    </xdr:from>
    <xdr:to>
      <xdr:col>25</xdr:col>
      <xdr:colOff>466725</xdr:colOff>
      <xdr:row>0</xdr:row>
      <xdr:rowOff>582930</xdr:rowOff>
    </xdr:to>
    <xdr:sp macro="[1]!asht18">
      <xdr:nvSpPr>
        <xdr:cNvPr id="28" name="12">
          <a:hlinkClick xmlns:r="http://schemas.openxmlformats.org/officeDocument/2006/relationships" r:id="rId6"/>
        </xdr:cNvPr>
        <xdr:cNvSpPr/>
      </xdr:nvSpPr>
      <xdr:spPr>
        <a:xfrm>
          <a:off x="198037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506095</xdr:colOff>
      <xdr:row>0</xdr:row>
      <xdr:rowOff>228600</xdr:rowOff>
    </xdr:from>
    <xdr:to>
      <xdr:col>26</xdr:col>
      <xdr:colOff>638175</xdr:colOff>
      <xdr:row>0</xdr:row>
      <xdr:rowOff>582930</xdr:rowOff>
    </xdr:to>
    <xdr:sp macro="[1]!asht18">
      <xdr:nvSpPr>
        <xdr:cNvPr id="29" name="12">
          <a:hlinkClick xmlns:r="http://schemas.openxmlformats.org/officeDocument/2006/relationships" r:id="rId7"/>
        </xdr:cNvPr>
        <xdr:cNvSpPr/>
      </xdr:nvSpPr>
      <xdr:spPr>
        <a:xfrm>
          <a:off x="2066099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39370</xdr:colOff>
      <xdr:row>0</xdr:row>
      <xdr:rowOff>228600</xdr:rowOff>
    </xdr:from>
    <xdr:to>
      <xdr:col>28</xdr:col>
      <xdr:colOff>171450</xdr:colOff>
      <xdr:row>0</xdr:row>
      <xdr:rowOff>582930</xdr:rowOff>
    </xdr:to>
    <xdr:sp macro="[1]!asht18">
      <xdr:nvSpPr>
        <xdr:cNvPr id="30" name="12">
          <a:hlinkClick xmlns:r="http://schemas.openxmlformats.org/officeDocument/2006/relationships" r:id="rId8"/>
        </xdr:cNvPr>
        <xdr:cNvSpPr/>
      </xdr:nvSpPr>
      <xdr:spPr>
        <a:xfrm>
          <a:off x="215658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144145</xdr:colOff>
      <xdr:row>0</xdr:row>
      <xdr:rowOff>228600</xdr:rowOff>
    </xdr:from>
    <xdr:to>
      <xdr:col>29</xdr:col>
      <xdr:colOff>276225</xdr:colOff>
      <xdr:row>0</xdr:row>
      <xdr:rowOff>582930</xdr:rowOff>
    </xdr:to>
    <xdr:sp macro="[1]!asht18">
      <xdr:nvSpPr>
        <xdr:cNvPr id="31" name="12">
          <a:hlinkClick xmlns:r="http://schemas.openxmlformats.org/officeDocument/2006/relationships" r:id="rId9"/>
        </xdr:cNvPr>
        <xdr:cNvSpPr/>
      </xdr:nvSpPr>
      <xdr:spPr>
        <a:xfrm>
          <a:off x="22356445"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382270</xdr:colOff>
      <xdr:row>0</xdr:row>
      <xdr:rowOff>228600</xdr:rowOff>
    </xdr:from>
    <xdr:to>
      <xdr:col>30</xdr:col>
      <xdr:colOff>514350</xdr:colOff>
      <xdr:row>0</xdr:row>
      <xdr:rowOff>582930</xdr:rowOff>
    </xdr:to>
    <xdr:sp macro="[1]!asht18">
      <xdr:nvSpPr>
        <xdr:cNvPr id="32" name="12">
          <a:hlinkClick xmlns:r="http://schemas.openxmlformats.org/officeDocument/2006/relationships" r:id="rId10"/>
        </xdr:cNvPr>
        <xdr:cNvSpPr/>
      </xdr:nvSpPr>
      <xdr:spPr>
        <a:xfrm>
          <a:off x="2328037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515620</xdr:colOff>
      <xdr:row>0</xdr:row>
      <xdr:rowOff>228600</xdr:rowOff>
    </xdr:from>
    <xdr:to>
      <xdr:col>31</xdr:col>
      <xdr:colOff>647700</xdr:colOff>
      <xdr:row>0</xdr:row>
      <xdr:rowOff>582930</xdr:rowOff>
    </xdr:to>
    <xdr:sp macro="[1]!asht18">
      <xdr:nvSpPr>
        <xdr:cNvPr id="33" name="12">
          <a:hlinkClick xmlns:r="http://schemas.openxmlformats.org/officeDocument/2006/relationships" r:id="rId11"/>
        </xdr:cNvPr>
        <xdr:cNvSpPr/>
      </xdr:nvSpPr>
      <xdr:spPr>
        <a:xfrm>
          <a:off x="24099520" y="2286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652145</xdr:colOff>
      <xdr:row>0</xdr:row>
      <xdr:rowOff>219075</xdr:rowOff>
    </xdr:from>
    <xdr:to>
      <xdr:col>33</xdr:col>
      <xdr:colOff>98425</xdr:colOff>
      <xdr:row>0</xdr:row>
      <xdr:rowOff>573405</xdr:rowOff>
    </xdr:to>
    <xdr:sp macro="[1]!asht18">
      <xdr:nvSpPr>
        <xdr:cNvPr id="34" name="12">
          <a:hlinkClick xmlns:r="http://schemas.openxmlformats.org/officeDocument/2006/relationships" r:id="rId12"/>
        </xdr:cNvPr>
        <xdr:cNvSpPr/>
      </xdr:nvSpPr>
      <xdr:spPr>
        <a:xfrm>
          <a:off x="24921845" y="21907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2">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xiaosh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408305</xdr:colOff>
      <xdr:row>0</xdr:row>
      <xdr:rowOff>624205</xdr:rowOff>
    </xdr:to>
    <xdr:sp>
      <xdr:nvSpPr>
        <xdr:cNvPr id="4" name="圆角矩形 14"/>
        <xdr:cNvSpPr/>
      </xdr:nvSpPr>
      <xdr:spPr>
        <a:xfrm>
          <a:off x="1118235" y="127000"/>
          <a:ext cx="248456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2">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207645</xdr:rowOff>
    </xdr:from>
    <xdr:to>
      <xdr:col>18</xdr:col>
      <xdr:colOff>551180</xdr:colOff>
      <xdr:row>0</xdr:row>
      <xdr:rowOff>561975</xdr:rowOff>
    </xdr:to>
    <xdr:sp macro="[1]!asht18">
      <xdr:nvSpPr>
        <xdr:cNvPr id="24" name="12">
          <a:hlinkClick xmlns:r="http://schemas.openxmlformats.org/officeDocument/2006/relationships" r:id="rId1"/>
        </xdr:cNvPr>
        <xdr:cNvSpPr/>
      </xdr:nvSpPr>
      <xdr:spPr>
        <a:xfrm>
          <a:off x="1568767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207645</xdr:rowOff>
    </xdr:from>
    <xdr:to>
      <xdr:col>19</xdr:col>
      <xdr:colOff>657225</xdr:colOff>
      <xdr:row>0</xdr:row>
      <xdr:rowOff>561975</xdr:rowOff>
    </xdr:to>
    <xdr:sp macro="[1]!asht18">
      <xdr:nvSpPr>
        <xdr:cNvPr id="25" name="12">
          <a:hlinkClick xmlns:r="http://schemas.openxmlformats.org/officeDocument/2006/relationships" r:id="rId2"/>
        </xdr:cNvPr>
        <xdr:cNvSpPr/>
      </xdr:nvSpPr>
      <xdr:spPr>
        <a:xfrm>
          <a:off x="164795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207645</xdr:rowOff>
    </xdr:from>
    <xdr:to>
      <xdr:col>21</xdr:col>
      <xdr:colOff>104775</xdr:colOff>
      <xdr:row>0</xdr:row>
      <xdr:rowOff>561975</xdr:rowOff>
    </xdr:to>
    <xdr:sp macro="[1]!asht18">
      <xdr:nvSpPr>
        <xdr:cNvPr id="26" name="12">
          <a:hlinkClick xmlns:r="http://schemas.openxmlformats.org/officeDocument/2006/relationships" r:id="rId3"/>
        </xdr:cNvPr>
        <xdr:cNvSpPr/>
      </xdr:nvSpPr>
      <xdr:spPr>
        <a:xfrm>
          <a:off x="172986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207645</xdr:rowOff>
    </xdr:from>
    <xdr:to>
      <xdr:col>22</xdr:col>
      <xdr:colOff>190500</xdr:colOff>
      <xdr:row>0</xdr:row>
      <xdr:rowOff>561975</xdr:rowOff>
    </xdr:to>
    <xdr:sp macro="[1]!asht18">
      <xdr:nvSpPr>
        <xdr:cNvPr id="27" name="12">
          <a:hlinkClick xmlns:r="http://schemas.openxmlformats.org/officeDocument/2006/relationships" r:id="rId4"/>
        </xdr:cNvPr>
        <xdr:cNvSpPr/>
      </xdr:nvSpPr>
      <xdr:spPr>
        <a:xfrm>
          <a:off x="18070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207645</xdr:rowOff>
    </xdr:from>
    <xdr:to>
      <xdr:col>23</xdr:col>
      <xdr:colOff>295275</xdr:colOff>
      <xdr:row>0</xdr:row>
      <xdr:rowOff>561975</xdr:rowOff>
    </xdr:to>
    <xdr:sp macro="[1]!asht18">
      <xdr:nvSpPr>
        <xdr:cNvPr id="28" name="12">
          <a:hlinkClick xmlns:r="http://schemas.openxmlformats.org/officeDocument/2006/relationships" r:id="rId5"/>
        </xdr:cNvPr>
        <xdr:cNvSpPr/>
      </xdr:nvSpPr>
      <xdr:spPr>
        <a:xfrm>
          <a:off x="18860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207645</xdr:rowOff>
    </xdr:from>
    <xdr:to>
      <xdr:col>24</xdr:col>
      <xdr:colOff>485775</xdr:colOff>
      <xdr:row>0</xdr:row>
      <xdr:rowOff>561975</xdr:rowOff>
    </xdr:to>
    <xdr:sp macro="[1]!asht18">
      <xdr:nvSpPr>
        <xdr:cNvPr id="29" name="12">
          <a:hlinkClick xmlns:r="http://schemas.openxmlformats.org/officeDocument/2006/relationships" r:id="rId6"/>
        </xdr:cNvPr>
        <xdr:cNvSpPr/>
      </xdr:nvSpPr>
      <xdr:spPr>
        <a:xfrm>
          <a:off x="197370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207645</xdr:rowOff>
    </xdr:from>
    <xdr:to>
      <xdr:col>25</xdr:col>
      <xdr:colOff>657225</xdr:colOff>
      <xdr:row>0</xdr:row>
      <xdr:rowOff>561975</xdr:rowOff>
    </xdr:to>
    <xdr:sp macro="[1]!asht18">
      <xdr:nvSpPr>
        <xdr:cNvPr id="30" name="12">
          <a:hlinkClick xmlns:r="http://schemas.openxmlformats.org/officeDocument/2006/relationships" r:id="rId7"/>
        </xdr:cNvPr>
        <xdr:cNvSpPr/>
      </xdr:nvSpPr>
      <xdr:spPr>
        <a:xfrm>
          <a:off x="205943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207645</xdr:rowOff>
    </xdr:from>
    <xdr:to>
      <xdr:col>27</xdr:col>
      <xdr:colOff>190500</xdr:colOff>
      <xdr:row>0</xdr:row>
      <xdr:rowOff>561975</xdr:rowOff>
    </xdr:to>
    <xdr:sp macro="[1]!asht18">
      <xdr:nvSpPr>
        <xdr:cNvPr id="31" name="12">
          <a:hlinkClick xmlns:r="http://schemas.openxmlformats.org/officeDocument/2006/relationships" r:id="rId8"/>
        </xdr:cNvPr>
        <xdr:cNvSpPr/>
      </xdr:nvSpPr>
      <xdr:spPr>
        <a:xfrm>
          <a:off x="21499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207645</xdr:rowOff>
    </xdr:from>
    <xdr:to>
      <xdr:col>28</xdr:col>
      <xdr:colOff>295275</xdr:colOff>
      <xdr:row>0</xdr:row>
      <xdr:rowOff>561975</xdr:rowOff>
    </xdr:to>
    <xdr:sp macro="[1]!asht18">
      <xdr:nvSpPr>
        <xdr:cNvPr id="32" name="12">
          <a:hlinkClick xmlns:r="http://schemas.openxmlformats.org/officeDocument/2006/relationships" r:id="rId9"/>
        </xdr:cNvPr>
        <xdr:cNvSpPr/>
      </xdr:nvSpPr>
      <xdr:spPr>
        <a:xfrm>
          <a:off x="222897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207645</xdr:rowOff>
    </xdr:from>
    <xdr:to>
      <xdr:col>29</xdr:col>
      <xdr:colOff>533400</xdr:colOff>
      <xdr:row>0</xdr:row>
      <xdr:rowOff>561975</xdr:rowOff>
    </xdr:to>
    <xdr:sp macro="[1]!asht18">
      <xdr:nvSpPr>
        <xdr:cNvPr id="33" name="12">
          <a:hlinkClick xmlns:r="http://schemas.openxmlformats.org/officeDocument/2006/relationships" r:id="rId10"/>
        </xdr:cNvPr>
        <xdr:cNvSpPr/>
      </xdr:nvSpPr>
      <xdr:spPr>
        <a:xfrm>
          <a:off x="232136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207645</xdr:rowOff>
    </xdr:from>
    <xdr:to>
      <xdr:col>30</xdr:col>
      <xdr:colOff>666750</xdr:colOff>
      <xdr:row>0</xdr:row>
      <xdr:rowOff>561975</xdr:rowOff>
    </xdr:to>
    <xdr:sp macro="[1]!asht18">
      <xdr:nvSpPr>
        <xdr:cNvPr id="34" name="12">
          <a:hlinkClick xmlns:r="http://schemas.openxmlformats.org/officeDocument/2006/relationships" r:id="rId11"/>
        </xdr:cNvPr>
        <xdr:cNvSpPr/>
      </xdr:nvSpPr>
      <xdr:spPr>
        <a:xfrm>
          <a:off x="24032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207645</xdr:rowOff>
    </xdr:from>
    <xdr:to>
      <xdr:col>32</xdr:col>
      <xdr:colOff>117475</xdr:colOff>
      <xdr:row>0</xdr:row>
      <xdr:rowOff>561975</xdr:rowOff>
    </xdr:to>
    <xdr:sp macro="[1]!asht18">
      <xdr:nvSpPr>
        <xdr:cNvPr id="35" name="12">
          <a:hlinkClick xmlns:r="http://schemas.openxmlformats.org/officeDocument/2006/relationships" r:id="rId12"/>
        </xdr:cNvPr>
        <xdr:cNvSpPr/>
      </xdr:nvSpPr>
      <xdr:spPr>
        <a:xfrm>
          <a:off x="248551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3">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th">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560070</xdr:colOff>
      <xdr:row>0</xdr:row>
      <xdr:rowOff>624205</xdr:rowOff>
    </xdr:to>
    <xdr:sp>
      <xdr:nvSpPr>
        <xdr:cNvPr id="4" name="圆角矩形 14"/>
        <xdr:cNvSpPr/>
      </xdr:nvSpPr>
      <xdr:spPr>
        <a:xfrm>
          <a:off x="1118235" y="127000"/>
          <a:ext cx="249974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3">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退货单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200025</xdr:rowOff>
    </xdr:from>
    <xdr:to>
      <xdr:col>18</xdr:col>
      <xdr:colOff>551180</xdr:colOff>
      <xdr:row>0</xdr:row>
      <xdr:rowOff>554355</xdr:rowOff>
    </xdr:to>
    <xdr:sp macro="[1]!asht18">
      <xdr:nvSpPr>
        <xdr:cNvPr id="24" name="12">
          <a:hlinkClick xmlns:r="http://schemas.openxmlformats.org/officeDocument/2006/relationships" r:id="rId1"/>
        </xdr:cNvPr>
        <xdr:cNvSpPr/>
      </xdr:nvSpPr>
      <xdr:spPr>
        <a:xfrm>
          <a:off x="1568767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200025</xdr:rowOff>
    </xdr:from>
    <xdr:to>
      <xdr:col>19</xdr:col>
      <xdr:colOff>657225</xdr:colOff>
      <xdr:row>0</xdr:row>
      <xdr:rowOff>554355</xdr:rowOff>
    </xdr:to>
    <xdr:sp macro="[1]!asht18">
      <xdr:nvSpPr>
        <xdr:cNvPr id="25" name="12">
          <a:hlinkClick xmlns:r="http://schemas.openxmlformats.org/officeDocument/2006/relationships" r:id="rId2"/>
        </xdr:cNvPr>
        <xdr:cNvSpPr/>
      </xdr:nvSpPr>
      <xdr:spPr>
        <a:xfrm>
          <a:off x="164795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200025</xdr:rowOff>
    </xdr:from>
    <xdr:to>
      <xdr:col>21</xdr:col>
      <xdr:colOff>104775</xdr:colOff>
      <xdr:row>0</xdr:row>
      <xdr:rowOff>554355</xdr:rowOff>
    </xdr:to>
    <xdr:sp macro="[1]!asht18">
      <xdr:nvSpPr>
        <xdr:cNvPr id="26" name="12">
          <a:hlinkClick xmlns:r="http://schemas.openxmlformats.org/officeDocument/2006/relationships" r:id="rId3"/>
        </xdr:cNvPr>
        <xdr:cNvSpPr/>
      </xdr:nvSpPr>
      <xdr:spPr>
        <a:xfrm>
          <a:off x="172986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200025</xdr:rowOff>
    </xdr:from>
    <xdr:to>
      <xdr:col>22</xdr:col>
      <xdr:colOff>190500</xdr:colOff>
      <xdr:row>0</xdr:row>
      <xdr:rowOff>554355</xdr:rowOff>
    </xdr:to>
    <xdr:sp macro="[1]!asht18">
      <xdr:nvSpPr>
        <xdr:cNvPr id="27" name="12">
          <a:hlinkClick xmlns:r="http://schemas.openxmlformats.org/officeDocument/2006/relationships" r:id="rId4"/>
        </xdr:cNvPr>
        <xdr:cNvSpPr/>
      </xdr:nvSpPr>
      <xdr:spPr>
        <a:xfrm>
          <a:off x="18070195" y="20002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200025</xdr:rowOff>
    </xdr:from>
    <xdr:to>
      <xdr:col>23</xdr:col>
      <xdr:colOff>295275</xdr:colOff>
      <xdr:row>0</xdr:row>
      <xdr:rowOff>554355</xdr:rowOff>
    </xdr:to>
    <xdr:sp macro="[1]!asht18">
      <xdr:nvSpPr>
        <xdr:cNvPr id="28" name="12">
          <a:hlinkClick xmlns:r="http://schemas.openxmlformats.org/officeDocument/2006/relationships" r:id="rId5"/>
        </xdr:cNvPr>
        <xdr:cNvSpPr/>
      </xdr:nvSpPr>
      <xdr:spPr>
        <a:xfrm>
          <a:off x="18860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200025</xdr:rowOff>
    </xdr:from>
    <xdr:to>
      <xdr:col>24</xdr:col>
      <xdr:colOff>485775</xdr:colOff>
      <xdr:row>0</xdr:row>
      <xdr:rowOff>554355</xdr:rowOff>
    </xdr:to>
    <xdr:sp macro="[1]!asht18">
      <xdr:nvSpPr>
        <xdr:cNvPr id="29" name="12">
          <a:hlinkClick xmlns:r="http://schemas.openxmlformats.org/officeDocument/2006/relationships" r:id="rId6"/>
        </xdr:cNvPr>
        <xdr:cNvSpPr/>
      </xdr:nvSpPr>
      <xdr:spPr>
        <a:xfrm>
          <a:off x="197370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200025</xdr:rowOff>
    </xdr:from>
    <xdr:to>
      <xdr:col>25</xdr:col>
      <xdr:colOff>657225</xdr:colOff>
      <xdr:row>0</xdr:row>
      <xdr:rowOff>554355</xdr:rowOff>
    </xdr:to>
    <xdr:sp macro="[1]!asht18">
      <xdr:nvSpPr>
        <xdr:cNvPr id="30" name="12">
          <a:hlinkClick xmlns:r="http://schemas.openxmlformats.org/officeDocument/2006/relationships" r:id="rId7"/>
        </xdr:cNvPr>
        <xdr:cNvSpPr/>
      </xdr:nvSpPr>
      <xdr:spPr>
        <a:xfrm>
          <a:off x="205943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200025</xdr:rowOff>
    </xdr:from>
    <xdr:to>
      <xdr:col>27</xdr:col>
      <xdr:colOff>190500</xdr:colOff>
      <xdr:row>0</xdr:row>
      <xdr:rowOff>554355</xdr:rowOff>
    </xdr:to>
    <xdr:sp macro="[1]!asht18">
      <xdr:nvSpPr>
        <xdr:cNvPr id="31" name="12">
          <a:hlinkClick xmlns:r="http://schemas.openxmlformats.org/officeDocument/2006/relationships" r:id="rId8"/>
        </xdr:cNvPr>
        <xdr:cNvSpPr/>
      </xdr:nvSpPr>
      <xdr:spPr>
        <a:xfrm>
          <a:off x="21499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200025</xdr:rowOff>
    </xdr:from>
    <xdr:to>
      <xdr:col>28</xdr:col>
      <xdr:colOff>295275</xdr:colOff>
      <xdr:row>0</xdr:row>
      <xdr:rowOff>554355</xdr:rowOff>
    </xdr:to>
    <xdr:sp macro="[1]!asht18">
      <xdr:nvSpPr>
        <xdr:cNvPr id="32" name="12">
          <a:hlinkClick xmlns:r="http://schemas.openxmlformats.org/officeDocument/2006/relationships" r:id="rId9"/>
        </xdr:cNvPr>
        <xdr:cNvSpPr/>
      </xdr:nvSpPr>
      <xdr:spPr>
        <a:xfrm>
          <a:off x="222897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200025</xdr:rowOff>
    </xdr:from>
    <xdr:to>
      <xdr:col>29</xdr:col>
      <xdr:colOff>533400</xdr:colOff>
      <xdr:row>0</xdr:row>
      <xdr:rowOff>554355</xdr:rowOff>
    </xdr:to>
    <xdr:sp macro="[1]!asht18">
      <xdr:nvSpPr>
        <xdr:cNvPr id="33" name="12">
          <a:hlinkClick xmlns:r="http://schemas.openxmlformats.org/officeDocument/2006/relationships" r:id="rId10"/>
        </xdr:cNvPr>
        <xdr:cNvSpPr/>
      </xdr:nvSpPr>
      <xdr:spPr>
        <a:xfrm>
          <a:off x="23213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200025</xdr:rowOff>
    </xdr:from>
    <xdr:to>
      <xdr:col>30</xdr:col>
      <xdr:colOff>666750</xdr:colOff>
      <xdr:row>0</xdr:row>
      <xdr:rowOff>554355</xdr:rowOff>
    </xdr:to>
    <xdr:sp macro="[1]!asht18">
      <xdr:nvSpPr>
        <xdr:cNvPr id="34" name="12">
          <a:hlinkClick xmlns:r="http://schemas.openxmlformats.org/officeDocument/2006/relationships" r:id="rId11"/>
        </xdr:cNvPr>
        <xdr:cNvSpPr/>
      </xdr:nvSpPr>
      <xdr:spPr>
        <a:xfrm>
          <a:off x="24032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200025</xdr:rowOff>
    </xdr:from>
    <xdr:to>
      <xdr:col>32</xdr:col>
      <xdr:colOff>117475</xdr:colOff>
      <xdr:row>0</xdr:row>
      <xdr:rowOff>554355</xdr:rowOff>
    </xdr:to>
    <xdr:sp macro="[1]!asht18">
      <xdr:nvSpPr>
        <xdr:cNvPr id="35" name="12">
          <a:hlinkClick xmlns:r="http://schemas.openxmlformats.org/officeDocument/2006/relationships" r:id="rId12"/>
        </xdr:cNvPr>
        <xdr:cNvSpPr/>
      </xdr:nvSpPr>
      <xdr:spPr>
        <a:xfrm>
          <a:off x="248551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238125</xdr:colOff>
      <xdr:row>1</xdr:row>
      <xdr:rowOff>50800</xdr:rowOff>
    </xdr:from>
    <xdr:to>
      <xdr:col>4</xdr:col>
      <xdr:colOff>19050</xdr:colOff>
      <xdr:row>1</xdr:row>
      <xdr:rowOff>441325</xdr:rowOff>
    </xdr:to>
    <xdr:sp macro="[0]!select25">
      <xdr:nvSpPr>
        <xdr:cNvPr id="2" name="圆角矩形 1"/>
        <xdr:cNvSpPr/>
      </xdr:nvSpPr>
      <xdr:spPr>
        <a:xfrm>
          <a:off x="2133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333375</xdr:colOff>
      <xdr:row>1</xdr:row>
      <xdr:rowOff>50800</xdr:rowOff>
    </xdr:from>
    <xdr:to>
      <xdr:col>5</xdr:col>
      <xdr:colOff>114300</xdr:colOff>
      <xdr:row>1</xdr:row>
      <xdr:rowOff>441325</xdr:rowOff>
    </xdr:to>
    <xdr:sp macro="[0]!caigou">
      <xdr:nvSpPr>
        <xdr:cNvPr id="3" name="圆角矩形 2"/>
        <xdr:cNvSpPr/>
      </xdr:nvSpPr>
      <xdr:spPr>
        <a:xfrm>
          <a:off x="3514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379730</xdr:colOff>
      <xdr:row>0</xdr:row>
      <xdr:rowOff>624205</xdr:rowOff>
    </xdr:to>
    <xdr:sp>
      <xdr:nvSpPr>
        <xdr:cNvPr id="4" name="圆角矩形 14"/>
        <xdr:cNvSpPr/>
      </xdr:nvSpPr>
      <xdr:spPr>
        <a:xfrm>
          <a:off x="1118235" y="127000"/>
          <a:ext cx="2481707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400050</xdr:colOff>
      <xdr:row>1</xdr:row>
      <xdr:rowOff>47625</xdr:rowOff>
    </xdr:from>
    <xdr:to>
      <xdr:col>6</xdr:col>
      <xdr:colOff>180975</xdr:colOff>
      <xdr:row>1</xdr:row>
      <xdr:rowOff>438150</xdr:rowOff>
    </xdr:to>
    <xdr:sp macro="[0]!tuihuodan_25">
      <xdr:nvSpPr>
        <xdr:cNvPr id="23" name="圆角矩形 22"/>
        <xdr:cNvSpPr/>
      </xdr:nvSpPr>
      <xdr:spPr>
        <a:xfrm>
          <a:off x="48672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采购单</a:t>
          </a:r>
          <a:endParaRPr lang="zh-CN" altLang="en-US" sz="1400" b="1">
            <a:latin typeface="等线" panose="02010600030101010101" charset="-122"/>
            <a:ea typeface="等线" panose="02010600030101010101" charset="-122"/>
          </a:endParaRPr>
        </a:p>
      </xdr:txBody>
    </xdr:sp>
    <xdr:clientData/>
  </xdr:twoCellAnchor>
  <xdr:twoCellAnchor editAs="absolute">
    <xdr:from>
      <xdr:col>17</xdr:col>
      <xdr:colOff>419100</xdr:colOff>
      <xdr:row>0</xdr:row>
      <xdr:rowOff>226695</xdr:rowOff>
    </xdr:from>
    <xdr:to>
      <xdr:col>18</xdr:col>
      <xdr:colOff>551180</xdr:colOff>
      <xdr:row>0</xdr:row>
      <xdr:rowOff>581025</xdr:rowOff>
    </xdr:to>
    <xdr:sp macro="[1]!asht18">
      <xdr:nvSpPr>
        <xdr:cNvPr id="24" name="12">
          <a:hlinkClick xmlns:r="http://schemas.openxmlformats.org/officeDocument/2006/relationships" r:id="rId1"/>
        </xdr:cNvPr>
        <xdr:cNvSpPr/>
      </xdr:nvSpPr>
      <xdr:spPr>
        <a:xfrm>
          <a:off x="1568767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525145</xdr:colOff>
      <xdr:row>0</xdr:row>
      <xdr:rowOff>226695</xdr:rowOff>
    </xdr:from>
    <xdr:to>
      <xdr:col>19</xdr:col>
      <xdr:colOff>657225</xdr:colOff>
      <xdr:row>0</xdr:row>
      <xdr:rowOff>581025</xdr:rowOff>
    </xdr:to>
    <xdr:sp macro="[1]!asht18">
      <xdr:nvSpPr>
        <xdr:cNvPr id="25" name="12">
          <a:hlinkClick xmlns:r="http://schemas.openxmlformats.org/officeDocument/2006/relationships" r:id="rId2"/>
        </xdr:cNvPr>
        <xdr:cNvSpPr/>
      </xdr:nvSpPr>
      <xdr:spPr>
        <a:xfrm>
          <a:off x="164795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658495</xdr:colOff>
      <xdr:row>0</xdr:row>
      <xdr:rowOff>226695</xdr:rowOff>
    </xdr:from>
    <xdr:to>
      <xdr:col>21</xdr:col>
      <xdr:colOff>104775</xdr:colOff>
      <xdr:row>0</xdr:row>
      <xdr:rowOff>581025</xdr:rowOff>
    </xdr:to>
    <xdr:sp macro="[1]!asht18">
      <xdr:nvSpPr>
        <xdr:cNvPr id="26" name="12">
          <a:hlinkClick xmlns:r="http://schemas.openxmlformats.org/officeDocument/2006/relationships" r:id="rId3"/>
        </xdr:cNvPr>
        <xdr:cNvSpPr/>
      </xdr:nvSpPr>
      <xdr:spPr>
        <a:xfrm>
          <a:off x="172986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58420</xdr:colOff>
      <xdr:row>0</xdr:row>
      <xdr:rowOff>226695</xdr:rowOff>
    </xdr:from>
    <xdr:to>
      <xdr:col>22</xdr:col>
      <xdr:colOff>190500</xdr:colOff>
      <xdr:row>0</xdr:row>
      <xdr:rowOff>581025</xdr:rowOff>
    </xdr:to>
    <xdr:sp macro="[1]!asht18">
      <xdr:nvSpPr>
        <xdr:cNvPr id="27" name="12">
          <a:hlinkClick xmlns:r="http://schemas.openxmlformats.org/officeDocument/2006/relationships" r:id="rId4"/>
        </xdr:cNvPr>
        <xdr:cNvSpPr/>
      </xdr:nvSpPr>
      <xdr:spPr>
        <a:xfrm>
          <a:off x="180701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163195</xdr:colOff>
      <xdr:row>0</xdr:row>
      <xdr:rowOff>226695</xdr:rowOff>
    </xdr:from>
    <xdr:to>
      <xdr:col>23</xdr:col>
      <xdr:colOff>295275</xdr:colOff>
      <xdr:row>0</xdr:row>
      <xdr:rowOff>581025</xdr:rowOff>
    </xdr:to>
    <xdr:sp macro="[1]!asht18">
      <xdr:nvSpPr>
        <xdr:cNvPr id="28" name="12">
          <a:hlinkClick xmlns:r="http://schemas.openxmlformats.org/officeDocument/2006/relationships" r:id="rId5"/>
        </xdr:cNvPr>
        <xdr:cNvSpPr/>
      </xdr:nvSpPr>
      <xdr:spPr>
        <a:xfrm>
          <a:off x="18860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226695</xdr:rowOff>
    </xdr:from>
    <xdr:to>
      <xdr:col>24</xdr:col>
      <xdr:colOff>485775</xdr:colOff>
      <xdr:row>0</xdr:row>
      <xdr:rowOff>581025</xdr:rowOff>
    </xdr:to>
    <xdr:sp macro="[1]!asht18">
      <xdr:nvSpPr>
        <xdr:cNvPr id="29" name="12">
          <a:hlinkClick xmlns:r="http://schemas.openxmlformats.org/officeDocument/2006/relationships" r:id="rId6"/>
        </xdr:cNvPr>
        <xdr:cNvSpPr/>
      </xdr:nvSpPr>
      <xdr:spPr>
        <a:xfrm>
          <a:off x="197370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525145</xdr:colOff>
      <xdr:row>0</xdr:row>
      <xdr:rowOff>226695</xdr:rowOff>
    </xdr:from>
    <xdr:to>
      <xdr:col>25</xdr:col>
      <xdr:colOff>657225</xdr:colOff>
      <xdr:row>0</xdr:row>
      <xdr:rowOff>581025</xdr:rowOff>
    </xdr:to>
    <xdr:sp macro="[1]!asht18">
      <xdr:nvSpPr>
        <xdr:cNvPr id="30" name="12">
          <a:hlinkClick xmlns:r="http://schemas.openxmlformats.org/officeDocument/2006/relationships" r:id="rId7"/>
        </xdr:cNvPr>
        <xdr:cNvSpPr/>
      </xdr:nvSpPr>
      <xdr:spPr>
        <a:xfrm>
          <a:off x="2059432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58420</xdr:colOff>
      <xdr:row>0</xdr:row>
      <xdr:rowOff>226695</xdr:rowOff>
    </xdr:from>
    <xdr:to>
      <xdr:col>27</xdr:col>
      <xdr:colOff>190500</xdr:colOff>
      <xdr:row>0</xdr:row>
      <xdr:rowOff>581025</xdr:rowOff>
    </xdr:to>
    <xdr:sp macro="[1]!asht18">
      <xdr:nvSpPr>
        <xdr:cNvPr id="31" name="12">
          <a:hlinkClick xmlns:r="http://schemas.openxmlformats.org/officeDocument/2006/relationships" r:id="rId8"/>
        </xdr:cNvPr>
        <xdr:cNvSpPr/>
      </xdr:nvSpPr>
      <xdr:spPr>
        <a:xfrm>
          <a:off x="21499195" y="226695"/>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采购单</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163195</xdr:colOff>
      <xdr:row>0</xdr:row>
      <xdr:rowOff>226695</xdr:rowOff>
    </xdr:from>
    <xdr:to>
      <xdr:col>28</xdr:col>
      <xdr:colOff>295275</xdr:colOff>
      <xdr:row>0</xdr:row>
      <xdr:rowOff>581025</xdr:rowOff>
    </xdr:to>
    <xdr:sp macro="[1]!asht18">
      <xdr:nvSpPr>
        <xdr:cNvPr id="32" name="12">
          <a:hlinkClick xmlns:r="http://schemas.openxmlformats.org/officeDocument/2006/relationships" r:id="rId9"/>
        </xdr:cNvPr>
        <xdr:cNvSpPr/>
      </xdr:nvSpPr>
      <xdr:spPr>
        <a:xfrm>
          <a:off x="222897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401320</xdr:colOff>
      <xdr:row>0</xdr:row>
      <xdr:rowOff>226695</xdr:rowOff>
    </xdr:from>
    <xdr:to>
      <xdr:col>29</xdr:col>
      <xdr:colOff>533400</xdr:colOff>
      <xdr:row>0</xdr:row>
      <xdr:rowOff>581025</xdr:rowOff>
    </xdr:to>
    <xdr:sp macro="[1]!asht18">
      <xdr:nvSpPr>
        <xdr:cNvPr id="33" name="12">
          <a:hlinkClick xmlns:r="http://schemas.openxmlformats.org/officeDocument/2006/relationships" r:id="rId10"/>
        </xdr:cNvPr>
        <xdr:cNvSpPr/>
      </xdr:nvSpPr>
      <xdr:spPr>
        <a:xfrm>
          <a:off x="2321369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534670</xdr:colOff>
      <xdr:row>0</xdr:row>
      <xdr:rowOff>226695</xdr:rowOff>
    </xdr:from>
    <xdr:to>
      <xdr:col>30</xdr:col>
      <xdr:colOff>666750</xdr:colOff>
      <xdr:row>0</xdr:row>
      <xdr:rowOff>581025</xdr:rowOff>
    </xdr:to>
    <xdr:sp macro="[1]!asht18">
      <xdr:nvSpPr>
        <xdr:cNvPr id="34" name="12">
          <a:hlinkClick xmlns:r="http://schemas.openxmlformats.org/officeDocument/2006/relationships" r:id="rId11"/>
        </xdr:cNvPr>
        <xdr:cNvSpPr/>
      </xdr:nvSpPr>
      <xdr:spPr>
        <a:xfrm>
          <a:off x="24032845"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671195</xdr:colOff>
      <xdr:row>0</xdr:row>
      <xdr:rowOff>226695</xdr:rowOff>
    </xdr:from>
    <xdr:to>
      <xdr:col>32</xdr:col>
      <xdr:colOff>117475</xdr:colOff>
      <xdr:row>0</xdr:row>
      <xdr:rowOff>581025</xdr:rowOff>
    </xdr:to>
    <xdr:sp macro="[1]!asht18">
      <xdr:nvSpPr>
        <xdr:cNvPr id="35" name="12">
          <a:hlinkClick xmlns:r="http://schemas.openxmlformats.org/officeDocument/2006/relationships" r:id="rId12"/>
        </xdr:cNvPr>
        <xdr:cNvSpPr/>
      </xdr:nvSpPr>
      <xdr:spPr>
        <a:xfrm>
          <a:off x="24855170" y="22669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257175</xdr:colOff>
      <xdr:row>1</xdr:row>
      <xdr:rowOff>50800</xdr:rowOff>
    </xdr:from>
    <xdr:to>
      <xdr:col>3</xdr:col>
      <xdr:colOff>895350</xdr:colOff>
      <xdr:row>1</xdr:row>
      <xdr:rowOff>441325</xdr:rowOff>
    </xdr:to>
    <xdr:sp macro="[0]!select26">
      <xdr:nvSpPr>
        <xdr:cNvPr id="2" name="圆角矩形 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1245235</xdr:colOff>
      <xdr:row>1</xdr:row>
      <xdr:rowOff>50800</xdr:rowOff>
    </xdr:from>
    <xdr:to>
      <xdr:col>4</xdr:col>
      <xdr:colOff>1026160</xdr:colOff>
      <xdr:row>1</xdr:row>
      <xdr:rowOff>441325</xdr:rowOff>
    </xdr:to>
    <xdr:sp macro="[0]!PLSC_id2">
      <xdr:nvSpPr>
        <xdr:cNvPr id="3" name="圆角矩形 2"/>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90170</xdr:colOff>
      <xdr:row>1</xdr:row>
      <xdr:rowOff>50800</xdr:rowOff>
    </xdr:from>
    <xdr:to>
      <xdr:col>5</xdr:col>
      <xdr:colOff>1156970</xdr:colOff>
      <xdr:row>1</xdr:row>
      <xdr:rowOff>441325</xdr:rowOff>
    </xdr:to>
    <xdr:sp macro="[0]!select26_query">
      <xdr:nvSpPr>
        <xdr:cNvPr id="4" name="圆角矩形 3"/>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220980</xdr:colOff>
      <xdr:row>1</xdr:row>
      <xdr:rowOff>50800</xdr:rowOff>
    </xdr:from>
    <xdr:to>
      <xdr:col>7</xdr:col>
      <xdr:colOff>1905</xdr:colOff>
      <xdr:row>1</xdr:row>
      <xdr:rowOff>441325</xdr:rowOff>
    </xdr:to>
    <xdr:sp macro="[0]!save26">
      <xdr:nvSpPr>
        <xdr:cNvPr id="5" name="圆角矩形 4"/>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3</xdr:col>
      <xdr:colOff>337185</xdr:colOff>
      <xdr:row>0</xdr:row>
      <xdr:rowOff>127000</xdr:rowOff>
    </xdr:from>
    <xdr:to>
      <xdr:col>30</xdr:col>
      <xdr:colOff>447040</xdr:colOff>
      <xdr:row>0</xdr:row>
      <xdr:rowOff>624205</xdr:rowOff>
    </xdr:to>
    <xdr:sp>
      <xdr:nvSpPr>
        <xdr:cNvPr id="6" name="圆角矩形 14"/>
        <xdr:cNvSpPr/>
      </xdr:nvSpPr>
      <xdr:spPr>
        <a:xfrm>
          <a:off x="1118235" y="127000"/>
          <a:ext cx="2479865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394335</xdr:colOff>
      <xdr:row>0</xdr:row>
      <xdr:rowOff>203200</xdr:rowOff>
    </xdr:from>
    <xdr:to>
      <xdr:col>3</xdr:col>
      <xdr:colOff>1209675</xdr:colOff>
      <xdr:row>0</xdr:row>
      <xdr:rowOff>557530</xdr:rowOff>
    </xdr:to>
    <xdr:sp macro="[1]!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1249045</xdr:colOff>
      <xdr:row>0</xdr:row>
      <xdr:rowOff>203200</xdr:rowOff>
    </xdr:from>
    <xdr:to>
      <xdr:col>4</xdr:col>
      <xdr:colOff>778510</xdr:colOff>
      <xdr:row>0</xdr:row>
      <xdr:rowOff>557530</xdr:rowOff>
    </xdr:to>
    <xdr:sp macro="[1]!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817880</xdr:colOff>
      <xdr:row>0</xdr:row>
      <xdr:rowOff>203200</xdr:rowOff>
    </xdr:from>
    <xdr:to>
      <xdr:col>5</xdr:col>
      <xdr:colOff>347345</xdr:colOff>
      <xdr:row>0</xdr:row>
      <xdr:rowOff>557530</xdr:rowOff>
    </xdr:to>
    <xdr:sp macro="[1]!asht4">
      <xdr:nvSpPr>
        <xdr:cNvPr id="9"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386715</xdr:colOff>
      <xdr:row>0</xdr:row>
      <xdr:rowOff>203200</xdr:rowOff>
    </xdr:from>
    <xdr:to>
      <xdr:col>5</xdr:col>
      <xdr:colOff>1202055</xdr:colOff>
      <xdr:row>0</xdr:row>
      <xdr:rowOff>557530</xdr:rowOff>
    </xdr:to>
    <xdr:sp macro="[1]!asht16">
      <xdr:nvSpPr>
        <xdr:cNvPr id="10"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1241425</xdr:colOff>
      <xdr:row>0</xdr:row>
      <xdr:rowOff>203200</xdr:rowOff>
    </xdr:from>
    <xdr:to>
      <xdr:col>6</xdr:col>
      <xdr:colOff>771525</xdr:colOff>
      <xdr:row>0</xdr:row>
      <xdr:rowOff>557530</xdr:rowOff>
    </xdr:to>
    <xdr:sp macro="[1]!asht14">
      <xdr:nvSpPr>
        <xdr:cNvPr id="11"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810895</xdr:colOff>
      <xdr:row>0</xdr:row>
      <xdr:rowOff>203200</xdr:rowOff>
    </xdr:from>
    <xdr:to>
      <xdr:col>7</xdr:col>
      <xdr:colOff>339725</xdr:colOff>
      <xdr:row>0</xdr:row>
      <xdr:rowOff>557530</xdr:rowOff>
    </xdr:to>
    <xdr:sp macro="[1]!asht17">
      <xdr:nvSpPr>
        <xdr:cNvPr id="12"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379095</xdr:colOff>
      <xdr:row>0</xdr:row>
      <xdr:rowOff>203200</xdr:rowOff>
    </xdr:from>
    <xdr:to>
      <xdr:col>7</xdr:col>
      <xdr:colOff>1194435</xdr:colOff>
      <xdr:row>0</xdr:row>
      <xdr:rowOff>557530</xdr:rowOff>
    </xdr:to>
    <xdr:sp macro="[1]!asht5">
      <xdr:nvSpPr>
        <xdr:cNvPr id="13"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1233805</xdr:colOff>
      <xdr:row>0</xdr:row>
      <xdr:rowOff>203200</xdr:rowOff>
    </xdr:from>
    <xdr:to>
      <xdr:col>8</xdr:col>
      <xdr:colOff>763270</xdr:colOff>
      <xdr:row>0</xdr:row>
      <xdr:rowOff>557530</xdr:rowOff>
    </xdr:to>
    <xdr:sp macro="[1]!asht6">
      <xdr:nvSpPr>
        <xdr:cNvPr id="14" name="8"/>
        <xdr:cNvSpPr/>
      </xdr:nvSpPr>
      <xdr:spPr>
        <a:xfrm>
          <a:off x="7158355" y="203200"/>
          <a:ext cx="815340" cy="354330"/>
        </a:xfrm>
        <a:prstGeom prst="rect">
          <a:avLst/>
        </a:prstGeom>
        <a:ln>
          <a:noFill/>
        </a:ln>
        <a:extLst>
          <a:ext uri="{909E8E84-426E-40DD-AFC4-6F175D3DCCD1}">
            <a14:hiddenFill xmlns:a14="http://schemas.microsoft.com/office/drawing/2010/main">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14:hiddenFill>
          </a:ext>
        </a:extLst>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802640</xdr:colOff>
      <xdr:row>0</xdr:row>
      <xdr:rowOff>203200</xdr:rowOff>
    </xdr:from>
    <xdr:to>
      <xdr:col>9</xdr:col>
      <xdr:colOff>332740</xdr:colOff>
      <xdr:row>0</xdr:row>
      <xdr:rowOff>557530</xdr:rowOff>
    </xdr:to>
    <xdr:sp macro="[1]!asht7">
      <xdr:nvSpPr>
        <xdr:cNvPr id="15"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372110</xdr:colOff>
      <xdr:row>0</xdr:row>
      <xdr:rowOff>203200</xdr:rowOff>
    </xdr:from>
    <xdr:to>
      <xdr:col>9</xdr:col>
      <xdr:colOff>1187450</xdr:colOff>
      <xdr:row>0</xdr:row>
      <xdr:rowOff>557530</xdr:rowOff>
    </xdr:to>
    <xdr:sp macro="[1]!asht8">
      <xdr:nvSpPr>
        <xdr:cNvPr id="16"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1226820</xdr:colOff>
      <xdr:row>0</xdr:row>
      <xdr:rowOff>203200</xdr:rowOff>
    </xdr:from>
    <xdr:to>
      <xdr:col>10</xdr:col>
      <xdr:colOff>756285</xdr:colOff>
      <xdr:row>0</xdr:row>
      <xdr:rowOff>557530</xdr:rowOff>
    </xdr:to>
    <xdr:sp macro="[1]!asht15">
      <xdr:nvSpPr>
        <xdr:cNvPr id="17"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795655</xdr:colOff>
      <xdr:row>0</xdr:row>
      <xdr:rowOff>203200</xdr:rowOff>
    </xdr:from>
    <xdr:to>
      <xdr:col>11</xdr:col>
      <xdr:colOff>327660</xdr:colOff>
      <xdr:row>0</xdr:row>
      <xdr:rowOff>557530</xdr:rowOff>
    </xdr:to>
    <xdr:sp macro="[1]!asht9">
      <xdr:nvSpPr>
        <xdr:cNvPr id="18"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299720</xdr:colOff>
      <xdr:row>0</xdr:row>
      <xdr:rowOff>607060</xdr:rowOff>
    </xdr:to>
    <xdr:sp>
      <xdr:nvSpPr>
        <xdr:cNvPr id="19" name="文本框 18"/>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采购未入库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367030</xdr:colOff>
      <xdr:row>0</xdr:row>
      <xdr:rowOff>203200</xdr:rowOff>
    </xdr:from>
    <xdr:to>
      <xdr:col>11</xdr:col>
      <xdr:colOff>1184910</xdr:colOff>
      <xdr:row>0</xdr:row>
      <xdr:rowOff>557530</xdr:rowOff>
    </xdr:to>
    <xdr:sp macro="[1]!asht10">
      <xdr:nvSpPr>
        <xdr:cNvPr id="20"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1224280</xdr:colOff>
      <xdr:row>0</xdr:row>
      <xdr:rowOff>203200</xdr:rowOff>
    </xdr:from>
    <xdr:to>
      <xdr:col>12</xdr:col>
      <xdr:colOff>756285</xdr:colOff>
      <xdr:row>0</xdr:row>
      <xdr:rowOff>557530</xdr:rowOff>
    </xdr:to>
    <xdr:sp macro="[1]!asht11">
      <xdr:nvSpPr>
        <xdr:cNvPr id="21"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795655</xdr:colOff>
      <xdr:row>0</xdr:row>
      <xdr:rowOff>203200</xdr:rowOff>
    </xdr:from>
    <xdr:to>
      <xdr:col>13</xdr:col>
      <xdr:colOff>327660</xdr:colOff>
      <xdr:row>0</xdr:row>
      <xdr:rowOff>557530</xdr:rowOff>
    </xdr:to>
    <xdr:sp macro="[1]!asht12">
      <xdr:nvSpPr>
        <xdr:cNvPr id="22"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367030</xdr:colOff>
      <xdr:row>0</xdr:row>
      <xdr:rowOff>203200</xdr:rowOff>
    </xdr:from>
    <xdr:to>
      <xdr:col>13</xdr:col>
      <xdr:colOff>1184910</xdr:colOff>
      <xdr:row>0</xdr:row>
      <xdr:rowOff>557530</xdr:rowOff>
    </xdr:to>
    <xdr:sp macro="[1]!asht13">
      <xdr:nvSpPr>
        <xdr:cNvPr id="23"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1224280</xdr:colOff>
      <xdr:row>0</xdr:row>
      <xdr:rowOff>203200</xdr:rowOff>
    </xdr:from>
    <xdr:to>
      <xdr:col>15</xdr:col>
      <xdr:colOff>499110</xdr:colOff>
      <xdr:row>0</xdr:row>
      <xdr:rowOff>557530</xdr:rowOff>
    </xdr:to>
    <xdr:sp macro="[1]!asht18">
      <xdr:nvSpPr>
        <xdr:cNvPr id="24"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304800</xdr:colOff>
      <xdr:row>1</xdr:row>
      <xdr:rowOff>50800</xdr:rowOff>
    </xdr:from>
    <xdr:to>
      <xdr:col>8</xdr:col>
      <xdr:colOff>227965</xdr:colOff>
      <xdr:row>1</xdr:row>
      <xdr:rowOff>441325</xdr:rowOff>
    </xdr:to>
    <xdr:sp macro="[0]!qrcode26">
      <xdr:nvSpPr>
        <xdr:cNvPr id="25" name="圆角矩形 24"/>
        <xdr:cNvSpPr/>
      </xdr:nvSpPr>
      <xdr:spPr>
        <a:xfrm>
          <a:off x="6229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8</xdr:col>
      <xdr:colOff>495300</xdr:colOff>
      <xdr:row>1</xdr:row>
      <xdr:rowOff>50800</xdr:rowOff>
    </xdr:from>
    <xdr:to>
      <xdr:col>9</xdr:col>
      <xdr:colOff>418465</xdr:colOff>
      <xdr:row>1</xdr:row>
      <xdr:rowOff>441325</xdr:rowOff>
    </xdr:to>
    <xdr:sp macro="[0]!barcode26">
      <xdr:nvSpPr>
        <xdr:cNvPr id="26" name="圆角矩形 25"/>
        <xdr:cNvSpPr/>
      </xdr:nvSpPr>
      <xdr:spPr>
        <a:xfrm>
          <a:off x="77057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15</xdr:col>
      <xdr:colOff>514350</xdr:colOff>
      <xdr:row>0</xdr:row>
      <xdr:rowOff>207645</xdr:rowOff>
    </xdr:from>
    <xdr:to>
      <xdr:col>16</xdr:col>
      <xdr:colOff>646430</xdr:colOff>
      <xdr:row>0</xdr:row>
      <xdr:rowOff>561975</xdr:rowOff>
    </xdr:to>
    <xdr:sp macro="[1]!asht18">
      <xdr:nvSpPr>
        <xdr:cNvPr id="27" name="12">
          <a:hlinkClick xmlns:r="http://schemas.openxmlformats.org/officeDocument/2006/relationships" r:id="rId1"/>
        </xdr:cNvPr>
        <xdr:cNvSpPr/>
      </xdr:nvSpPr>
      <xdr:spPr>
        <a:xfrm>
          <a:off x="156972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620395</xdr:colOff>
      <xdr:row>0</xdr:row>
      <xdr:rowOff>207645</xdr:rowOff>
    </xdr:from>
    <xdr:to>
      <xdr:col>18</xdr:col>
      <xdr:colOff>66675</xdr:colOff>
      <xdr:row>0</xdr:row>
      <xdr:rowOff>561975</xdr:rowOff>
    </xdr:to>
    <xdr:sp macro="[1]!asht18">
      <xdr:nvSpPr>
        <xdr:cNvPr id="28" name="12">
          <a:hlinkClick xmlns:r="http://schemas.openxmlformats.org/officeDocument/2006/relationships" r:id="rId2"/>
        </xdr:cNvPr>
        <xdr:cNvSpPr/>
      </xdr:nvSpPr>
      <xdr:spPr>
        <a:xfrm>
          <a:off x="164890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67945</xdr:colOff>
      <xdr:row>0</xdr:row>
      <xdr:rowOff>207645</xdr:rowOff>
    </xdr:from>
    <xdr:to>
      <xdr:col>19</xdr:col>
      <xdr:colOff>200025</xdr:colOff>
      <xdr:row>0</xdr:row>
      <xdr:rowOff>561975</xdr:rowOff>
    </xdr:to>
    <xdr:sp macro="[1]!asht18">
      <xdr:nvSpPr>
        <xdr:cNvPr id="29" name="12">
          <a:hlinkClick xmlns:r="http://schemas.openxmlformats.org/officeDocument/2006/relationships" r:id="rId3"/>
        </xdr:cNvPr>
        <xdr:cNvSpPr/>
      </xdr:nvSpPr>
      <xdr:spPr>
        <a:xfrm>
          <a:off x="17308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207645</xdr:rowOff>
    </xdr:from>
    <xdr:to>
      <xdr:col>20</xdr:col>
      <xdr:colOff>285750</xdr:colOff>
      <xdr:row>0</xdr:row>
      <xdr:rowOff>561975</xdr:rowOff>
    </xdr:to>
    <xdr:sp macro="[1]!asht18">
      <xdr:nvSpPr>
        <xdr:cNvPr id="30" name="12">
          <a:hlinkClick xmlns:r="http://schemas.openxmlformats.org/officeDocument/2006/relationships" r:id="rId4"/>
        </xdr:cNvPr>
        <xdr:cNvSpPr/>
      </xdr:nvSpPr>
      <xdr:spPr>
        <a:xfrm>
          <a:off x="18079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258445</xdr:colOff>
      <xdr:row>0</xdr:row>
      <xdr:rowOff>207645</xdr:rowOff>
    </xdr:from>
    <xdr:to>
      <xdr:col>21</xdr:col>
      <xdr:colOff>390525</xdr:colOff>
      <xdr:row>0</xdr:row>
      <xdr:rowOff>561975</xdr:rowOff>
    </xdr:to>
    <xdr:sp macro="[1]!asht18">
      <xdr:nvSpPr>
        <xdr:cNvPr id="31" name="12">
          <a:hlinkClick xmlns:r="http://schemas.openxmlformats.org/officeDocument/2006/relationships" r:id="rId5"/>
        </xdr:cNvPr>
        <xdr:cNvSpPr/>
      </xdr:nvSpPr>
      <xdr:spPr>
        <a:xfrm>
          <a:off x="18870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448945</xdr:colOff>
      <xdr:row>0</xdr:row>
      <xdr:rowOff>207645</xdr:rowOff>
    </xdr:from>
    <xdr:to>
      <xdr:col>22</xdr:col>
      <xdr:colOff>581025</xdr:colOff>
      <xdr:row>0</xdr:row>
      <xdr:rowOff>561975</xdr:rowOff>
    </xdr:to>
    <xdr:sp macro="[1]!asht18">
      <xdr:nvSpPr>
        <xdr:cNvPr id="32" name="12">
          <a:hlinkClick xmlns:r="http://schemas.openxmlformats.org/officeDocument/2006/relationships" r:id="rId6"/>
        </xdr:cNvPr>
        <xdr:cNvSpPr/>
      </xdr:nvSpPr>
      <xdr:spPr>
        <a:xfrm>
          <a:off x="1974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620395</xdr:colOff>
      <xdr:row>0</xdr:row>
      <xdr:rowOff>207645</xdr:rowOff>
    </xdr:from>
    <xdr:to>
      <xdr:col>24</xdr:col>
      <xdr:colOff>66675</xdr:colOff>
      <xdr:row>0</xdr:row>
      <xdr:rowOff>561975</xdr:rowOff>
    </xdr:to>
    <xdr:sp macro="[1]!asht18">
      <xdr:nvSpPr>
        <xdr:cNvPr id="33" name="12">
          <a:hlinkClick xmlns:r="http://schemas.openxmlformats.org/officeDocument/2006/relationships" r:id="rId7"/>
        </xdr:cNvPr>
        <xdr:cNvSpPr/>
      </xdr:nvSpPr>
      <xdr:spPr>
        <a:xfrm>
          <a:off x="206038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153670</xdr:colOff>
      <xdr:row>0</xdr:row>
      <xdr:rowOff>207645</xdr:rowOff>
    </xdr:from>
    <xdr:to>
      <xdr:col>25</xdr:col>
      <xdr:colOff>285750</xdr:colOff>
      <xdr:row>0</xdr:row>
      <xdr:rowOff>561975</xdr:rowOff>
    </xdr:to>
    <xdr:sp macro="[1]!asht18">
      <xdr:nvSpPr>
        <xdr:cNvPr id="34" name="12">
          <a:hlinkClick xmlns:r="http://schemas.openxmlformats.org/officeDocument/2006/relationships" r:id="rId8"/>
        </xdr:cNvPr>
        <xdr:cNvSpPr/>
      </xdr:nvSpPr>
      <xdr:spPr>
        <a:xfrm>
          <a:off x="215087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258445</xdr:colOff>
      <xdr:row>0</xdr:row>
      <xdr:rowOff>207645</xdr:rowOff>
    </xdr:from>
    <xdr:to>
      <xdr:col>26</xdr:col>
      <xdr:colOff>390525</xdr:colOff>
      <xdr:row>0</xdr:row>
      <xdr:rowOff>561975</xdr:rowOff>
    </xdr:to>
    <xdr:sp macro="[1]!asht18">
      <xdr:nvSpPr>
        <xdr:cNvPr id="35" name="12">
          <a:hlinkClick xmlns:r="http://schemas.openxmlformats.org/officeDocument/2006/relationships" r:id="rId9"/>
        </xdr:cNvPr>
        <xdr:cNvSpPr/>
      </xdr:nvSpPr>
      <xdr:spPr>
        <a:xfrm>
          <a:off x="222992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496570</xdr:colOff>
      <xdr:row>0</xdr:row>
      <xdr:rowOff>207645</xdr:rowOff>
    </xdr:from>
    <xdr:to>
      <xdr:col>27</xdr:col>
      <xdr:colOff>628650</xdr:colOff>
      <xdr:row>0</xdr:row>
      <xdr:rowOff>561975</xdr:rowOff>
    </xdr:to>
    <xdr:sp macro="[1]!asht18">
      <xdr:nvSpPr>
        <xdr:cNvPr id="36" name="12">
          <a:hlinkClick xmlns:r="http://schemas.openxmlformats.org/officeDocument/2006/relationships" r:id="rId10"/>
        </xdr:cNvPr>
        <xdr:cNvSpPr/>
      </xdr:nvSpPr>
      <xdr:spPr>
        <a:xfrm>
          <a:off x="232232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629920</xdr:colOff>
      <xdr:row>0</xdr:row>
      <xdr:rowOff>207645</xdr:rowOff>
    </xdr:from>
    <xdr:to>
      <xdr:col>29</xdr:col>
      <xdr:colOff>76200</xdr:colOff>
      <xdr:row>0</xdr:row>
      <xdr:rowOff>561975</xdr:rowOff>
    </xdr:to>
    <xdr:sp macro="[1]!asht18">
      <xdr:nvSpPr>
        <xdr:cNvPr id="37" name="12">
          <a:hlinkClick xmlns:r="http://schemas.openxmlformats.org/officeDocument/2006/relationships" r:id="rId11"/>
        </xdr:cNvPr>
        <xdr:cNvSpPr/>
      </xdr:nvSpPr>
      <xdr:spPr>
        <a:xfrm>
          <a:off x="2404237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80645</xdr:colOff>
      <xdr:row>0</xdr:row>
      <xdr:rowOff>207645</xdr:rowOff>
    </xdr:from>
    <xdr:to>
      <xdr:col>30</xdr:col>
      <xdr:colOff>212725</xdr:colOff>
      <xdr:row>0</xdr:row>
      <xdr:rowOff>561975</xdr:rowOff>
    </xdr:to>
    <xdr:sp macro="[1]!asht18">
      <xdr:nvSpPr>
        <xdr:cNvPr id="38" name="12">
          <a:hlinkClick xmlns:r="http://schemas.openxmlformats.org/officeDocument/2006/relationships" r:id="rId12"/>
        </xdr:cNvPr>
        <xdr:cNvSpPr/>
      </xdr:nvSpPr>
      <xdr:spPr>
        <a:xfrm>
          <a:off x="24864695"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采购未入库明细</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133350</xdr:colOff>
      <xdr:row>1</xdr:row>
      <xdr:rowOff>12700</xdr:rowOff>
    </xdr:from>
    <xdr:to>
      <xdr:col>2</xdr:col>
      <xdr:colOff>1200150</xdr:colOff>
      <xdr:row>1</xdr:row>
      <xdr:rowOff>403225</xdr:rowOff>
    </xdr:to>
    <xdr:sp macro="[1]!print_out">
      <xdr:nvSpPr>
        <xdr:cNvPr id="3" name="圆角矩形 2"/>
        <xdr:cNvSpPr/>
      </xdr:nvSpPr>
      <xdr:spPr>
        <a:xfrm>
          <a:off x="742950" y="7747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31</xdr:col>
      <xdr:colOff>636905</xdr:colOff>
      <xdr:row>0</xdr:row>
      <xdr:rowOff>624205</xdr:rowOff>
    </xdr:to>
    <xdr:sp>
      <xdr:nvSpPr>
        <xdr:cNvPr id="4" name="圆角矩形 14"/>
        <xdr:cNvSpPr/>
      </xdr:nvSpPr>
      <xdr:spPr>
        <a:xfrm>
          <a:off x="1118235" y="127000"/>
          <a:ext cx="249027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1]!asht16">
      <xdr:nvSpPr>
        <xdr:cNvPr id="8"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1]!asht5">
      <xdr:nvSpPr>
        <xdr:cNvPr id="1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单据</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600075</xdr:colOff>
      <xdr:row>0</xdr:row>
      <xdr:rowOff>200025</xdr:rowOff>
    </xdr:from>
    <xdr:to>
      <xdr:col>18</xdr:col>
      <xdr:colOff>46355</xdr:colOff>
      <xdr:row>0</xdr:row>
      <xdr:rowOff>554355</xdr:rowOff>
    </xdr:to>
    <xdr:sp macro="[1]!asht18">
      <xdr:nvSpPr>
        <xdr:cNvPr id="23" name="12">
          <a:hlinkClick xmlns:r="http://schemas.openxmlformats.org/officeDocument/2006/relationships" r:id="rId1"/>
        </xdr:cNvPr>
        <xdr:cNvSpPr/>
      </xdr:nvSpPr>
      <xdr:spPr>
        <a:xfrm>
          <a:off x="1569720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20320</xdr:colOff>
      <xdr:row>0</xdr:row>
      <xdr:rowOff>200025</xdr:rowOff>
    </xdr:from>
    <xdr:to>
      <xdr:col>19</xdr:col>
      <xdr:colOff>152400</xdr:colOff>
      <xdr:row>0</xdr:row>
      <xdr:rowOff>554355</xdr:rowOff>
    </xdr:to>
    <xdr:sp macro="[1]!asht18">
      <xdr:nvSpPr>
        <xdr:cNvPr id="24" name="12">
          <a:hlinkClick xmlns:r="http://schemas.openxmlformats.org/officeDocument/2006/relationships" r:id="rId2"/>
        </xdr:cNvPr>
        <xdr:cNvSpPr/>
      </xdr:nvSpPr>
      <xdr:spPr>
        <a:xfrm>
          <a:off x="164890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153670</xdr:colOff>
      <xdr:row>0</xdr:row>
      <xdr:rowOff>200025</xdr:rowOff>
    </xdr:from>
    <xdr:to>
      <xdr:col>20</xdr:col>
      <xdr:colOff>285750</xdr:colOff>
      <xdr:row>0</xdr:row>
      <xdr:rowOff>554355</xdr:rowOff>
    </xdr:to>
    <xdr:sp macro="[1]!asht18">
      <xdr:nvSpPr>
        <xdr:cNvPr id="25" name="12">
          <a:hlinkClick xmlns:r="http://schemas.openxmlformats.org/officeDocument/2006/relationships" r:id="rId3"/>
        </xdr:cNvPr>
        <xdr:cNvSpPr/>
      </xdr:nvSpPr>
      <xdr:spPr>
        <a:xfrm>
          <a:off x="173081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239395</xdr:colOff>
      <xdr:row>0</xdr:row>
      <xdr:rowOff>200025</xdr:rowOff>
    </xdr:from>
    <xdr:to>
      <xdr:col>21</xdr:col>
      <xdr:colOff>371475</xdr:colOff>
      <xdr:row>0</xdr:row>
      <xdr:rowOff>554355</xdr:rowOff>
    </xdr:to>
    <xdr:sp macro="[1]!asht18">
      <xdr:nvSpPr>
        <xdr:cNvPr id="26" name="12">
          <a:hlinkClick xmlns:r="http://schemas.openxmlformats.org/officeDocument/2006/relationships" r:id="rId4"/>
        </xdr:cNvPr>
        <xdr:cNvSpPr/>
      </xdr:nvSpPr>
      <xdr:spPr>
        <a:xfrm>
          <a:off x="18079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344170</xdr:colOff>
      <xdr:row>0</xdr:row>
      <xdr:rowOff>200025</xdr:rowOff>
    </xdr:from>
    <xdr:to>
      <xdr:col>22</xdr:col>
      <xdr:colOff>476250</xdr:colOff>
      <xdr:row>0</xdr:row>
      <xdr:rowOff>554355</xdr:rowOff>
    </xdr:to>
    <xdr:sp macro="[1]!asht18">
      <xdr:nvSpPr>
        <xdr:cNvPr id="27" name="12">
          <a:hlinkClick xmlns:r="http://schemas.openxmlformats.org/officeDocument/2006/relationships" r:id="rId5"/>
        </xdr:cNvPr>
        <xdr:cNvSpPr/>
      </xdr:nvSpPr>
      <xdr:spPr>
        <a:xfrm>
          <a:off x="18870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534670</xdr:colOff>
      <xdr:row>0</xdr:row>
      <xdr:rowOff>200025</xdr:rowOff>
    </xdr:from>
    <xdr:to>
      <xdr:col>23</xdr:col>
      <xdr:colOff>666750</xdr:colOff>
      <xdr:row>0</xdr:row>
      <xdr:rowOff>554355</xdr:rowOff>
    </xdr:to>
    <xdr:sp macro="[1]!asht18">
      <xdr:nvSpPr>
        <xdr:cNvPr id="28" name="12">
          <a:hlinkClick xmlns:r="http://schemas.openxmlformats.org/officeDocument/2006/relationships" r:id="rId6"/>
        </xdr:cNvPr>
        <xdr:cNvSpPr/>
      </xdr:nvSpPr>
      <xdr:spPr>
        <a:xfrm>
          <a:off x="197465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20320</xdr:colOff>
      <xdr:row>0</xdr:row>
      <xdr:rowOff>200025</xdr:rowOff>
    </xdr:from>
    <xdr:to>
      <xdr:col>25</xdr:col>
      <xdr:colOff>152400</xdr:colOff>
      <xdr:row>0</xdr:row>
      <xdr:rowOff>554355</xdr:rowOff>
    </xdr:to>
    <xdr:sp macro="[1]!asht18">
      <xdr:nvSpPr>
        <xdr:cNvPr id="29" name="12">
          <a:hlinkClick xmlns:r="http://schemas.openxmlformats.org/officeDocument/2006/relationships" r:id="rId7"/>
        </xdr:cNvPr>
        <xdr:cNvSpPr/>
      </xdr:nvSpPr>
      <xdr:spPr>
        <a:xfrm>
          <a:off x="2060384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239395</xdr:colOff>
      <xdr:row>0</xdr:row>
      <xdr:rowOff>200025</xdr:rowOff>
    </xdr:from>
    <xdr:to>
      <xdr:col>26</xdr:col>
      <xdr:colOff>371475</xdr:colOff>
      <xdr:row>0</xdr:row>
      <xdr:rowOff>554355</xdr:rowOff>
    </xdr:to>
    <xdr:sp macro="[1]!asht18">
      <xdr:nvSpPr>
        <xdr:cNvPr id="30" name="12">
          <a:hlinkClick xmlns:r="http://schemas.openxmlformats.org/officeDocument/2006/relationships" r:id="rId8"/>
        </xdr:cNvPr>
        <xdr:cNvSpPr/>
      </xdr:nvSpPr>
      <xdr:spPr>
        <a:xfrm>
          <a:off x="215087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344170</xdr:colOff>
      <xdr:row>0</xdr:row>
      <xdr:rowOff>200025</xdr:rowOff>
    </xdr:from>
    <xdr:to>
      <xdr:col>27</xdr:col>
      <xdr:colOff>476250</xdr:colOff>
      <xdr:row>0</xdr:row>
      <xdr:rowOff>554355</xdr:rowOff>
    </xdr:to>
    <xdr:sp macro="[1]!asht18">
      <xdr:nvSpPr>
        <xdr:cNvPr id="31" name="12">
          <a:hlinkClick xmlns:r="http://schemas.openxmlformats.org/officeDocument/2006/relationships" r:id="rId9"/>
        </xdr:cNvPr>
        <xdr:cNvSpPr/>
      </xdr:nvSpPr>
      <xdr:spPr>
        <a:xfrm>
          <a:off x="222992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582295</xdr:colOff>
      <xdr:row>0</xdr:row>
      <xdr:rowOff>200025</xdr:rowOff>
    </xdr:from>
    <xdr:to>
      <xdr:col>29</xdr:col>
      <xdr:colOff>28575</xdr:colOff>
      <xdr:row>0</xdr:row>
      <xdr:rowOff>554355</xdr:rowOff>
    </xdr:to>
    <xdr:sp macro="[1]!asht18">
      <xdr:nvSpPr>
        <xdr:cNvPr id="32" name="12">
          <a:hlinkClick xmlns:r="http://schemas.openxmlformats.org/officeDocument/2006/relationships" r:id="rId10"/>
        </xdr:cNvPr>
        <xdr:cNvSpPr/>
      </xdr:nvSpPr>
      <xdr:spPr>
        <a:xfrm>
          <a:off x="2322322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29845</xdr:colOff>
      <xdr:row>0</xdr:row>
      <xdr:rowOff>200025</xdr:rowOff>
    </xdr:from>
    <xdr:to>
      <xdr:col>30</xdr:col>
      <xdr:colOff>161925</xdr:colOff>
      <xdr:row>0</xdr:row>
      <xdr:rowOff>554355</xdr:rowOff>
    </xdr:to>
    <xdr:sp macro="[1]!asht18">
      <xdr:nvSpPr>
        <xdr:cNvPr id="33" name="12">
          <a:hlinkClick xmlns:r="http://schemas.openxmlformats.org/officeDocument/2006/relationships" r:id="rId11"/>
        </xdr:cNvPr>
        <xdr:cNvSpPr/>
      </xdr:nvSpPr>
      <xdr:spPr>
        <a:xfrm>
          <a:off x="24042370"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166370</xdr:colOff>
      <xdr:row>0</xdr:row>
      <xdr:rowOff>200025</xdr:rowOff>
    </xdr:from>
    <xdr:to>
      <xdr:col>31</xdr:col>
      <xdr:colOff>298450</xdr:colOff>
      <xdr:row>0</xdr:row>
      <xdr:rowOff>554355</xdr:rowOff>
    </xdr:to>
    <xdr:sp macro="[1]!asht18">
      <xdr:nvSpPr>
        <xdr:cNvPr id="34" name="12">
          <a:hlinkClick xmlns:r="http://schemas.openxmlformats.org/officeDocument/2006/relationships" r:id="rId12"/>
        </xdr:cNvPr>
        <xdr:cNvSpPr/>
      </xdr:nvSpPr>
      <xdr:spPr>
        <a:xfrm>
          <a:off x="24864695" y="20002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7">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7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32</xdr:col>
      <xdr:colOff>646430</xdr:colOff>
      <xdr:row>0</xdr:row>
      <xdr:rowOff>624205</xdr:rowOff>
    </xdr:to>
    <xdr:sp>
      <xdr:nvSpPr>
        <xdr:cNvPr id="4" name="圆角矩形 14"/>
        <xdr:cNvSpPr/>
      </xdr:nvSpPr>
      <xdr:spPr>
        <a:xfrm>
          <a:off x="1118235" y="127000"/>
          <a:ext cx="247218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期末数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13</xdr:col>
      <xdr:colOff>89535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128905</xdr:colOff>
      <xdr:row>0</xdr:row>
      <xdr:rowOff>203200</xdr:rowOff>
    </xdr:from>
    <xdr:to>
      <xdr:col>14</xdr:col>
      <xdr:colOff>260985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300355</xdr:colOff>
      <xdr:row>0</xdr:row>
      <xdr:rowOff>203200</xdr:rowOff>
    </xdr:from>
    <xdr:to>
      <xdr:col>15</xdr:col>
      <xdr:colOff>432435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471805</xdr:colOff>
      <xdr:row>0</xdr:row>
      <xdr:rowOff>203200</xdr:rowOff>
    </xdr:from>
    <xdr:to>
      <xdr:col>16</xdr:col>
      <xdr:colOff>603885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643255</xdr:colOff>
      <xdr:row>0</xdr:row>
      <xdr:rowOff>203200</xdr:rowOff>
    </xdr:from>
    <xdr:to>
      <xdr:col>18</xdr:col>
      <xdr:colOff>89535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57150</xdr:colOff>
      <xdr:row>0</xdr:row>
      <xdr:rowOff>245745</xdr:rowOff>
    </xdr:from>
    <xdr:to>
      <xdr:col>19</xdr:col>
      <xdr:colOff>189230</xdr:colOff>
      <xdr:row>0</xdr:row>
      <xdr:rowOff>600075</xdr:rowOff>
    </xdr:to>
    <xdr:sp macro="[1]!asht18">
      <xdr:nvSpPr>
        <xdr:cNvPr id="23" name="12">
          <a:hlinkClick xmlns:r="http://schemas.openxmlformats.org/officeDocument/2006/relationships" r:id="rId1"/>
        </xdr:cNvPr>
        <xdr:cNvSpPr/>
      </xdr:nvSpPr>
      <xdr:spPr>
        <a:xfrm>
          <a:off x="1564957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163195</xdr:colOff>
      <xdr:row>0</xdr:row>
      <xdr:rowOff>245745</xdr:rowOff>
    </xdr:from>
    <xdr:to>
      <xdr:col>20</xdr:col>
      <xdr:colOff>295275</xdr:colOff>
      <xdr:row>0</xdr:row>
      <xdr:rowOff>600075</xdr:rowOff>
    </xdr:to>
    <xdr:sp macro="[1]!asht18">
      <xdr:nvSpPr>
        <xdr:cNvPr id="24" name="12">
          <a:hlinkClick xmlns:r="http://schemas.openxmlformats.org/officeDocument/2006/relationships" r:id="rId2"/>
        </xdr:cNvPr>
        <xdr:cNvSpPr/>
      </xdr:nvSpPr>
      <xdr:spPr>
        <a:xfrm>
          <a:off x="164414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296545</xdr:colOff>
      <xdr:row>0</xdr:row>
      <xdr:rowOff>245745</xdr:rowOff>
    </xdr:from>
    <xdr:to>
      <xdr:col>21</xdr:col>
      <xdr:colOff>428625</xdr:colOff>
      <xdr:row>0</xdr:row>
      <xdr:rowOff>600075</xdr:rowOff>
    </xdr:to>
    <xdr:sp macro="[1]!asht18">
      <xdr:nvSpPr>
        <xdr:cNvPr id="25" name="12">
          <a:hlinkClick xmlns:r="http://schemas.openxmlformats.org/officeDocument/2006/relationships" r:id="rId3"/>
        </xdr:cNvPr>
        <xdr:cNvSpPr/>
      </xdr:nvSpPr>
      <xdr:spPr>
        <a:xfrm>
          <a:off x="172605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382270</xdr:colOff>
      <xdr:row>0</xdr:row>
      <xdr:rowOff>245745</xdr:rowOff>
    </xdr:from>
    <xdr:to>
      <xdr:col>22</xdr:col>
      <xdr:colOff>514350</xdr:colOff>
      <xdr:row>0</xdr:row>
      <xdr:rowOff>600075</xdr:rowOff>
    </xdr:to>
    <xdr:sp macro="[1]!asht18">
      <xdr:nvSpPr>
        <xdr:cNvPr id="26" name="12">
          <a:hlinkClick xmlns:r="http://schemas.openxmlformats.org/officeDocument/2006/relationships" r:id="rId4"/>
        </xdr:cNvPr>
        <xdr:cNvSpPr/>
      </xdr:nvSpPr>
      <xdr:spPr>
        <a:xfrm>
          <a:off x="18032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487045</xdr:colOff>
      <xdr:row>0</xdr:row>
      <xdr:rowOff>245745</xdr:rowOff>
    </xdr:from>
    <xdr:to>
      <xdr:col>23</xdr:col>
      <xdr:colOff>619125</xdr:colOff>
      <xdr:row>0</xdr:row>
      <xdr:rowOff>600075</xdr:rowOff>
    </xdr:to>
    <xdr:sp macro="[1]!asht18">
      <xdr:nvSpPr>
        <xdr:cNvPr id="27" name="12">
          <a:hlinkClick xmlns:r="http://schemas.openxmlformats.org/officeDocument/2006/relationships" r:id="rId5"/>
        </xdr:cNvPr>
        <xdr:cNvSpPr/>
      </xdr:nvSpPr>
      <xdr:spPr>
        <a:xfrm>
          <a:off x="18822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677545</xdr:colOff>
      <xdr:row>0</xdr:row>
      <xdr:rowOff>245745</xdr:rowOff>
    </xdr:from>
    <xdr:to>
      <xdr:col>25</xdr:col>
      <xdr:colOff>123825</xdr:colOff>
      <xdr:row>0</xdr:row>
      <xdr:rowOff>600075</xdr:rowOff>
    </xdr:to>
    <xdr:sp macro="[1]!asht18">
      <xdr:nvSpPr>
        <xdr:cNvPr id="28" name="12">
          <a:hlinkClick xmlns:r="http://schemas.openxmlformats.org/officeDocument/2006/relationships" r:id="rId6"/>
        </xdr:cNvPr>
        <xdr:cNvSpPr/>
      </xdr:nvSpPr>
      <xdr:spPr>
        <a:xfrm>
          <a:off x="196989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163195</xdr:colOff>
      <xdr:row>0</xdr:row>
      <xdr:rowOff>245745</xdr:rowOff>
    </xdr:from>
    <xdr:to>
      <xdr:col>26</xdr:col>
      <xdr:colOff>295275</xdr:colOff>
      <xdr:row>0</xdr:row>
      <xdr:rowOff>600075</xdr:rowOff>
    </xdr:to>
    <xdr:sp macro="[1]!asht18">
      <xdr:nvSpPr>
        <xdr:cNvPr id="29" name="12">
          <a:hlinkClick xmlns:r="http://schemas.openxmlformats.org/officeDocument/2006/relationships" r:id="rId7"/>
        </xdr:cNvPr>
        <xdr:cNvSpPr/>
      </xdr:nvSpPr>
      <xdr:spPr>
        <a:xfrm>
          <a:off x="2055622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26</xdr:col>
      <xdr:colOff>382270</xdr:colOff>
      <xdr:row>0</xdr:row>
      <xdr:rowOff>245745</xdr:rowOff>
    </xdr:from>
    <xdr:to>
      <xdr:col>27</xdr:col>
      <xdr:colOff>514350</xdr:colOff>
      <xdr:row>0</xdr:row>
      <xdr:rowOff>600075</xdr:rowOff>
    </xdr:to>
    <xdr:sp macro="[1]!asht18">
      <xdr:nvSpPr>
        <xdr:cNvPr id="30" name="12">
          <a:hlinkClick xmlns:r="http://schemas.openxmlformats.org/officeDocument/2006/relationships" r:id="rId8"/>
        </xdr:cNvPr>
        <xdr:cNvSpPr/>
      </xdr:nvSpPr>
      <xdr:spPr>
        <a:xfrm>
          <a:off x="2146109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487045</xdr:colOff>
      <xdr:row>0</xdr:row>
      <xdr:rowOff>245745</xdr:rowOff>
    </xdr:from>
    <xdr:to>
      <xdr:col>28</xdr:col>
      <xdr:colOff>619125</xdr:colOff>
      <xdr:row>0</xdr:row>
      <xdr:rowOff>600075</xdr:rowOff>
    </xdr:to>
    <xdr:sp macro="[1]!asht18">
      <xdr:nvSpPr>
        <xdr:cNvPr id="31" name="12">
          <a:hlinkClick xmlns:r="http://schemas.openxmlformats.org/officeDocument/2006/relationships" r:id="rId9"/>
        </xdr:cNvPr>
        <xdr:cNvSpPr/>
      </xdr:nvSpPr>
      <xdr:spPr>
        <a:xfrm>
          <a:off x="222516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39370</xdr:colOff>
      <xdr:row>0</xdr:row>
      <xdr:rowOff>245745</xdr:rowOff>
    </xdr:from>
    <xdr:to>
      <xdr:col>30</xdr:col>
      <xdr:colOff>171450</xdr:colOff>
      <xdr:row>0</xdr:row>
      <xdr:rowOff>600075</xdr:rowOff>
    </xdr:to>
    <xdr:sp macro="[1]!asht18">
      <xdr:nvSpPr>
        <xdr:cNvPr id="32" name="12">
          <a:hlinkClick xmlns:r="http://schemas.openxmlformats.org/officeDocument/2006/relationships" r:id="rId10"/>
        </xdr:cNvPr>
        <xdr:cNvSpPr/>
      </xdr:nvSpPr>
      <xdr:spPr>
        <a:xfrm>
          <a:off x="23175595" y="2457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期末数</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30</xdr:col>
      <xdr:colOff>172720</xdr:colOff>
      <xdr:row>0</xdr:row>
      <xdr:rowOff>245745</xdr:rowOff>
    </xdr:from>
    <xdr:to>
      <xdr:col>31</xdr:col>
      <xdr:colOff>304800</xdr:colOff>
      <xdr:row>0</xdr:row>
      <xdr:rowOff>600075</xdr:rowOff>
    </xdr:to>
    <xdr:sp macro="[1]!asht18">
      <xdr:nvSpPr>
        <xdr:cNvPr id="33" name="12">
          <a:hlinkClick xmlns:r="http://schemas.openxmlformats.org/officeDocument/2006/relationships" r:id="rId11"/>
        </xdr:cNvPr>
        <xdr:cNvSpPr/>
      </xdr:nvSpPr>
      <xdr:spPr>
        <a:xfrm>
          <a:off x="23994745"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309245</xdr:colOff>
      <xdr:row>0</xdr:row>
      <xdr:rowOff>245745</xdr:rowOff>
    </xdr:from>
    <xdr:to>
      <xdr:col>32</xdr:col>
      <xdr:colOff>441325</xdr:colOff>
      <xdr:row>0</xdr:row>
      <xdr:rowOff>600075</xdr:rowOff>
    </xdr:to>
    <xdr:sp macro="[1]!asht18">
      <xdr:nvSpPr>
        <xdr:cNvPr id="34" name="12">
          <a:hlinkClick xmlns:r="http://schemas.openxmlformats.org/officeDocument/2006/relationships" r:id="rId12"/>
        </xdr:cNvPr>
        <xdr:cNvSpPr/>
      </xdr:nvSpPr>
      <xdr:spPr>
        <a:xfrm>
          <a:off x="24817070" y="2457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29">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636905</xdr:colOff>
      <xdr:row>0</xdr:row>
      <xdr:rowOff>624205</xdr:rowOff>
    </xdr:to>
    <xdr:sp>
      <xdr:nvSpPr>
        <xdr:cNvPr id="3" name="圆角矩形 14"/>
        <xdr:cNvSpPr/>
      </xdr:nvSpPr>
      <xdr:spPr>
        <a:xfrm>
          <a:off x="1118235" y="127000"/>
          <a:ext cx="247980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销售退货统计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29">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4445</xdr:colOff>
      <xdr:row>4</xdr:row>
      <xdr:rowOff>103505</xdr:rowOff>
    </xdr:from>
    <xdr:to>
      <xdr:col>13</xdr:col>
      <xdr:colOff>342900</xdr:colOff>
      <xdr:row>15</xdr:row>
      <xdr:rowOff>105410</xdr:rowOff>
    </xdr:to>
    <xdr:graphicFrame>
      <xdr:nvGraphicFramePr>
        <xdr:cNvPr id="23" name="图表 22"/>
        <xdr:cNvGraphicFramePr/>
      </xdr:nvGraphicFramePr>
      <xdr:xfrm>
        <a:off x="6309995" y="2009140"/>
        <a:ext cx="4910455" cy="280987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47625</xdr:colOff>
      <xdr:row>0</xdr:row>
      <xdr:rowOff>198120</xdr:rowOff>
    </xdr:from>
    <xdr:to>
      <xdr:col>21</xdr:col>
      <xdr:colOff>179705</xdr:colOff>
      <xdr:row>0</xdr:row>
      <xdr:rowOff>552450</xdr:rowOff>
    </xdr:to>
    <xdr:sp macro="[1]!asht18">
      <xdr:nvSpPr>
        <xdr:cNvPr id="25" name="12">
          <a:hlinkClick xmlns:r="http://schemas.openxmlformats.org/officeDocument/2006/relationships" r:id="rId3"/>
        </xdr:cNvPr>
        <xdr:cNvSpPr/>
      </xdr:nvSpPr>
      <xdr:spPr>
        <a:xfrm>
          <a:off x="1572577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153670</xdr:colOff>
      <xdr:row>0</xdr:row>
      <xdr:rowOff>198120</xdr:rowOff>
    </xdr:from>
    <xdr:to>
      <xdr:col>22</xdr:col>
      <xdr:colOff>285750</xdr:colOff>
      <xdr:row>0</xdr:row>
      <xdr:rowOff>552450</xdr:rowOff>
    </xdr:to>
    <xdr:sp macro="[1]!asht18">
      <xdr:nvSpPr>
        <xdr:cNvPr id="26" name="12">
          <a:hlinkClick xmlns:r="http://schemas.openxmlformats.org/officeDocument/2006/relationships" r:id="rId4"/>
        </xdr:cNvPr>
        <xdr:cNvSpPr/>
      </xdr:nvSpPr>
      <xdr:spPr>
        <a:xfrm>
          <a:off x="165176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287020</xdr:colOff>
      <xdr:row>0</xdr:row>
      <xdr:rowOff>198120</xdr:rowOff>
    </xdr:from>
    <xdr:to>
      <xdr:col>23</xdr:col>
      <xdr:colOff>419100</xdr:colOff>
      <xdr:row>0</xdr:row>
      <xdr:rowOff>552450</xdr:rowOff>
    </xdr:to>
    <xdr:sp macro="[1]!asht18">
      <xdr:nvSpPr>
        <xdr:cNvPr id="27" name="12">
          <a:hlinkClick xmlns:r="http://schemas.openxmlformats.org/officeDocument/2006/relationships" r:id="rId5"/>
        </xdr:cNvPr>
        <xdr:cNvSpPr/>
      </xdr:nvSpPr>
      <xdr:spPr>
        <a:xfrm>
          <a:off x="17336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372745</xdr:colOff>
      <xdr:row>0</xdr:row>
      <xdr:rowOff>198120</xdr:rowOff>
    </xdr:from>
    <xdr:to>
      <xdr:col>24</xdr:col>
      <xdr:colOff>504825</xdr:colOff>
      <xdr:row>0</xdr:row>
      <xdr:rowOff>552450</xdr:rowOff>
    </xdr:to>
    <xdr:sp macro="[1]!asht18">
      <xdr:nvSpPr>
        <xdr:cNvPr id="28" name="12">
          <a:hlinkClick xmlns:r="http://schemas.openxmlformats.org/officeDocument/2006/relationships" r:id="rId6"/>
        </xdr:cNvPr>
        <xdr:cNvSpPr/>
      </xdr:nvSpPr>
      <xdr:spPr>
        <a:xfrm>
          <a:off x="18108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477520</xdr:colOff>
      <xdr:row>0</xdr:row>
      <xdr:rowOff>198120</xdr:rowOff>
    </xdr:from>
    <xdr:to>
      <xdr:col>25</xdr:col>
      <xdr:colOff>609600</xdr:colOff>
      <xdr:row>0</xdr:row>
      <xdr:rowOff>552450</xdr:rowOff>
    </xdr:to>
    <xdr:sp macro="[1]!asht18">
      <xdr:nvSpPr>
        <xdr:cNvPr id="29" name="12">
          <a:hlinkClick xmlns:r="http://schemas.openxmlformats.org/officeDocument/2006/relationships" r:id="rId7"/>
        </xdr:cNvPr>
        <xdr:cNvSpPr/>
      </xdr:nvSpPr>
      <xdr:spPr>
        <a:xfrm>
          <a:off x="18898870" y="198120"/>
          <a:ext cx="817880" cy="354330"/>
        </a:xfrm>
        <a:prstGeom prst="rect">
          <a:avLst/>
        </a:prstGeom>
      </xdr:spPr>
      <xdr:style>
        <a:lnRef idx="0">
          <a:srgbClr val="FFFFFF"/>
        </a:lnRef>
        <a:fillRef idx="1">
          <a:schemeClr val="accent1"/>
        </a:fillRef>
        <a:effectRef idx="0">
          <a:srgbClr val="FFFFFF"/>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销售退货统计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25</xdr:col>
      <xdr:colOff>668020</xdr:colOff>
      <xdr:row>0</xdr:row>
      <xdr:rowOff>198120</xdr:rowOff>
    </xdr:from>
    <xdr:to>
      <xdr:col>27</xdr:col>
      <xdr:colOff>114300</xdr:colOff>
      <xdr:row>0</xdr:row>
      <xdr:rowOff>552450</xdr:rowOff>
    </xdr:to>
    <xdr:sp macro="[1]!asht18">
      <xdr:nvSpPr>
        <xdr:cNvPr id="30" name="12">
          <a:hlinkClick xmlns:r="http://schemas.openxmlformats.org/officeDocument/2006/relationships" r:id="rId8"/>
        </xdr:cNvPr>
        <xdr:cNvSpPr/>
      </xdr:nvSpPr>
      <xdr:spPr>
        <a:xfrm>
          <a:off x="197751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153670</xdr:colOff>
      <xdr:row>0</xdr:row>
      <xdr:rowOff>198120</xdr:rowOff>
    </xdr:from>
    <xdr:to>
      <xdr:col>28</xdr:col>
      <xdr:colOff>285750</xdr:colOff>
      <xdr:row>0</xdr:row>
      <xdr:rowOff>552450</xdr:rowOff>
    </xdr:to>
    <xdr:sp macro="[1]!asht18">
      <xdr:nvSpPr>
        <xdr:cNvPr id="31" name="12">
          <a:hlinkClick xmlns:r="http://schemas.openxmlformats.org/officeDocument/2006/relationships" r:id="rId9"/>
        </xdr:cNvPr>
        <xdr:cNvSpPr/>
      </xdr:nvSpPr>
      <xdr:spPr>
        <a:xfrm>
          <a:off x="20632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372745</xdr:colOff>
      <xdr:row>0</xdr:row>
      <xdr:rowOff>198120</xdr:rowOff>
    </xdr:from>
    <xdr:to>
      <xdr:col>29</xdr:col>
      <xdr:colOff>504825</xdr:colOff>
      <xdr:row>0</xdr:row>
      <xdr:rowOff>552450</xdr:rowOff>
    </xdr:to>
    <xdr:sp macro="[1]!asht18">
      <xdr:nvSpPr>
        <xdr:cNvPr id="32" name="12">
          <a:hlinkClick xmlns:r="http://schemas.openxmlformats.org/officeDocument/2006/relationships" r:id="rId10"/>
        </xdr:cNvPr>
        <xdr:cNvSpPr/>
      </xdr:nvSpPr>
      <xdr:spPr>
        <a:xfrm>
          <a:off x="215372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477520</xdr:colOff>
      <xdr:row>0</xdr:row>
      <xdr:rowOff>198120</xdr:rowOff>
    </xdr:from>
    <xdr:to>
      <xdr:col>30</xdr:col>
      <xdr:colOff>609600</xdr:colOff>
      <xdr:row>0</xdr:row>
      <xdr:rowOff>552450</xdr:rowOff>
    </xdr:to>
    <xdr:sp macro="[1]!asht18">
      <xdr:nvSpPr>
        <xdr:cNvPr id="33" name="12">
          <a:hlinkClick xmlns:r="http://schemas.openxmlformats.org/officeDocument/2006/relationships" r:id="rId11"/>
        </xdr:cNvPr>
        <xdr:cNvSpPr/>
      </xdr:nvSpPr>
      <xdr:spPr>
        <a:xfrm>
          <a:off x="223278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29845</xdr:colOff>
      <xdr:row>0</xdr:row>
      <xdr:rowOff>198120</xdr:rowOff>
    </xdr:from>
    <xdr:to>
      <xdr:col>32</xdr:col>
      <xdr:colOff>161925</xdr:colOff>
      <xdr:row>0</xdr:row>
      <xdr:rowOff>552450</xdr:rowOff>
    </xdr:to>
    <xdr:sp macro="[1]!asht18">
      <xdr:nvSpPr>
        <xdr:cNvPr id="34" name="12">
          <a:hlinkClick xmlns:r="http://schemas.openxmlformats.org/officeDocument/2006/relationships" r:id="rId12"/>
        </xdr:cNvPr>
        <xdr:cNvSpPr/>
      </xdr:nvSpPr>
      <xdr:spPr>
        <a:xfrm>
          <a:off x="232517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163195</xdr:colOff>
      <xdr:row>0</xdr:row>
      <xdr:rowOff>198120</xdr:rowOff>
    </xdr:from>
    <xdr:to>
      <xdr:col>33</xdr:col>
      <xdr:colOff>295275</xdr:colOff>
      <xdr:row>0</xdr:row>
      <xdr:rowOff>552450</xdr:rowOff>
    </xdr:to>
    <xdr:sp macro="[1]!asht18">
      <xdr:nvSpPr>
        <xdr:cNvPr id="35" name="12">
          <a:hlinkClick xmlns:r="http://schemas.openxmlformats.org/officeDocument/2006/relationships" r:id="rId13"/>
        </xdr:cNvPr>
        <xdr:cNvSpPr/>
      </xdr:nvSpPr>
      <xdr:spPr>
        <a:xfrm>
          <a:off x="240709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299720</xdr:colOff>
      <xdr:row>0</xdr:row>
      <xdr:rowOff>198120</xdr:rowOff>
    </xdr:from>
    <xdr:to>
      <xdr:col>34</xdr:col>
      <xdr:colOff>431800</xdr:colOff>
      <xdr:row>0</xdr:row>
      <xdr:rowOff>552450</xdr:rowOff>
    </xdr:to>
    <xdr:sp macro="[1]!asht18">
      <xdr:nvSpPr>
        <xdr:cNvPr id="36" name="12">
          <a:hlinkClick xmlns:r="http://schemas.openxmlformats.org/officeDocument/2006/relationships" r:id="rId14"/>
        </xdr:cNvPr>
        <xdr:cNvSpPr/>
      </xdr:nvSpPr>
      <xdr:spPr>
        <a:xfrm>
          <a:off x="24893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0">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664845</xdr:colOff>
      <xdr:row>0</xdr:row>
      <xdr:rowOff>624205</xdr:rowOff>
    </xdr:to>
    <xdr:sp>
      <xdr:nvSpPr>
        <xdr:cNvPr id="3" name="圆角矩形 14"/>
        <xdr:cNvSpPr/>
      </xdr:nvSpPr>
      <xdr:spPr>
        <a:xfrm>
          <a:off x="1118235" y="127000"/>
          <a:ext cx="2482596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采购退货统计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0">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38100</xdr:colOff>
      <xdr:row>0</xdr:row>
      <xdr:rowOff>198120</xdr:rowOff>
    </xdr:from>
    <xdr:to>
      <xdr:col>21</xdr:col>
      <xdr:colOff>170180</xdr:colOff>
      <xdr:row>0</xdr:row>
      <xdr:rowOff>552450</xdr:rowOff>
    </xdr:to>
    <xdr:sp macro="[1]!asht18">
      <xdr:nvSpPr>
        <xdr:cNvPr id="25" name="12">
          <a:hlinkClick xmlns:r="http://schemas.openxmlformats.org/officeDocument/2006/relationships" r:id="rId3"/>
        </xdr:cNvPr>
        <xdr:cNvSpPr/>
      </xdr:nvSpPr>
      <xdr:spPr>
        <a:xfrm>
          <a:off x="1571625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144145</xdr:colOff>
      <xdr:row>0</xdr:row>
      <xdr:rowOff>198120</xdr:rowOff>
    </xdr:from>
    <xdr:to>
      <xdr:col>22</xdr:col>
      <xdr:colOff>276225</xdr:colOff>
      <xdr:row>0</xdr:row>
      <xdr:rowOff>552450</xdr:rowOff>
    </xdr:to>
    <xdr:sp macro="[1]!asht18">
      <xdr:nvSpPr>
        <xdr:cNvPr id="26" name="12">
          <a:hlinkClick xmlns:r="http://schemas.openxmlformats.org/officeDocument/2006/relationships" r:id="rId4"/>
        </xdr:cNvPr>
        <xdr:cNvSpPr/>
      </xdr:nvSpPr>
      <xdr:spPr>
        <a:xfrm>
          <a:off x="165080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277495</xdr:colOff>
      <xdr:row>0</xdr:row>
      <xdr:rowOff>198120</xdr:rowOff>
    </xdr:from>
    <xdr:to>
      <xdr:col>23</xdr:col>
      <xdr:colOff>409575</xdr:colOff>
      <xdr:row>0</xdr:row>
      <xdr:rowOff>552450</xdr:rowOff>
    </xdr:to>
    <xdr:sp macro="[1]!asht18">
      <xdr:nvSpPr>
        <xdr:cNvPr id="27" name="12">
          <a:hlinkClick xmlns:r="http://schemas.openxmlformats.org/officeDocument/2006/relationships" r:id="rId5"/>
        </xdr:cNvPr>
        <xdr:cNvSpPr/>
      </xdr:nvSpPr>
      <xdr:spPr>
        <a:xfrm>
          <a:off x="173272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363220</xdr:colOff>
      <xdr:row>0</xdr:row>
      <xdr:rowOff>198120</xdr:rowOff>
    </xdr:from>
    <xdr:to>
      <xdr:col>24</xdr:col>
      <xdr:colOff>495300</xdr:colOff>
      <xdr:row>0</xdr:row>
      <xdr:rowOff>552450</xdr:rowOff>
    </xdr:to>
    <xdr:sp macro="[1]!asht18">
      <xdr:nvSpPr>
        <xdr:cNvPr id="28" name="12">
          <a:hlinkClick xmlns:r="http://schemas.openxmlformats.org/officeDocument/2006/relationships" r:id="rId6"/>
        </xdr:cNvPr>
        <xdr:cNvSpPr/>
      </xdr:nvSpPr>
      <xdr:spPr>
        <a:xfrm>
          <a:off x="18098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467995</xdr:colOff>
      <xdr:row>0</xdr:row>
      <xdr:rowOff>198120</xdr:rowOff>
    </xdr:from>
    <xdr:to>
      <xdr:col>25</xdr:col>
      <xdr:colOff>600075</xdr:colOff>
      <xdr:row>0</xdr:row>
      <xdr:rowOff>552450</xdr:rowOff>
    </xdr:to>
    <xdr:sp macro="[1]!asht18">
      <xdr:nvSpPr>
        <xdr:cNvPr id="29" name="12">
          <a:hlinkClick xmlns:r="http://schemas.openxmlformats.org/officeDocument/2006/relationships" r:id="rId7"/>
        </xdr:cNvPr>
        <xdr:cNvSpPr/>
      </xdr:nvSpPr>
      <xdr:spPr>
        <a:xfrm>
          <a:off x="18889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658495</xdr:colOff>
      <xdr:row>0</xdr:row>
      <xdr:rowOff>198120</xdr:rowOff>
    </xdr:from>
    <xdr:to>
      <xdr:col>27</xdr:col>
      <xdr:colOff>104775</xdr:colOff>
      <xdr:row>0</xdr:row>
      <xdr:rowOff>552450</xdr:rowOff>
    </xdr:to>
    <xdr:sp macro="[1]!asht18">
      <xdr:nvSpPr>
        <xdr:cNvPr id="30" name="12">
          <a:hlinkClick xmlns:r="http://schemas.openxmlformats.org/officeDocument/2006/relationships" r:id="rId8"/>
        </xdr:cNvPr>
        <xdr:cNvSpPr/>
      </xdr:nvSpPr>
      <xdr:spPr>
        <a:xfrm>
          <a:off x="19765645" y="19812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采购退货统计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27</xdr:col>
      <xdr:colOff>144145</xdr:colOff>
      <xdr:row>0</xdr:row>
      <xdr:rowOff>198120</xdr:rowOff>
    </xdr:from>
    <xdr:to>
      <xdr:col>28</xdr:col>
      <xdr:colOff>276225</xdr:colOff>
      <xdr:row>0</xdr:row>
      <xdr:rowOff>552450</xdr:rowOff>
    </xdr:to>
    <xdr:sp macro="[1]!asht18">
      <xdr:nvSpPr>
        <xdr:cNvPr id="31" name="12">
          <a:hlinkClick xmlns:r="http://schemas.openxmlformats.org/officeDocument/2006/relationships" r:id="rId9"/>
        </xdr:cNvPr>
        <xdr:cNvSpPr/>
      </xdr:nvSpPr>
      <xdr:spPr>
        <a:xfrm>
          <a:off x="2062289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363220</xdr:colOff>
      <xdr:row>0</xdr:row>
      <xdr:rowOff>198120</xdr:rowOff>
    </xdr:from>
    <xdr:to>
      <xdr:col>29</xdr:col>
      <xdr:colOff>495300</xdr:colOff>
      <xdr:row>0</xdr:row>
      <xdr:rowOff>552450</xdr:rowOff>
    </xdr:to>
    <xdr:sp macro="[1]!asht18">
      <xdr:nvSpPr>
        <xdr:cNvPr id="32" name="12">
          <a:hlinkClick xmlns:r="http://schemas.openxmlformats.org/officeDocument/2006/relationships" r:id="rId10"/>
        </xdr:cNvPr>
        <xdr:cNvSpPr/>
      </xdr:nvSpPr>
      <xdr:spPr>
        <a:xfrm>
          <a:off x="215277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467995</xdr:colOff>
      <xdr:row>0</xdr:row>
      <xdr:rowOff>198120</xdr:rowOff>
    </xdr:from>
    <xdr:to>
      <xdr:col>30</xdr:col>
      <xdr:colOff>600075</xdr:colOff>
      <xdr:row>0</xdr:row>
      <xdr:rowOff>552450</xdr:rowOff>
    </xdr:to>
    <xdr:sp macro="[1]!asht18">
      <xdr:nvSpPr>
        <xdr:cNvPr id="33" name="12">
          <a:hlinkClick xmlns:r="http://schemas.openxmlformats.org/officeDocument/2006/relationships" r:id="rId11"/>
        </xdr:cNvPr>
        <xdr:cNvSpPr/>
      </xdr:nvSpPr>
      <xdr:spPr>
        <a:xfrm>
          <a:off x="223183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20320</xdr:colOff>
      <xdr:row>0</xdr:row>
      <xdr:rowOff>198120</xdr:rowOff>
    </xdr:from>
    <xdr:to>
      <xdr:col>32</xdr:col>
      <xdr:colOff>152400</xdr:colOff>
      <xdr:row>0</xdr:row>
      <xdr:rowOff>552450</xdr:rowOff>
    </xdr:to>
    <xdr:sp macro="[1]!asht18">
      <xdr:nvSpPr>
        <xdr:cNvPr id="34" name="12">
          <a:hlinkClick xmlns:r="http://schemas.openxmlformats.org/officeDocument/2006/relationships" r:id="rId12"/>
        </xdr:cNvPr>
        <xdr:cNvSpPr/>
      </xdr:nvSpPr>
      <xdr:spPr>
        <a:xfrm>
          <a:off x="2324227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153670</xdr:colOff>
      <xdr:row>0</xdr:row>
      <xdr:rowOff>198120</xdr:rowOff>
    </xdr:from>
    <xdr:to>
      <xdr:col>33</xdr:col>
      <xdr:colOff>285750</xdr:colOff>
      <xdr:row>0</xdr:row>
      <xdr:rowOff>552450</xdr:rowOff>
    </xdr:to>
    <xdr:sp macro="[1]!asht18">
      <xdr:nvSpPr>
        <xdr:cNvPr id="35" name="12">
          <a:hlinkClick xmlns:r="http://schemas.openxmlformats.org/officeDocument/2006/relationships" r:id="rId13"/>
        </xdr:cNvPr>
        <xdr:cNvSpPr/>
      </xdr:nvSpPr>
      <xdr:spPr>
        <a:xfrm>
          <a:off x="24061420"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290195</xdr:colOff>
      <xdr:row>0</xdr:row>
      <xdr:rowOff>198120</xdr:rowOff>
    </xdr:from>
    <xdr:to>
      <xdr:col>34</xdr:col>
      <xdr:colOff>422275</xdr:colOff>
      <xdr:row>0</xdr:row>
      <xdr:rowOff>552450</xdr:rowOff>
    </xdr:to>
    <xdr:sp macro="[1]!asht18">
      <xdr:nvSpPr>
        <xdr:cNvPr id="36" name="12">
          <a:hlinkClick xmlns:r="http://schemas.openxmlformats.org/officeDocument/2006/relationships" r:id="rId14"/>
        </xdr:cNvPr>
        <xdr:cNvSpPr/>
      </xdr:nvSpPr>
      <xdr:spPr>
        <a:xfrm>
          <a:off x="24883745" y="19812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161925</xdr:colOff>
      <xdr:row>1</xdr:row>
      <xdr:rowOff>50800</xdr:rowOff>
    </xdr:from>
    <xdr:to>
      <xdr:col>2</xdr:col>
      <xdr:colOff>685800</xdr:colOff>
      <xdr:row>1</xdr:row>
      <xdr:rowOff>441325</xdr:rowOff>
    </xdr:to>
    <xdr:sp macro="[0]!select31">
      <xdr:nvSpPr>
        <xdr:cNvPr id="2" name="圆角矩形 1"/>
        <xdr:cNvSpPr/>
      </xdr:nvSpPr>
      <xdr:spPr>
        <a:xfrm>
          <a:off x="4191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318135</xdr:colOff>
      <xdr:row>0</xdr:row>
      <xdr:rowOff>127000</xdr:rowOff>
    </xdr:from>
    <xdr:to>
      <xdr:col>34</xdr:col>
      <xdr:colOff>645795</xdr:colOff>
      <xdr:row>0</xdr:row>
      <xdr:rowOff>624205</xdr:rowOff>
    </xdr:to>
    <xdr:sp>
      <xdr:nvSpPr>
        <xdr:cNvPr id="3" name="圆角矩形 14"/>
        <xdr:cNvSpPr/>
      </xdr:nvSpPr>
      <xdr:spPr>
        <a:xfrm>
          <a:off x="1118235" y="127000"/>
          <a:ext cx="2480691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375285</xdr:colOff>
      <xdr:row>0</xdr:row>
      <xdr:rowOff>203200</xdr:rowOff>
    </xdr:from>
    <xdr:to>
      <xdr:col>3</xdr:col>
      <xdr:colOff>57150</xdr:colOff>
      <xdr:row>0</xdr:row>
      <xdr:rowOff>557530</xdr:rowOff>
    </xdr:to>
    <xdr:sp macro="[1]!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96520</xdr:colOff>
      <xdr:row>0</xdr:row>
      <xdr:rowOff>203200</xdr:rowOff>
    </xdr:from>
    <xdr:to>
      <xdr:col>3</xdr:col>
      <xdr:colOff>911860</xdr:colOff>
      <xdr:row>0</xdr:row>
      <xdr:rowOff>557530</xdr:rowOff>
    </xdr:to>
    <xdr:sp macro="[1]!asht2">
      <xdr:nvSpPr>
        <xdr:cNvPr id="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951230</xdr:colOff>
      <xdr:row>0</xdr:row>
      <xdr:rowOff>203200</xdr:rowOff>
    </xdr:from>
    <xdr:to>
      <xdr:col>4</xdr:col>
      <xdr:colOff>480695</xdr:colOff>
      <xdr:row>0</xdr:row>
      <xdr:rowOff>557530</xdr:rowOff>
    </xdr:to>
    <xdr:sp macro="[1]!asht4">
      <xdr:nvSpPr>
        <xdr:cNvPr id="6" name="3"/>
        <xdr:cNvSpPr/>
      </xdr:nvSpPr>
      <xdr:spPr>
        <a:xfrm>
          <a:off x="288480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入库</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4</xdr:col>
      <xdr:colOff>520065</xdr:colOff>
      <xdr:row>0</xdr:row>
      <xdr:rowOff>203200</xdr:rowOff>
    </xdr:from>
    <xdr:to>
      <xdr:col>5</xdr:col>
      <xdr:colOff>621030</xdr:colOff>
      <xdr:row>0</xdr:row>
      <xdr:rowOff>557530</xdr:rowOff>
    </xdr:to>
    <xdr:sp macro="[1]!asht16">
      <xdr:nvSpPr>
        <xdr:cNvPr id="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660400</xdr:colOff>
      <xdr:row>0</xdr:row>
      <xdr:rowOff>203200</xdr:rowOff>
    </xdr:from>
    <xdr:to>
      <xdr:col>7</xdr:col>
      <xdr:colOff>47625</xdr:colOff>
      <xdr:row>0</xdr:row>
      <xdr:rowOff>557530</xdr:rowOff>
    </xdr:to>
    <xdr:sp macro="[1]!asht14">
      <xdr:nvSpPr>
        <xdr:cNvPr id="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86995</xdr:colOff>
      <xdr:row>0</xdr:row>
      <xdr:rowOff>203200</xdr:rowOff>
    </xdr:from>
    <xdr:to>
      <xdr:col>8</xdr:col>
      <xdr:colOff>644525</xdr:colOff>
      <xdr:row>0</xdr:row>
      <xdr:rowOff>557530</xdr:rowOff>
    </xdr:to>
    <xdr:sp macro="[1]!asht17">
      <xdr:nvSpPr>
        <xdr:cNvPr id="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683895</xdr:colOff>
      <xdr:row>0</xdr:row>
      <xdr:rowOff>203200</xdr:rowOff>
    </xdr:from>
    <xdr:to>
      <xdr:col>9</xdr:col>
      <xdr:colOff>813435</xdr:colOff>
      <xdr:row>0</xdr:row>
      <xdr:rowOff>557530</xdr:rowOff>
    </xdr:to>
    <xdr:sp macro="[1]!asht5">
      <xdr:nvSpPr>
        <xdr:cNvPr id="1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852805</xdr:colOff>
      <xdr:row>0</xdr:row>
      <xdr:rowOff>203200</xdr:rowOff>
    </xdr:from>
    <xdr:to>
      <xdr:col>10</xdr:col>
      <xdr:colOff>525145</xdr:colOff>
      <xdr:row>0</xdr:row>
      <xdr:rowOff>557530</xdr:rowOff>
    </xdr:to>
    <xdr:sp macro="[1]!asht6">
      <xdr:nvSpPr>
        <xdr:cNvPr id="1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564515</xdr:colOff>
      <xdr:row>0</xdr:row>
      <xdr:rowOff>203200</xdr:rowOff>
    </xdr:from>
    <xdr:to>
      <xdr:col>11</xdr:col>
      <xdr:colOff>237490</xdr:colOff>
      <xdr:row>0</xdr:row>
      <xdr:rowOff>557530</xdr:rowOff>
    </xdr:to>
    <xdr:sp macro="[1]!asht7">
      <xdr:nvSpPr>
        <xdr:cNvPr id="1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276860</xdr:colOff>
      <xdr:row>0</xdr:row>
      <xdr:rowOff>203200</xdr:rowOff>
    </xdr:from>
    <xdr:to>
      <xdr:col>11</xdr:col>
      <xdr:colOff>1092200</xdr:colOff>
      <xdr:row>0</xdr:row>
      <xdr:rowOff>557530</xdr:rowOff>
    </xdr:to>
    <xdr:sp macro="[1]!asht8">
      <xdr:nvSpPr>
        <xdr:cNvPr id="1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1131570</xdr:colOff>
      <xdr:row>0</xdr:row>
      <xdr:rowOff>203200</xdr:rowOff>
    </xdr:from>
    <xdr:to>
      <xdr:col>12</xdr:col>
      <xdr:colOff>803910</xdr:colOff>
      <xdr:row>0</xdr:row>
      <xdr:rowOff>557530</xdr:rowOff>
    </xdr:to>
    <xdr:sp macro="[1]!asht15">
      <xdr:nvSpPr>
        <xdr:cNvPr id="1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843280</xdr:colOff>
      <xdr:row>0</xdr:row>
      <xdr:rowOff>203200</xdr:rowOff>
    </xdr:from>
    <xdr:to>
      <xdr:col>13</xdr:col>
      <xdr:colOff>518160</xdr:colOff>
      <xdr:row>0</xdr:row>
      <xdr:rowOff>557530</xdr:rowOff>
    </xdr:to>
    <xdr:sp macro="[1]!asht9">
      <xdr:nvSpPr>
        <xdr:cNvPr id="1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280670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进出明细统计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557530</xdr:colOff>
      <xdr:row>0</xdr:row>
      <xdr:rowOff>203200</xdr:rowOff>
    </xdr:from>
    <xdr:to>
      <xdr:col>15</xdr:col>
      <xdr:colOff>3810</xdr:colOff>
      <xdr:row>0</xdr:row>
      <xdr:rowOff>557530</xdr:rowOff>
    </xdr:to>
    <xdr:sp macro="[1]!asht10">
      <xdr:nvSpPr>
        <xdr:cNvPr id="1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43180</xdr:colOff>
      <xdr:row>0</xdr:row>
      <xdr:rowOff>203200</xdr:rowOff>
    </xdr:from>
    <xdr:to>
      <xdr:col>16</xdr:col>
      <xdr:colOff>175260</xdr:colOff>
      <xdr:row>0</xdr:row>
      <xdr:rowOff>557530</xdr:rowOff>
    </xdr:to>
    <xdr:sp macro="[1]!asht11">
      <xdr:nvSpPr>
        <xdr:cNvPr id="1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214630</xdr:colOff>
      <xdr:row>0</xdr:row>
      <xdr:rowOff>203200</xdr:rowOff>
    </xdr:from>
    <xdr:to>
      <xdr:col>17</xdr:col>
      <xdr:colOff>346710</xdr:colOff>
      <xdr:row>0</xdr:row>
      <xdr:rowOff>557530</xdr:rowOff>
    </xdr:to>
    <xdr:sp macro="[1]!asht12">
      <xdr:nvSpPr>
        <xdr:cNvPr id="1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386080</xdr:colOff>
      <xdr:row>0</xdr:row>
      <xdr:rowOff>203200</xdr:rowOff>
    </xdr:from>
    <xdr:to>
      <xdr:col>18</xdr:col>
      <xdr:colOff>518160</xdr:colOff>
      <xdr:row>0</xdr:row>
      <xdr:rowOff>557530</xdr:rowOff>
    </xdr:to>
    <xdr:sp macro="[1]!asht13">
      <xdr:nvSpPr>
        <xdr:cNvPr id="2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557530</xdr:colOff>
      <xdr:row>0</xdr:row>
      <xdr:rowOff>203200</xdr:rowOff>
    </xdr:from>
    <xdr:to>
      <xdr:col>20</xdr:col>
      <xdr:colOff>3810</xdr:colOff>
      <xdr:row>0</xdr:row>
      <xdr:rowOff>557530</xdr:rowOff>
    </xdr:to>
    <xdr:sp macro="[1]!asht18">
      <xdr:nvSpPr>
        <xdr:cNvPr id="2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1009650</xdr:colOff>
      <xdr:row>1</xdr:row>
      <xdr:rowOff>57150</xdr:rowOff>
    </xdr:from>
    <xdr:to>
      <xdr:col>3</xdr:col>
      <xdr:colOff>942975</xdr:colOff>
      <xdr:row>1</xdr:row>
      <xdr:rowOff>447675</xdr:rowOff>
    </xdr:to>
    <xdr:sp macro="[0]!shaixuan_31">
      <xdr:nvSpPr>
        <xdr:cNvPr id="22" name="圆角矩形 21"/>
        <xdr:cNvSpPr/>
      </xdr:nvSpPr>
      <xdr:spPr>
        <a:xfrm>
          <a:off x="1809750" y="81915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筛选</a:t>
          </a:r>
          <a:endParaRPr lang="en-US" altLang="zh-CN" sz="1400" b="1">
            <a:latin typeface="等线" panose="02010600030101010101" charset="-122"/>
            <a:ea typeface="等线" panose="02010600030101010101" charset="-122"/>
          </a:endParaRPr>
        </a:p>
      </xdr:txBody>
    </xdr:sp>
    <xdr:clientData/>
  </xdr:twoCellAnchor>
  <xdr:twoCellAnchor>
    <xdr:from>
      <xdr:col>9</xdr:col>
      <xdr:colOff>26035</xdr:colOff>
      <xdr:row>4</xdr:row>
      <xdr:rowOff>123190</xdr:rowOff>
    </xdr:from>
    <xdr:to>
      <xdr:col>13</xdr:col>
      <xdr:colOff>269875</xdr:colOff>
      <xdr:row>15</xdr:row>
      <xdr:rowOff>106680</xdr:rowOff>
    </xdr:to>
    <xdr:graphicFrame>
      <xdr:nvGraphicFramePr>
        <xdr:cNvPr id="23" name="图表 22"/>
        <xdr:cNvGraphicFramePr/>
      </xdr:nvGraphicFramePr>
      <xdr:xfrm>
        <a:off x="6331585" y="2028825"/>
        <a:ext cx="4815840" cy="27914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454025</xdr:colOff>
      <xdr:row>4</xdr:row>
      <xdr:rowOff>104775</xdr:rowOff>
    </xdr:from>
    <xdr:to>
      <xdr:col>20</xdr:col>
      <xdr:colOff>479425</xdr:colOff>
      <xdr:row>15</xdr:row>
      <xdr:rowOff>116205</xdr:rowOff>
    </xdr:to>
    <xdr:graphicFrame>
      <xdr:nvGraphicFramePr>
        <xdr:cNvPr id="24" name="图表 23"/>
        <xdr:cNvGraphicFramePr/>
      </xdr:nvGraphicFramePr>
      <xdr:xfrm>
        <a:off x="11331575" y="2010410"/>
        <a:ext cx="4826000" cy="281940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20</xdr:col>
      <xdr:colOff>0</xdr:colOff>
      <xdr:row>0</xdr:row>
      <xdr:rowOff>217170</xdr:rowOff>
    </xdr:from>
    <xdr:to>
      <xdr:col>21</xdr:col>
      <xdr:colOff>132080</xdr:colOff>
      <xdr:row>0</xdr:row>
      <xdr:rowOff>571500</xdr:rowOff>
    </xdr:to>
    <xdr:sp macro="[1]!asht18">
      <xdr:nvSpPr>
        <xdr:cNvPr id="25" name="12">
          <a:hlinkClick xmlns:r="http://schemas.openxmlformats.org/officeDocument/2006/relationships" r:id="rId3"/>
        </xdr:cNvPr>
        <xdr:cNvSpPr/>
      </xdr:nvSpPr>
      <xdr:spPr>
        <a:xfrm>
          <a:off x="1567815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106045</xdr:colOff>
      <xdr:row>0</xdr:row>
      <xdr:rowOff>217170</xdr:rowOff>
    </xdr:from>
    <xdr:to>
      <xdr:col>22</xdr:col>
      <xdr:colOff>238125</xdr:colOff>
      <xdr:row>0</xdr:row>
      <xdr:rowOff>571500</xdr:rowOff>
    </xdr:to>
    <xdr:sp macro="[1]!asht18">
      <xdr:nvSpPr>
        <xdr:cNvPr id="26" name="12">
          <a:hlinkClick xmlns:r="http://schemas.openxmlformats.org/officeDocument/2006/relationships" r:id="rId4"/>
        </xdr:cNvPr>
        <xdr:cNvSpPr/>
      </xdr:nvSpPr>
      <xdr:spPr>
        <a:xfrm>
          <a:off x="1646999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239395</xdr:colOff>
      <xdr:row>0</xdr:row>
      <xdr:rowOff>217170</xdr:rowOff>
    </xdr:from>
    <xdr:to>
      <xdr:col>23</xdr:col>
      <xdr:colOff>371475</xdr:colOff>
      <xdr:row>0</xdr:row>
      <xdr:rowOff>571500</xdr:rowOff>
    </xdr:to>
    <xdr:sp macro="[1]!asht18">
      <xdr:nvSpPr>
        <xdr:cNvPr id="27" name="12">
          <a:hlinkClick xmlns:r="http://schemas.openxmlformats.org/officeDocument/2006/relationships" r:id="rId5"/>
        </xdr:cNvPr>
        <xdr:cNvSpPr/>
      </xdr:nvSpPr>
      <xdr:spPr>
        <a:xfrm>
          <a:off x="172891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325120</xdr:colOff>
      <xdr:row>0</xdr:row>
      <xdr:rowOff>217170</xdr:rowOff>
    </xdr:from>
    <xdr:to>
      <xdr:col>24</xdr:col>
      <xdr:colOff>457200</xdr:colOff>
      <xdr:row>0</xdr:row>
      <xdr:rowOff>571500</xdr:rowOff>
    </xdr:to>
    <xdr:sp macro="[1]!asht18">
      <xdr:nvSpPr>
        <xdr:cNvPr id="28" name="12">
          <a:hlinkClick xmlns:r="http://schemas.openxmlformats.org/officeDocument/2006/relationships" r:id="rId6"/>
        </xdr:cNvPr>
        <xdr:cNvSpPr/>
      </xdr:nvSpPr>
      <xdr:spPr>
        <a:xfrm>
          <a:off x="18060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429895</xdr:colOff>
      <xdr:row>0</xdr:row>
      <xdr:rowOff>217170</xdr:rowOff>
    </xdr:from>
    <xdr:to>
      <xdr:col>25</xdr:col>
      <xdr:colOff>561975</xdr:colOff>
      <xdr:row>0</xdr:row>
      <xdr:rowOff>571500</xdr:rowOff>
    </xdr:to>
    <xdr:sp macro="[1]!asht18">
      <xdr:nvSpPr>
        <xdr:cNvPr id="29" name="12">
          <a:hlinkClick xmlns:r="http://schemas.openxmlformats.org/officeDocument/2006/relationships" r:id="rId7"/>
        </xdr:cNvPr>
        <xdr:cNvSpPr/>
      </xdr:nvSpPr>
      <xdr:spPr>
        <a:xfrm>
          <a:off x="18851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620395</xdr:colOff>
      <xdr:row>0</xdr:row>
      <xdr:rowOff>217170</xdr:rowOff>
    </xdr:from>
    <xdr:to>
      <xdr:col>27</xdr:col>
      <xdr:colOff>66675</xdr:colOff>
      <xdr:row>0</xdr:row>
      <xdr:rowOff>571500</xdr:rowOff>
    </xdr:to>
    <xdr:sp macro="[1]!asht18">
      <xdr:nvSpPr>
        <xdr:cNvPr id="30" name="12">
          <a:hlinkClick xmlns:r="http://schemas.openxmlformats.org/officeDocument/2006/relationships" r:id="rId8"/>
        </xdr:cNvPr>
        <xdr:cNvSpPr/>
      </xdr:nvSpPr>
      <xdr:spPr>
        <a:xfrm>
          <a:off x="197275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106045</xdr:colOff>
      <xdr:row>0</xdr:row>
      <xdr:rowOff>217170</xdr:rowOff>
    </xdr:from>
    <xdr:to>
      <xdr:col>28</xdr:col>
      <xdr:colOff>238125</xdr:colOff>
      <xdr:row>0</xdr:row>
      <xdr:rowOff>571500</xdr:rowOff>
    </xdr:to>
    <xdr:sp macro="[1]!asht18">
      <xdr:nvSpPr>
        <xdr:cNvPr id="31" name="12">
          <a:hlinkClick xmlns:r="http://schemas.openxmlformats.org/officeDocument/2006/relationships" r:id="rId9"/>
        </xdr:cNvPr>
        <xdr:cNvSpPr/>
      </xdr:nvSpPr>
      <xdr:spPr>
        <a:xfrm>
          <a:off x="20584795" y="217170"/>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进出明细统计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28</xdr:col>
      <xdr:colOff>325120</xdr:colOff>
      <xdr:row>0</xdr:row>
      <xdr:rowOff>217170</xdr:rowOff>
    </xdr:from>
    <xdr:to>
      <xdr:col>29</xdr:col>
      <xdr:colOff>457200</xdr:colOff>
      <xdr:row>0</xdr:row>
      <xdr:rowOff>571500</xdr:rowOff>
    </xdr:to>
    <xdr:sp macro="[1]!asht18">
      <xdr:nvSpPr>
        <xdr:cNvPr id="32" name="12">
          <a:hlinkClick xmlns:r="http://schemas.openxmlformats.org/officeDocument/2006/relationships" r:id="rId10"/>
        </xdr:cNvPr>
        <xdr:cNvSpPr/>
      </xdr:nvSpPr>
      <xdr:spPr>
        <a:xfrm>
          <a:off x="214896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429895</xdr:colOff>
      <xdr:row>0</xdr:row>
      <xdr:rowOff>217170</xdr:rowOff>
    </xdr:from>
    <xdr:to>
      <xdr:col>30</xdr:col>
      <xdr:colOff>561975</xdr:colOff>
      <xdr:row>0</xdr:row>
      <xdr:rowOff>571500</xdr:rowOff>
    </xdr:to>
    <xdr:sp macro="[1]!asht18">
      <xdr:nvSpPr>
        <xdr:cNvPr id="33" name="12">
          <a:hlinkClick xmlns:r="http://schemas.openxmlformats.org/officeDocument/2006/relationships" r:id="rId11"/>
        </xdr:cNvPr>
        <xdr:cNvSpPr/>
      </xdr:nvSpPr>
      <xdr:spPr>
        <a:xfrm>
          <a:off x="222802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668020</xdr:colOff>
      <xdr:row>0</xdr:row>
      <xdr:rowOff>217170</xdr:rowOff>
    </xdr:from>
    <xdr:to>
      <xdr:col>32</xdr:col>
      <xdr:colOff>114300</xdr:colOff>
      <xdr:row>0</xdr:row>
      <xdr:rowOff>571500</xdr:rowOff>
    </xdr:to>
    <xdr:sp macro="[1]!asht18">
      <xdr:nvSpPr>
        <xdr:cNvPr id="34" name="12">
          <a:hlinkClick xmlns:r="http://schemas.openxmlformats.org/officeDocument/2006/relationships" r:id="rId12"/>
        </xdr:cNvPr>
        <xdr:cNvSpPr/>
      </xdr:nvSpPr>
      <xdr:spPr>
        <a:xfrm>
          <a:off x="2320417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115570</xdr:colOff>
      <xdr:row>0</xdr:row>
      <xdr:rowOff>217170</xdr:rowOff>
    </xdr:from>
    <xdr:to>
      <xdr:col>33</xdr:col>
      <xdr:colOff>247650</xdr:colOff>
      <xdr:row>0</xdr:row>
      <xdr:rowOff>571500</xdr:rowOff>
    </xdr:to>
    <xdr:sp macro="[1]!asht18">
      <xdr:nvSpPr>
        <xdr:cNvPr id="35" name="12">
          <a:hlinkClick xmlns:r="http://schemas.openxmlformats.org/officeDocument/2006/relationships" r:id="rId13"/>
        </xdr:cNvPr>
        <xdr:cNvSpPr/>
      </xdr:nvSpPr>
      <xdr:spPr>
        <a:xfrm>
          <a:off x="24023320"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252095</xdr:colOff>
      <xdr:row>0</xdr:row>
      <xdr:rowOff>217170</xdr:rowOff>
    </xdr:from>
    <xdr:to>
      <xdr:col>34</xdr:col>
      <xdr:colOff>384175</xdr:colOff>
      <xdr:row>0</xdr:row>
      <xdr:rowOff>571500</xdr:rowOff>
    </xdr:to>
    <xdr:sp macro="[1]!asht18">
      <xdr:nvSpPr>
        <xdr:cNvPr id="36" name="12">
          <a:hlinkClick xmlns:r="http://schemas.openxmlformats.org/officeDocument/2006/relationships" r:id="rId14"/>
        </xdr:cNvPr>
        <xdr:cNvSpPr/>
      </xdr:nvSpPr>
      <xdr:spPr>
        <a:xfrm>
          <a:off x="24845645" y="21717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2</xdr:col>
      <xdr:colOff>1028700</xdr:colOff>
      <xdr:row>1</xdr:row>
      <xdr:rowOff>441325</xdr:rowOff>
    </xdr:to>
    <xdr:sp macro="[0]!select28">
      <xdr:nvSpPr>
        <xdr:cNvPr id="2" name="圆角矩形 1"/>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query_28_show">
      <xdr:nvSpPr>
        <xdr:cNvPr id="3" name="圆角矩形 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34</xdr:col>
      <xdr:colOff>579755</xdr:colOff>
      <xdr:row>0</xdr:row>
      <xdr:rowOff>624205</xdr:rowOff>
    </xdr:to>
    <xdr:sp>
      <xdr:nvSpPr>
        <xdr:cNvPr id="4" name="圆角矩形 14"/>
        <xdr:cNvSpPr/>
      </xdr:nvSpPr>
      <xdr:spPr>
        <a:xfrm>
          <a:off x="1118235" y="127000"/>
          <a:ext cx="2482659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1]!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1]!asht2">
      <xdr:nvSpPr>
        <xdr:cNvPr id="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1]!asht4">
      <xdr:nvSpPr>
        <xdr:cNvPr id="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1]!asht16">
      <xdr:nvSpPr>
        <xdr:cNvPr id="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1]!asht14">
      <xdr:nvSpPr>
        <xdr:cNvPr id="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1]!asht17">
      <xdr:nvSpPr>
        <xdr:cNvPr id="1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1]!asht5">
      <xdr:nvSpPr>
        <xdr:cNvPr id="11" name="7"/>
        <xdr:cNvSpPr/>
      </xdr:nvSpPr>
      <xdr:spPr>
        <a:xfrm>
          <a:off x="6303645" y="203200"/>
          <a:ext cx="81534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1]!asht6">
      <xdr:nvSpPr>
        <xdr:cNvPr id="1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9</xdr:col>
      <xdr:colOff>247015</xdr:colOff>
      <xdr:row>0</xdr:row>
      <xdr:rowOff>557530</xdr:rowOff>
    </xdr:to>
    <xdr:sp macro="[1]!asht7">
      <xdr:nvSpPr>
        <xdr:cNvPr id="1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286385</xdr:colOff>
      <xdr:row>0</xdr:row>
      <xdr:rowOff>203200</xdr:rowOff>
    </xdr:from>
    <xdr:to>
      <xdr:col>11</xdr:col>
      <xdr:colOff>92075</xdr:colOff>
      <xdr:row>0</xdr:row>
      <xdr:rowOff>557530</xdr:rowOff>
    </xdr:to>
    <xdr:sp macro="[1]!asht8">
      <xdr:nvSpPr>
        <xdr:cNvPr id="1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131445</xdr:colOff>
      <xdr:row>0</xdr:row>
      <xdr:rowOff>203200</xdr:rowOff>
    </xdr:from>
    <xdr:to>
      <xdr:col>12</xdr:col>
      <xdr:colOff>260985</xdr:colOff>
      <xdr:row>0</xdr:row>
      <xdr:rowOff>557530</xdr:rowOff>
    </xdr:to>
    <xdr:sp macro="[1]!asht15">
      <xdr:nvSpPr>
        <xdr:cNvPr id="1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300355</xdr:colOff>
      <xdr:row>0</xdr:row>
      <xdr:rowOff>203200</xdr:rowOff>
    </xdr:from>
    <xdr:to>
      <xdr:col>13</xdr:col>
      <xdr:colOff>432435</xdr:colOff>
      <xdr:row>0</xdr:row>
      <xdr:rowOff>557530</xdr:rowOff>
    </xdr:to>
    <xdr:sp macro="[1]!asht9">
      <xdr:nvSpPr>
        <xdr:cNvPr id="1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库存积压统计</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471805</xdr:colOff>
      <xdr:row>0</xdr:row>
      <xdr:rowOff>203200</xdr:rowOff>
    </xdr:from>
    <xdr:to>
      <xdr:col>14</xdr:col>
      <xdr:colOff>603885</xdr:colOff>
      <xdr:row>0</xdr:row>
      <xdr:rowOff>557530</xdr:rowOff>
    </xdr:to>
    <xdr:sp macro="[1]!asht10">
      <xdr:nvSpPr>
        <xdr:cNvPr id="1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643255</xdr:colOff>
      <xdr:row>0</xdr:row>
      <xdr:rowOff>203200</xdr:rowOff>
    </xdr:from>
    <xdr:to>
      <xdr:col>16</xdr:col>
      <xdr:colOff>89535</xdr:colOff>
      <xdr:row>0</xdr:row>
      <xdr:rowOff>557530</xdr:rowOff>
    </xdr:to>
    <xdr:sp macro="[1]!asht11">
      <xdr:nvSpPr>
        <xdr:cNvPr id="1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128905</xdr:colOff>
      <xdr:row>0</xdr:row>
      <xdr:rowOff>203200</xdr:rowOff>
    </xdr:from>
    <xdr:to>
      <xdr:col>17</xdr:col>
      <xdr:colOff>260985</xdr:colOff>
      <xdr:row>0</xdr:row>
      <xdr:rowOff>557530</xdr:rowOff>
    </xdr:to>
    <xdr:sp macro="[1]!asht12">
      <xdr:nvSpPr>
        <xdr:cNvPr id="2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300355</xdr:colOff>
      <xdr:row>0</xdr:row>
      <xdr:rowOff>203200</xdr:rowOff>
    </xdr:from>
    <xdr:to>
      <xdr:col>18</xdr:col>
      <xdr:colOff>432435</xdr:colOff>
      <xdr:row>0</xdr:row>
      <xdr:rowOff>557530</xdr:rowOff>
    </xdr:to>
    <xdr:sp macro="[1]!asht13">
      <xdr:nvSpPr>
        <xdr:cNvPr id="2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471805</xdr:colOff>
      <xdr:row>0</xdr:row>
      <xdr:rowOff>203200</xdr:rowOff>
    </xdr:from>
    <xdr:to>
      <xdr:col>19</xdr:col>
      <xdr:colOff>603885</xdr:colOff>
      <xdr:row>0</xdr:row>
      <xdr:rowOff>557530</xdr:rowOff>
    </xdr:to>
    <xdr:sp macro="[1]!asht18">
      <xdr:nvSpPr>
        <xdr:cNvPr id="2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28575</xdr:colOff>
      <xdr:row>0</xdr:row>
      <xdr:rowOff>231140</xdr:rowOff>
    </xdr:from>
    <xdr:to>
      <xdr:col>21</xdr:col>
      <xdr:colOff>160655</xdr:colOff>
      <xdr:row>0</xdr:row>
      <xdr:rowOff>585470</xdr:rowOff>
    </xdr:to>
    <xdr:sp macro="[1]!asht18">
      <xdr:nvSpPr>
        <xdr:cNvPr id="23" name="12">
          <a:hlinkClick xmlns:r="http://schemas.openxmlformats.org/officeDocument/2006/relationships" r:id="rId1"/>
        </xdr:cNvPr>
        <xdr:cNvSpPr/>
      </xdr:nvSpPr>
      <xdr:spPr>
        <a:xfrm>
          <a:off x="1579245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134620</xdr:colOff>
      <xdr:row>0</xdr:row>
      <xdr:rowOff>231140</xdr:rowOff>
    </xdr:from>
    <xdr:to>
      <xdr:col>22</xdr:col>
      <xdr:colOff>266700</xdr:colOff>
      <xdr:row>0</xdr:row>
      <xdr:rowOff>585470</xdr:rowOff>
    </xdr:to>
    <xdr:sp macro="[1]!asht18">
      <xdr:nvSpPr>
        <xdr:cNvPr id="24" name="12">
          <a:hlinkClick xmlns:r="http://schemas.openxmlformats.org/officeDocument/2006/relationships" r:id="rId2"/>
        </xdr:cNvPr>
        <xdr:cNvSpPr/>
      </xdr:nvSpPr>
      <xdr:spPr>
        <a:xfrm>
          <a:off x="165842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267970</xdr:colOff>
      <xdr:row>0</xdr:row>
      <xdr:rowOff>231140</xdr:rowOff>
    </xdr:from>
    <xdr:to>
      <xdr:col>23</xdr:col>
      <xdr:colOff>400050</xdr:colOff>
      <xdr:row>0</xdr:row>
      <xdr:rowOff>585470</xdr:rowOff>
    </xdr:to>
    <xdr:sp macro="[1]!asht18">
      <xdr:nvSpPr>
        <xdr:cNvPr id="25" name="12">
          <a:hlinkClick xmlns:r="http://schemas.openxmlformats.org/officeDocument/2006/relationships" r:id="rId3"/>
        </xdr:cNvPr>
        <xdr:cNvSpPr/>
      </xdr:nvSpPr>
      <xdr:spPr>
        <a:xfrm>
          <a:off x="174034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353695</xdr:colOff>
      <xdr:row>0</xdr:row>
      <xdr:rowOff>231140</xdr:rowOff>
    </xdr:from>
    <xdr:to>
      <xdr:col>24</xdr:col>
      <xdr:colOff>485775</xdr:colOff>
      <xdr:row>0</xdr:row>
      <xdr:rowOff>585470</xdr:rowOff>
    </xdr:to>
    <xdr:sp macro="[1]!asht18">
      <xdr:nvSpPr>
        <xdr:cNvPr id="26" name="12">
          <a:hlinkClick xmlns:r="http://schemas.openxmlformats.org/officeDocument/2006/relationships" r:id="rId4"/>
        </xdr:cNvPr>
        <xdr:cNvSpPr/>
      </xdr:nvSpPr>
      <xdr:spPr>
        <a:xfrm>
          <a:off x="18174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458470</xdr:colOff>
      <xdr:row>0</xdr:row>
      <xdr:rowOff>231140</xdr:rowOff>
    </xdr:from>
    <xdr:to>
      <xdr:col>25</xdr:col>
      <xdr:colOff>590550</xdr:colOff>
      <xdr:row>0</xdr:row>
      <xdr:rowOff>585470</xdr:rowOff>
    </xdr:to>
    <xdr:sp macro="[1]!asht18">
      <xdr:nvSpPr>
        <xdr:cNvPr id="27" name="12">
          <a:hlinkClick xmlns:r="http://schemas.openxmlformats.org/officeDocument/2006/relationships" r:id="rId5"/>
        </xdr:cNvPr>
        <xdr:cNvSpPr/>
      </xdr:nvSpPr>
      <xdr:spPr>
        <a:xfrm>
          <a:off x="189655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648970</xdr:colOff>
      <xdr:row>0</xdr:row>
      <xdr:rowOff>231140</xdr:rowOff>
    </xdr:from>
    <xdr:to>
      <xdr:col>27</xdr:col>
      <xdr:colOff>95250</xdr:colOff>
      <xdr:row>0</xdr:row>
      <xdr:rowOff>585470</xdr:rowOff>
    </xdr:to>
    <xdr:sp macro="[1]!asht18">
      <xdr:nvSpPr>
        <xdr:cNvPr id="28" name="12">
          <a:hlinkClick xmlns:r="http://schemas.openxmlformats.org/officeDocument/2006/relationships" r:id="rId6"/>
        </xdr:cNvPr>
        <xdr:cNvSpPr/>
      </xdr:nvSpPr>
      <xdr:spPr>
        <a:xfrm>
          <a:off x="198418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134620</xdr:colOff>
      <xdr:row>0</xdr:row>
      <xdr:rowOff>231140</xdr:rowOff>
    </xdr:from>
    <xdr:to>
      <xdr:col>28</xdr:col>
      <xdr:colOff>266700</xdr:colOff>
      <xdr:row>0</xdr:row>
      <xdr:rowOff>585470</xdr:rowOff>
    </xdr:to>
    <xdr:sp macro="[1]!asht18">
      <xdr:nvSpPr>
        <xdr:cNvPr id="29" name="12">
          <a:hlinkClick xmlns:r="http://schemas.openxmlformats.org/officeDocument/2006/relationships" r:id="rId7"/>
        </xdr:cNvPr>
        <xdr:cNvSpPr/>
      </xdr:nvSpPr>
      <xdr:spPr>
        <a:xfrm>
          <a:off x="2069909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353695</xdr:colOff>
      <xdr:row>0</xdr:row>
      <xdr:rowOff>231140</xdr:rowOff>
    </xdr:from>
    <xdr:to>
      <xdr:col>29</xdr:col>
      <xdr:colOff>485775</xdr:colOff>
      <xdr:row>0</xdr:row>
      <xdr:rowOff>585470</xdr:rowOff>
    </xdr:to>
    <xdr:sp macro="[1]!asht18">
      <xdr:nvSpPr>
        <xdr:cNvPr id="30" name="12">
          <a:hlinkClick xmlns:r="http://schemas.openxmlformats.org/officeDocument/2006/relationships" r:id="rId8"/>
        </xdr:cNvPr>
        <xdr:cNvSpPr/>
      </xdr:nvSpPr>
      <xdr:spPr>
        <a:xfrm>
          <a:off x="216039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458470</xdr:colOff>
      <xdr:row>0</xdr:row>
      <xdr:rowOff>231140</xdr:rowOff>
    </xdr:from>
    <xdr:to>
      <xdr:col>30</xdr:col>
      <xdr:colOff>590550</xdr:colOff>
      <xdr:row>0</xdr:row>
      <xdr:rowOff>585470</xdr:rowOff>
    </xdr:to>
    <xdr:sp macro="[1]!asht18">
      <xdr:nvSpPr>
        <xdr:cNvPr id="31" name="12">
          <a:hlinkClick xmlns:r="http://schemas.openxmlformats.org/officeDocument/2006/relationships" r:id="rId9"/>
        </xdr:cNvPr>
        <xdr:cNvSpPr/>
      </xdr:nvSpPr>
      <xdr:spPr>
        <a:xfrm>
          <a:off x="22394545" y="231140"/>
          <a:ext cx="817880" cy="354330"/>
        </a:xfrm>
        <a:prstGeom prst="rect">
          <a:avLst/>
        </a:prstGeom>
      </xdr:spPr>
      <xdr:style>
        <a:lnRef idx="0">
          <a:srgbClr val="FFFFFF"/>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库存积压统计</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31</xdr:col>
      <xdr:colOff>10795</xdr:colOff>
      <xdr:row>0</xdr:row>
      <xdr:rowOff>231140</xdr:rowOff>
    </xdr:from>
    <xdr:to>
      <xdr:col>32</xdr:col>
      <xdr:colOff>142875</xdr:colOff>
      <xdr:row>0</xdr:row>
      <xdr:rowOff>585470</xdr:rowOff>
    </xdr:to>
    <xdr:sp macro="[1]!asht18">
      <xdr:nvSpPr>
        <xdr:cNvPr id="32" name="12">
          <a:hlinkClick xmlns:r="http://schemas.openxmlformats.org/officeDocument/2006/relationships" r:id="rId10"/>
        </xdr:cNvPr>
        <xdr:cNvSpPr/>
      </xdr:nvSpPr>
      <xdr:spPr>
        <a:xfrm>
          <a:off x="2331847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32</xdr:col>
      <xdr:colOff>144145</xdr:colOff>
      <xdr:row>0</xdr:row>
      <xdr:rowOff>231140</xdr:rowOff>
    </xdr:from>
    <xdr:to>
      <xdr:col>33</xdr:col>
      <xdr:colOff>276225</xdr:colOff>
      <xdr:row>0</xdr:row>
      <xdr:rowOff>585470</xdr:rowOff>
    </xdr:to>
    <xdr:sp macro="[1]!asht18">
      <xdr:nvSpPr>
        <xdr:cNvPr id="33" name="12">
          <a:hlinkClick xmlns:r="http://schemas.openxmlformats.org/officeDocument/2006/relationships" r:id="rId11"/>
        </xdr:cNvPr>
        <xdr:cNvSpPr/>
      </xdr:nvSpPr>
      <xdr:spPr>
        <a:xfrm>
          <a:off x="24137620"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仓库资料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280670</xdr:colOff>
      <xdr:row>0</xdr:row>
      <xdr:rowOff>231140</xdr:rowOff>
    </xdr:from>
    <xdr:to>
      <xdr:col>34</xdr:col>
      <xdr:colOff>412750</xdr:colOff>
      <xdr:row>0</xdr:row>
      <xdr:rowOff>585470</xdr:rowOff>
    </xdr:to>
    <xdr:sp macro="[1]!asht18">
      <xdr:nvSpPr>
        <xdr:cNvPr id="34" name="12">
          <a:hlinkClick xmlns:r="http://schemas.openxmlformats.org/officeDocument/2006/relationships" r:id="rId12"/>
        </xdr:cNvPr>
        <xdr:cNvSpPr/>
      </xdr:nvSpPr>
      <xdr:spPr>
        <a:xfrm>
          <a:off x="24959945" y="23114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1219200</xdr:colOff>
      <xdr:row>1</xdr:row>
      <xdr:rowOff>50800</xdr:rowOff>
    </xdr:from>
    <xdr:to>
      <xdr:col>4</xdr:col>
      <xdr:colOff>1000125</xdr:colOff>
      <xdr:row>1</xdr:row>
      <xdr:rowOff>441325</xdr:rowOff>
    </xdr:to>
    <xdr:sp macro="[0]!print_out1">
      <xdr:nvSpPr>
        <xdr:cNvPr id="21" name="圆角矩形 20"/>
        <xdr:cNvSpPr/>
      </xdr:nvSpPr>
      <xdr:spPr>
        <a:xfrm>
          <a:off x="1828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2">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10</xdr:col>
      <xdr:colOff>1158875</xdr:colOff>
      <xdr:row>1</xdr:row>
      <xdr:rowOff>28575</xdr:rowOff>
    </xdr:from>
    <xdr:to>
      <xdr:col>11</xdr:col>
      <xdr:colOff>1082040</xdr:colOff>
      <xdr:row>1</xdr:row>
      <xdr:rowOff>419100</xdr:rowOff>
    </xdr:to>
    <xdr:sp macro="[0]!shanchu_09">
      <xdr:nvSpPr>
        <xdr:cNvPr id="3" name="圆角矩形 2"/>
        <xdr:cNvSpPr/>
      </xdr:nvSpPr>
      <xdr:spPr>
        <a:xfrm>
          <a:off x="10769600" y="7905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1143000</xdr:colOff>
      <xdr:row>1</xdr:row>
      <xdr:rowOff>41275</xdr:rowOff>
    </xdr:from>
    <xdr:to>
      <xdr:col>10</xdr:col>
      <xdr:colOff>1066165</xdr:colOff>
      <xdr:row>1</xdr:row>
      <xdr:rowOff>431800</xdr:rowOff>
    </xdr:to>
    <xdr:sp macro="[0]!shangchuan_09">
      <xdr:nvSpPr>
        <xdr:cNvPr id="4" name="圆角矩形 3"/>
        <xdr:cNvSpPr/>
      </xdr:nvSpPr>
      <xdr:spPr>
        <a:xfrm>
          <a:off x="9467850" y="803275"/>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文件上传</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21">
      <xdr:nvSpPr>
        <xdr:cNvPr id="2" name="圆角矩形 1"/>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6</xdr:col>
      <xdr:colOff>415925</xdr:colOff>
      <xdr:row>1</xdr:row>
      <xdr:rowOff>441325</xdr:rowOff>
    </xdr:to>
    <xdr:sp macro="[0]!save21">
      <xdr:nvSpPr>
        <xdr:cNvPr id="3" name="圆角矩形 2"/>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88900</xdr:colOff>
      <xdr:row>1</xdr:row>
      <xdr:rowOff>50800</xdr:rowOff>
    </xdr:from>
    <xdr:to>
      <xdr:col>8</xdr:col>
      <xdr:colOff>469900</xdr:colOff>
      <xdr:row>1</xdr:row>
      <xdr:rowOff>441325</xdr:rowOff>
    </xdr:to>
    <xdr:sp macro="[0]!PLSC">
      <xdr:nvSpPr>
        <xdr:cNvPr id="4" name="圆角矩形 3"/>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41</xdr:col>
      <xdr:colOff>66040</xdr:colOff>
      <xdr:row>0</xdr:row>
      <xdr:rowOff>624205</xdr:rowOff>
    </xdr:to>
    <xdr:sp>
      <xdr:nvSpPr>
        <xdr:cNvPr id="5" name="圆角矩形 14"/>
        <xdr:cNvSpPr/>
      </xdr:nvSpPr>
      <xdr:spPr>
        <a:xfrm>
          <a:off x="1118235" y="127000"/>
          <a:ext cx="2497010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1]!asht1">
      <xdr:nvSpPr>
        <xdr:cNvPr id="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6</xdr:col>
      <xdr:colOff>140335</xdr:colOff>
      <xdr:row>0</xdr:row>
      <xdr:rowOff>557530</xdr:rowOff>
    </xdr:to>
    <xdr:sp macro="[1]!asht2">
      <xdr:nvSpPr>
        <xdr:cNvPr id="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179705</xdr:colOff>
      <xdr:row>0</xdr:row>
      <xdr:rowOff>203200</xdr:rowOff>
    </xdr:from>
    <xdr:to>
      <xdr:col>7</xdr:col>
      <xdr:colOff>309245</xdr:colOff>
      <xdr:row>0</xdr:row>
      <xdr:rowOff>557530</xdr:rowOff>
    </xdr:to>
    <xdr:sp macro="[1]!asht4">
      <xdr:nvSpPr>
        <xdr:cNvPr id="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348615</xdr:colOff>
      <xdr:row>0</xdr:row>
      <xdr:rowOff>203200</xdr:rowOff>
    </xdr:from>
    <xdr:to>
      <xdr:col>8</xdr:col>
      <xdr:colOff>478155</xdr:colOff>
      <xdr:row>0</xdr:row>
      <xdr:rowOff>557530</xdr:rowOff>
    </xdr:to>
    <xdr:sp macro="[1]!asht16">
      <xdr:nvSpPr>
        <xdr:cNvPr id="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517525</xdr:colOff>
      <xdr:row>0</xdr:row>
      <xdr:rowOff>203200</xdr:rowOff>
    </xdr:from>
    <xdr:to>
      <xdr:col>9</xdr:col>
      <xdr:colOff>647700</xdr:colOff>
      <xdr:row>0</xdr:row>
      <xdr:rowOff>557530</xdr:rowOff>
    </xdr:to>
    <xdr:sp macro="[1]!asht14">
      <xdr:nvSpPr>
        <xdr:cNvPr id="1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1270</xdr:colOff>
      <xdr:row>0</xdr:row>
      <xdr:rowOff>203200</xdr:rowOff>
    </xdr:from>
    <xdr:to>
      <xdr:col>12</xdr:col>
      <xdr:colOff>130175</xdr:colOff>
      <xdr:row>0</xdr:row>
      <xdr:rowOff>557530</xdr:rowOff>
    </xdr:to>
    <xdr:sp macro="[1]!asht17">
      <xdr:nvSpPr>
        <xdr:cNvPr id="1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169545</xdr:colOff>
      <xdr:row>0</xdr:row>
      <xdr:rowOff>203200</xdr:rowOff>
    </xdr:from>
    <xdr:to>
      <xdr:col>13</xdr:col>
      <xdr:colOff>299085</xdr:colOff>
      <xdr:row>0</xdr:row>
      <xdr:rowOff>557530</xdr:rowOff>
    </xdr:to>
    <xdr:sp macro="[1]!asht5">
      <xdr:nvSpPr>
        <xdr:cNvPr id="1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338455</xdr:colOff>
      <xdr:row>0</xdr:row>
      <xdr:rowOff>203200</xdr:rowOff>
    </xdr:from>
    <xdr:to>
      <xdr:col>14</xdr:col>
      <xdr:colOff>467995</xdr:colOff>
      <xdr:row>0</xdr:row>
      <xdr:rowOff>557530</xdr:rowOff>
    </xdr:to>
    <xdr:sp macro="[1]!asht6">
      <xdr:nvSpPr>
        <xdr:cNvPr id="1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507365</xdr:colOff>
      <xdr:row>0</xdr:row>
      <xdr:rowOff>203200</xdr:rowOff>
    </xdr:from>
    <xdr:to>
      <xdr:col>15</xdr:col>
      <xdr:colOff>637540</xdr:colOff>
      <xdr:row>0</xdr:row>
      <xdr:rowOff>557530</xdr:rowOff>
    </xdr:to>
    <xdr:sp macro="[1]!asht7">
      <xdr:nvSpPr>
        <xdr:cNvPr id="1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676910</xdr:colOff>
      <xdr:row>0</xdr:row>
      <xdr:rowOff>203200</xdr:rowOff>
    </xdr:from>
    <xdr:to>
      <xdr:col>17</xdr:col>
      <xdr:colOff>120650</xdr:colOff>
      <xdr:row>0</xdr:row>
      <xdr:rowOff>557530</xdr:rowOff>
    </xdr:to>
    <xdr:sp macro="[1]!asht8">
      <xdr:nvSpPr>
        <xdr:cNvPr id="1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160020</xdr:colOff>
      <xdr:row>0</xdr:row>
      <xdr:rowOff>203200</xdr:rowOff>
    </xdr:from>
    <xdr:to>
      <xdr:col>18</xdr:col>
      <xdr:colOff>289560</xdr:colOff>
      <xdr:row>0</xdr:row>
      <xdr:rowOff>557530</xdr:rowOff>
    </xdr:to>
    <xdr:sp macro="[1]!asht15">
      <xdr:nvSpPr>
        <xdr:cNvPr id="1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328930</xdr:colOff>
      <xdr:row>0</xdr:row>
      <xdr:rowOff>203200</xdr:rowOff>
    </xdr:from>
    <xdr:to>
      <xdr:col>19</xdr:col>
      <xdr:colOff>461010</xdr:colOff>
      <xdr:row>0</xdr:row>
      <xdr:rowOff>557530</xdr:rowOff>
    </xdr:to>
    <xdr:sp macro="[1]!asht9">
      <xdr:nvSpPr>
        <xdr:cNvPr id="1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仓库资料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19</xdr:col>
      <xdr:colOff>500380</xdr:colOff>
      <xdr:row>0</xdr:row>
      <xdr:rowOff>203200</xdr:rowOff>
    </xdr:from>
    <xdr:to>
      <xdr:col>20</xdr:col>
      <xdr:colOff>632460</xdr:colOff>
      <xdr:row>0</xdr:row>
      <xdr:rowOff>557530</xdr:rowOff>
    </xdr:to>
    <xdr:sp macro="[1]!asht10">
      <xdr:nvSpPr>
        <xdr:cNvPr id="1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671830</xdr:colOff>
      <xdr:row>0</xdr:row>
      <xdr:rowOff>203200</xdr:rowOff>
    </xdr:from>
    <xdr:to>
      <xdr:col>22</xdr:col>
      <xdr:colOff>118110</xdr:colOff>
      <xdr:row>0</xdr:row>
      <xdr:rowOff>557530</xdr:rowOff>
    </xdr:to>
    <xdr:sp macro="[1]!asht11">
      <xdr:nvSpPr>
        <xdr:cNvPr id="2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157480</xdr:colOff>
      <xdr:row>0</xdr:row>
      <xdr:rowOff>203200</xdr:rowOff>
    </xdr:from>
    <xdr:to>
      <xdr:col>23</xdr:col>
      <xdr:colOff>289560</xdr:colOff>
      <xdr:row>0</xdr:row>
      <xdr:rowOff>557530</xdr:rowOff>
    </xdr:to>
    <xdr:sp macro="[1]!asht12">
      <xdr:nvSpPr>
        <xdr:cNvPr id="21" name="12"/>
        <xdr:cNvSpPr/>
      </xdr:nvSpPr>
      <xdr:spPr>
        <a:xfrm>
          <a:off x="13149580" y="203200"/>
          <a:ext cx="817880" cy="354330"/>
        </a:xfrm>
        <a:prstGeom prst="rect">
          <a:avLst/>
        </a:prstGeom>
        <a:ln>
          <a:noFill/>
        </a:ln>
      </xdr:spPr>
      <xdr:style>
        <a:lnRef idx="3">
          <a:schemeClr val="accent1"/>
        </a:lnRef>
        <a:fillRef idx="0">
          <a:srgbClr val="FFFFFF"/>
        </a:fillRef>
        <a:effectRef idx="0">
          <a:srgbClr val="FFFFFF"/>
        </a:effectRef>
        <a:fontRef idx="minor">
          <a:schemeClr val="tx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sym typeface="+mn-ea"/>
          </a:endParaRPr>
        </a:p>
      </xdr:txBody>
    </xdr:sp>
    <xdr:clientData/>
  </xdr:twoCellAnchor>
  <xdr:twoCellAnchor editAs="absolute">
    <xdr:from>
      <xdr:col>23</xdr:col>
      <xdr:colOff>328930</xdr:colOff>
      <xdr:row>0</xdr:row>
      <xdr:rowOff>203200</xdr:rowOff>
    </xdr:from>
    <xdr:to>
      <xdr:col>24</xdr:col>
      <xdr:colOff>461010</xdr:colOff>
      <xdr:row>0</xdr:row>
      <xdr:rowOff>557530</xdr:rowOff>
    </xdr:to>
    <xdr:sp macro="[1]!asht13">
      <xdr:nvSpPr>
        <xdr:cNvPr id="2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24</xdr:col>
      <xdr:colOff>528955</xdr:colOff>
      <xdr:row>0</xdr:row>
      <xdr:rowOff>222250</xdr:rowOff>
    </xdr:from>
    <xdr:to>
      <xdr:col>25</xdr:col>
      <xdr:colOff>661035</xdr:colOff>
      <xdr:row>0</xdr:row>
      <xdr:rowOff>576580</xdr:rowOff>
    </xdr:to>
    <xdr:sp macro="[1]!asht18">
      <xdr:nvSpPr>
        <xdr:cNvPr id="23" name="12"/>
        <xdr:cNvSpPr/>
      </xdr:nvSpPr>
      <xdr:spPr>
        <a:xfrm>
          <a:off x="14892655" y="22225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25</xdr:col>
      <xdr:colOff>609600</xdr:colOff>
      <xdr:row>0</xdr:row>
      <xdr:rowOff>207645</xdr:rowOff>
    </xdr:from>
    <xdr:to>
      <xdr:col>27</xdr:col>
      <xdr:colOff>55880</xdr:colOff>
      <xdr:row>0</xdr:row>
      <xdr:rowOff>561975</xdr:rowOff>
    </xdr:to>
    <xdr:sp macro="[1]!asht18">
      <xdr:nvSpPr>
        <xdr:cNvPr id="24" name="12">
          <a:hlinkClick xmlns:r="http://schemas.openxmlformats.org/officeDocument/2006/relationships" r:id="rId1"/>
        </xdr:cNvPr>
        <xdr:cNvSpPr/>
      </xdr:nvSpPr>
      <xdr:spPr>
        <a:xfrm>
          <a:off x="1565910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库存调拨</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27</xdr:col>
      <xdr:colOff>29845</xdr:colOff>
      <xdr:row>0</xdr:row>
      <xdr:rowOff>207645</xdr:rowOff>
    </xdr:from>
    <xdr:to>
      <xdr:col>28</xdr:col>
      <xdr:colOff>161925</xdr:colOff>
      <xdr:row>0</xdr:row>
      <xdr:rowOff>561975</xdr:rowOff>
    </xdr:to>
    <xdr:sp macro="[1]!asht18">
      <xdr:nvSpPr>
        <xdr:cNvPr id="25" name="12">
          <a:hlinkClick xmlns:r="http://schemas.openxmlformats.org/officeDocument/2006/relationships" r:id="rId2"/>
        </xdr:cNvPr>
        <xdr:cNvSpPr/>
      </xdr:nvSpPr>
      <xdr:spPr>
        <a:xfrm>
          <a:off x="164509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库存盘点</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28</xdr:col>
      <xdr:colOff>163195</xdr:colOff>
      <xdr:row>0</xdr:row>
      <xdr:rowOff>207645</xdr:rowOff>
    </xdr:from>
    <xdr:to>
      <xdr:col>29</xdr:col>
      <xdr:colOff>295275</xdr:colOff>
      <xdr:row>0</xdr:row>
      <xdr:rowOff>561975</xdr:rowOff>
    </xdr:to>
    <xdr:sp macro="[1]!asht18">
      <xdr:nvSpPr>
        <xdr:cNvPr id="26" name="12">
          <a:hlinkClick xmlns:r="http://schemas.openxmlformats.org/officeDocument/2006/relationships" r:id="rId3"/>
        </xdr:cNvPr>
        <xdr:cNvSpPr/>
      </xdr:nvSpPr>
      <xdr:spPr>
        <a:xfrm>
          <a:off x="172700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29</xdr:col>
      <xdr:colOff>248920</xdr:colOff>
      <xdr:row>0</xdr:row>
      <xdr:rowOff>207645</xdr:rowOff>
    </xdr:from>
    <xdr:to>
      <xdr:col>30</xdr:col>
      <xdr:colOff>381000</xdr:colOff>
      <xdr:row>0</xdr:row>
      <xdr:rowOff>561975</xdr:rowOff>
    </xdr:to>
    <xdr:sp macro="[1]!asht18">
      <xdr:nvSpPr>
        <xdr:cNvPr id="27" name="12">
          <a:hlinkClick xmlns:r="http://schemas.openxmlformats.org/officeDocument/2006/relationships" r:id="rId4"/>
        </xdr:cNvPr>
        <xdr:cNvSpPr/>
      </xdr:nvSpPr>
      <xdr:spPr>
        <a:xfrm>
          <a:off x="18041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30</xdr:col>
      <xdr:colOff>353695</xdr:colOff>
      <xdr:row>0</xdr:row>
      <xdr:rowOff>207645</xdr:rowOff>
    </xdr:from>
    <xdr:to>
      <xdr:col>31</xdr:col>
      <xdr:colOff>485775</xdr:colOff>
      <xdr:row>0</xdr:row>
      <xdr:rowOff>561975</xdr:rowOff>
    </xdr:to>
    <xdr:sp macro="[1]!asht18">
      <xdr:nvSpPr>
        <xdr:cNvPr id="28" name="12">
          <a:hlinkClick xmlns:r="http://schemas.openxmlformats.org/officeDocument/2006/relationships" r:id="rId5"/>
        </xdr:cNvPr>
        <xdr:cNvSpPr/>
      </xdr:nvSpPr>
      <xdr:spPr>
        <a:xfrm>
          <a:off x="18832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销售退货统计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31</xdr:col>
      <xdr:colOff>544195</xdr:colOff>
      <xdr:row>0</xdr:row>
      <xdr:rowOff>207645</xdr:rowOff>
    </xdr:from>
    <xdr:to>
      <xdr:col>32</xdr:col>
      <xdr:colOff>676275</xdr:colOff>
      <xdr:row>0</xdr:row>
      <xdr:rowOff>561975</xdr:rowOff>
    </xdr:to>
    <xdr:sp macro="[1]!asht18">
      <xdr:nvSpPr>
        <xdr:cNvPr id="29" name="12">
          <a:hlinkClick xmlns:r="http://schemas.openxmlformats.org/officeDocument/2006/relationships" r:id="rId6"/>
        </xdr:cNvPr>
        <xdr:cNvSpPr/>
      </xdr:nvSpPr>
      <xdr:spPr>
        <a:xfrm>
          <a:off x="197084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采购退货统计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33</xdr:col>
      <xdr:colOff>29845</xdr:colOff>
      <xdr:row>0</xdr:row>
      <xdr:rowOff>207645</xdr:rowOff>
    </xdr:from>
    <xdr:to>
      <xdr:col>34</xdr:col>
      <xdr:colOff>161925</xdr:colOff>
      <xdr:row>0</xdr:row>
      <xdr:rowOff>561975</xdr:rowOff>
    </xdr:to>
    <xdr:sp macro="[1]!asht18">
      <xdr:nvSpPr>
        <xdr:cNvPr id="30" name="12">
          <a:hlinkClick xmlns:r="http://schemas.openxmlformats.org/officeDocument/2006/relationships" r:id="rId7"/>
        </xdr:cNvPr>
        <xdr:cNvSpPr/>
      </xdr:nvSpPr>
      <xdr:spPr>
        <a:xfrm>
          <a:off x="2056574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进出明细统计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34</xdr:col>
      <xdr:colOff>248920</xdr:colOff>
      <xdr:row>0</xdr:row>
      <xdr:rowOff>207645</xdr:rowOff>
    </xdr:from>
    <xdr:to>
      <xdr:col>35</xdr:col>
      <xdr:colOff>381000</xdr:colOff>
      <xdr:row>0</xdr:row>
      <xdr:rowOff>561975</xdr:rowOff>
    </xdr:to>
    <xdr:sp macro="[1]!asht18">
      <xdr:nvSpPr>
        <xdr:cNvPr id="31" name="12">
          <a:hlinkClick xmlns:r="http://schemas.openxmlformats.org/officeDocument/2006/relationships" r:id="rId8"/>
        </xdr:cNvPr>
        <xdr:cNvSpPr/>
      </xdr:nvSpPr>
      <xdr:spPr>
        <a:xfrm>
          <a:off x="214706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采购单</a:t>
          </a:r>
          <a:endParaRPr lang="en-US" altLang="zh-CN"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35</xdr:col>
      <xdr:colOff>353695</xdr:colOff>
      <xdr:row>0</xdr:row>
      <xdr:rowOff>207645</xdr:rowOff>
    </xdr:from>
    <xdr:to>
      <xdr:col>36</xdr:col>
      <xdr:colOff>485775</xdr:colOff>
      <xdr:row>0</xdr:row>
      <xdr:rowOff>561975</xdr:rowOff>
    </xdr:to>
    <xdr:sp macro="[1]!asht18">
      <xdr:nvSpPr>
        <xdr:cNvPr id="32" name="12">
          <a:hlinkClick xmlns:r="http://schemas.openxmlformats.org/officeDocument/2006/relationships" r:id="rId9"/>
        </xdr:cNvPr>
        <xdr:cNvSpPr/>
      </xdr:nvSpPr>
      <xdr:spPr>
        <a:xfrm>
          <a:off x="222611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库存积压统计</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36</xdr:col>
      <xdr:colOff>591820</xdr:colOff>
      <xdr:row>0</xdr:row>
      <xdr:rowOff>207645</xdr:rowOff>
    </xdr:from>
    <xdr:to>
      <xdr:col>38</xdr:col>
      <xdr:colOff>38100</xdr:colOff>
      <xdr:row>0</xdr:row>
      <xdr:rowOff>561975</xdr:rowOff>
    </xdr:to>
    <xdr:sp macro="[1]!asht18">
      <xdr:nvSpPr>
        <xdr:cNvPr id="33" name="12">
          <a:hlinkClick xmlns:r="http://schemas.openxmlformats.org/officeDocument/2006/relationships" r:id="rId10"/>
        </xdr:cNvPr>
        <xdr:cNvSpPr/>
      </xdr:nvSpPr>
      <xdr:spPr>
        <a:xfrm>
          <a:off x="23185120"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期末数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38</xdr:col>
      <xdr:colOff>39370</xdr:colOff>
      <xdr:row>0</xdr:row>
      <xdr:rowOff>207645</xdr:rowOff>
    </xdr:from>
    <xdr:to>
      <xdr:col>39</xdr:col>
      <xdr:colOff>171450</xdr:colOff>
      <xdr:row>0</xdr:row>
      <xdr:rowOff>561975</xdr:rowOff>
    </xdr:to>
    <xdr:sp macro="[1]!asht18">
      <xdr:nvSpPr>
        <xdr:cNvPr id="34" name="12">
          <a:hlinkClick xmlns:r="http://schemas.openxmlformats.org/officeDocument/2006/relationships" r:id="rId11"/>
        </xdr:cNvPr>
        <xdr:cNvSpPr/>
      </xdr:nvSpPr>
      <xdr:spPr>
        <a:xfrm>
          <a:off x="24004270" y="207645"/>
          <a:ext cx="817880" cy="354330"/>
        </a:xfrm>
        <a:prstGeom prst="rect">
          <a:avLst/>
        </a:prstGeom>
      </xdr:spPr>
      <xdr:style>
        <a:lnRef idx="2">
          <a:schemeClr val="lt1"/>
        </a:lnRef>
        <a:fillRef idx="1">
          <a:schemeClr val="accent1"/>
        </a:fillRef>
        <a:effectRef idx="1">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chemeClr val="bg1"/>
              </a:solidFill>
              <a:latin typeface="微软雅黑" panose="020B0503020204020204" charset="-122"/>
              <a:ea typeface="微软雅黑" panose="020B0503020204020204" charset="-122"/>
            </a:rPr>
            <a:t>仓库资料</a:t>
          </a:r>
          <a:endParaRPr lang="zh-CN" altLang="en-US" sz="1000">
            <a:solidFill>
              <a:schemeClr val="bg1"/>
            </a:solidFill>
            <a:latin typeface="微软雅黑" panose="020B0503020204020204" charset="-122"/>
            <a:ea typeface="微软雅黑" panose="020B0503020204020204" charset="-122"/>
          </a:endParaRPr>
        </a:p>
      </xdr:txBody>
    </xdr:sp>
    <xdr:clientData/>
  </xdr:twoCellAnchor>
  <xdr:twoCellAnchor editAs="absolute">
    <xdr:from>
      <xdr:col>39</xdr:col>
      <xdr:colOff>175895</xdr:colOff>
      <xdr:row>0</xdr:row>
      <xdr:rowOff>207645</xdr:rowOff>
    </xdr:from>
    <xdr:to>
      <xdr:col>40</xdr:col>
      <xdr:colOff>307975</xdr:colOff>
      <xdr:row>0</xdr:row>
      <xdr:rowOff>561975</xdr:rowOff>
    </xdr:to>
    <xdr:sp macro="[1]!asht18">
      <xdr:nvSpPr>
        <xdr:cNvPr id="35" name="12">
          <a:hlinkClick xmlns:r="http://schemas.openxmlformats.org/officeDocument/2006/relationships" r:id="rId12"/>
        </xdr:cNvPr>
        <xdr:cNvSpPr/>
      </xdr:nvSpPr>
      <xdr:spPr>
        <a:xfrm>
          <a:off x="24826595" y="207645"/>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采购未入库明细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2"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Administrator.SC-201910250949\AppData\Roaming\kingsoft\office6\backup\&#36827;&#38144;&#23384;&#31995;&#32479;mysql_&#21103;&#2641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首页"/>
      <sheetName val="说明书"/>
      <sheetName val="加密"/>
      <sheetName val="入库"/>
      <sheetName val="出库"/>
      <sheetName val="入库单"/>
      <sheetName val="出库单"/>
      <sheetName val="期初数"/>
      <sheetName val="明细"/>
      <sheetName val="进销存"/>
      <sheetName val="商品进出查询"/>
      <sheetName val="客户|供应商查询"/>
      <sheetName val="基础资料"/>
      <sheetName val="客户资料"/>
      <sheetName val="供应商资料"/>
      <sheetName val="笔记"/>
      <sheetName val="用户管理"/>
      <sheetName val="二维码打印"/>
    </sheetNames>
    <definedNames>
      <definedName name="asht10"/>
      <definedName name="asht11"/>
      <definedName name="asht8"/>
      <definedName name="asht9"/>
      <definedName name="asht4"/>
      <definedName name="asht5"/>
      <definedName name="asht6"/>
      <definedName name="asht7"/>
      <definedName name="asht12"/>
      <definedName name="asht13"/>
      <definedName name="asht14"/>
      <definedName name="asht18"/>
      <definedName name="asht15"/>
      <definedName name="asht1"/>
      <definedName name="asht2"/>
      <definedName name="asht16"/>
      <definedName name="asht17"/>
      <definedName name="print_out"/>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0.xml"/><Relationship Id="rId1"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1.xml"/><Relationship Id="rId1" Type="http://schemas.openxmlformats.org/officeDocument/2006/relationships/comments" Target="../comments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4.xml"/><Relationship Id="rId1" Type="http://schemas.openxmlformats.org/officeDocument/2006/relationships/comments" Target="../comments6.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7.vml"/><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P16" sqref="AP16"/>
    </sheetView>
  </sheetViews>
  <sheetFormatPr defaultColWidth="3.625" defaultRowHeight="17.1" customHeight="1"/>
  <cols>
    <col min="1" max="1" width="3.625" style="95" customWidth="1"/>
    <col min="2" max="16384" width="3.625" style="95"/>
  </cols>
  <sheetData>
    <row r="4" customHeight="1" spans="1:42">
      <c r="A4" s="96"/>
      <c r="B4" s="96"/>
      <c r="C4" s="96"/>
      <c r="D4" s="96"/>
      <c r="E4" s="96"/>
      <c r="F4" s="96"/>
      <c r="G4" s="96"/>
      <c r="H4" s="96"/>
      <c r="I4" s="96"/>
      <c r="J4" s="96"/>
      <c r="K4" s="96"/>
      <c r="L4" s="96"/>
      <c r="M4" s="96"/>
      <c r="N4" s="96"/>
      <c r="O4" s="96"/>
      <c r="P4" s="96"/>
      <c r="Q4" s="96"/>
      <c r="R4" s="96"/>
      <c r="S4" s="96"/>
      <c r="T4" s="96"/>
      <c r="U4" s="96"/>
      <c r="V4" s="96"/>
      <c r="W4" s="96"/>
      <c r="X4" s="96"/>
      <c r="Y4" s="96"/>
      <c r="Z4" s="96"/>
      <c r="AA4" s="96"/>
      <c r="AB4" s="96"/>
      <c r="AC4" s="96"/>
      <c r="AD4" s="96"/>
      <c r="AE4" s="96"/>
      <c r="AF4" s="96"/>
      <c r="AG4" s="96"/>
      <c r="AH4" s="96"/>
      <c r="AI4" s="96"/>
      <c r="AJ4" s="96"/>
      <c r="AK4" s="96"/>
      <c r="AL4" s="96"/>
      <c r="AM4" s="96"/>
      <c r="AN4" s="96"/>
      <c r="AO4" s="96"/>
      <c r="AP4" s="96"/>
    </row>
    <row r="5" customHeight="1" spans="1:42">
      <c r="A5" s="96"/>
      <c r="B5" s="96"/>
      <c r="C5" s="96"/>
      <c r="D5" s="96"/>
      <c r="E5" s="96"/>
      <c r="F5" s="96"/>
      <c r="G5" s="96"/>
      <c r="H5" s="96"/>
      <c r="I5" s="96"/>
      <c r="J5" s="96"/>
      <c r="K5" s="96"/>
      <c r="L5" s="96"/>
      <c r="M5" s="96"/>
      <c r="N5" s="96"/>
      <c r="O5" s="96"/>
      <c r="P5" s="96"/>
      <c r="Q5" s="96"/>
      <c r="R5" s="96"/>
      <c r="S5" s="96"/>
      <c r="T5" s="96"/>
      <c r="U5" s="96"/>
      <c r="V5" s="96"/>
      <c r="W5" s="96"/>
      <c r="X5" s="96"/>
      <c r="Y5" s="96"/>
      <c r="Z5" s="96"/>
      <c r="AA5" s="96"/>
      <c r="AB5" s="96"/>
      <c r="AC5" s="96"/>
      <c r="AD5" s="96"/>
      <c r="AE5" s="96"/>
      <c r="AF5" s="96"/>
      <c r="AG5" s="96"/>
      <c r="AH5" s="96"/>
      <c r="AI5" s="96"/>
      <c r="AJ5" s="96"/>
      <c r="AK5" s="96"/>
      <c r="AL5" s="96"/>
      <c r="AM5" s="96"/>
      <c r="AN5" s="96"/>
      <c r="AO5" s="96"/>
      <c r="AP5" s="96"/>
    </row>
    <row r="6" customHeight="1" spans="1:42">
      <c r="A6" s="97"/>
      <c r="B6" s="97"/>
      <c r="C6" s="97"/>
      <c r="D6" s="97"/>
      <c r="E6" s="97"/>
      <c r="F6" s="97"/>
      <c r="G6" s="97"/>
      <c r="H6" s="98"/>
      <c r="I6" s="98"/>
      <c r="J6" s="98"/>
      <c r="K6" s="98"/>
      <c r="L6" s="98"/>
      <c r="M6" s="98"/>
      <c r="N6" s="98"/>
      <c r="O6" s="98"/>
      <c r="P6" s="98"/>
      <c r="Q6" s="98"/>
      <c r="R6" s="97"/>
      <c r="S6" s="97"/>
      <c r="T6" s="97"/>
      <c r="U6" s="97"/>
      <c r="V6" s="97"/>
      <c r="W6" s="97"/>
      <c r="X6" s="97"/>
      <c r="Y6" s="97"/>
      <c r="Z6" s="97"/>
      <c r="AA6" s="97"/>
      <c r="AB6" s="97"/>
      <c r="AC6" s="97"/>
      <c r="AD6" s="97"/>
      <c r="AE6" s="97"/>
      <c r="AF6" s="97"/>
      <c r="AG6" s="97"/>
      <c r="AH6" s="97"/>
      <c r="AI6" s="97"/>
      <c r="AJ6" s="97"/>
      <c r="AK6" s="97"/>
      <c r="AL6" s="97"/>
      <c r="AM6" s="97"/>
      <c r="AN6" s="97"/>
      <c r="AO6" s="97"/>
      <c r="AP6" s="97"/>
    </row>
    <row r="7" customHeight="1" spans="1:42">
      <c r="E7" s="99"/>
      <c r="F7" s="99"/>
      <c r="G7" s="99"/>
      <c r="H7" s="100"/>
      <c r="I7" s="100"/>
      <c r="J7" s="100"/>
      <c r="K7" s="100"/>
      <c r="L7" s="100"/>
      <c r="M7" s="100"/>
      <c r="N7" s="101"/>
      <c r="O7" s="101"/>
      <c r="P7" s="101"/>
      <c r="Q7" s="101"/>
      <c r="T7" s="101"/>
      <c r="U7" s="101"/>
      <c r="V7" s="101"/>
      <c r="W7" s="101"/>
    </row>
    <row r="8" customHeight="1" spans="1:42">
      <c r="H8" s="101"/>
      <c r="I8" s="101"/>
      <c r="J8" s="101"/>
      <c r="K8" s="101"/>
      <c r="L8" s="101"/>
      <c r="M8" s="101"/>
      <c r="N8" s="101"/>
      <c r="O8" s="101"/>
      <c r="P8" s="101"/>
      <c r="Q8" s="101"/>
      <c r="T8" s="101"/>
      <c r="U8" s="101"/>
      <c r="V8" s="101"/>
      <c r="W8" s="101"/>
    </row>
    <row r="9" customHeight="1" spans="1:42">
      <c r="H9" s="101"/>
      <c r="I9" s="101"/>
      <c r="J9" s="101"/>
      <c r="K9" s="101"/>
      <c r="L9" s="101"/>
      <c r="M9" s="101"/>
      <c r="N9" s="101"/>
      <c r="O9" s="101"/>
      <c r="P9" s="101"/>
      <c r="Q9" s="101"/>
      <c r="R9" s="101"/>
      <c r="S9" s="101"/>
      <c r="T9" s="101"/>
      <c r="U9" s="101"/>
      <c r="V9" s="101"/>
      <c r="W9" s="101"/>
    </row>
    <row r="10" customHeight="1" spans="1:42">
      <c r="Q10" s="101"/>
      <c r="R10" s="101"/>
      <c r="S10" s="101"/>
      <c r="T10" s="101"/>
      <c r="U10" s="101"/>
      <c r="V10" s="101"/>
      <c r="W10" s="101"/>
    </row>
    <row r="11" customHeight="1" spans="1:42">
      <c r="Q11" s="101"/>
      <c r="R11" s="101"/>
      <c r="S11" s="101"/>
      <c r="T11" s="101"/>
      <c r="U11" s="101"/>
      <c r="V11" s="101"/>
      <c r="W11" s="101"/>
    </row>
    <row r="12" customHeight="1" spans="1:42">
      <c r="Q12" s="101"/>
      <c r="R12" s="101"/>
      <c r="S12" s="101"/>
      <c r="T12" s="101"/>
      <c r="U12" s="101"/>
      <c r="V12" s="101"/>
      <c r="W12" s="101"/>
    </row>
    <row r="13" customHeight="1" spans="1:42">
      <c r="Q13" s="101"/>
      <c r="R13" s="101"/>
      <c r="S13" s="101"/>
      <c r="T13" s="101"/>
      <c r="U13" s="101"/>
      <c r="V13" s="101"/>
      <c r="W13" s="101"/>
    </row>
  </sheetData>
  <sheetProtection algorithmName="SHA-512" hashValue="yTI5aD1kuAKbBHig0wo0/ZZmEOoVnCGRtTB9yc5jmNZarfWsEo3FU1UD41AC6BbmOqOV6fmltHcGhyvApHJk3A==" saltValue="hMVfJHf6WNCYEtvl4onu0Q=="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F11" sqref="F11"/>
    </sheetView>
  </sheetViews>
  <sheetFormatPr defaultColWidth="9" defaultRowHeight="21.95" customHeight="1"/>
  <cols>
    <col min="1" max="1" width="1.625" style="77" customWidth="1"/>
    <col min="2" max="2" width="2.625" style="78" customWidth="1"/>
    <col min="3" max="3" width="15.25" style="79" customWidth="1"/>
    <col min="4" max="4" width="19.125" style="80" customWidth="1"/>
    <col min="5" max="5" width="10.5" style="80" customWidth="1"/>
    <col min="6" max="8" width="24.625" style="80" customWidth="1"/>
    <col min="9" max="9" width="2.625" style="78" customWidth="1"/>
    <col min="10" max="10" width="4.25" style="77" customWidth="1"/>
    <col min="11" max="16384" width="9" style="77"/>
  </cols>
  <sheetData>
    <row r="1" s="75" customFormat="1" ht="54.95" customHeight="1" spans="1:10">
      <c r="A1" s="81"/>
      <c r="C1" s="82"/>
      <c r="J1" s="83"/>
    </row>
    <row r="2" ht="15.95" customHeight="1" spans="1:10">
      <c r="B2" s="77"/>
      <c r="C2" s="84"/>
      <c r="D2" s="77"/>
      <c r="E2" s="77"/>
      <c r="F2" s="77"/>
      <c r="G2" s="77"/>
      <c r="H2" s="77"/>
      <c r="I2" s="77"/>
    </row>
    <row r="3" ht="15.95" customHeight="1" spans="1:10">
      <c r="C3" s="85"/>
      <c r="D3" s="78"/>
      <c r="E3" s="78"/>
      <c r="F3" s="78"/>
      <c r="G3" s="78"/>
      <c r="H3" s="78"/>
    </row>
    <row r="4" ht="75.95" customHeight="1" spans="1:10">
      <c r="C4" s="86" t="s">
        <v>0</v>
      </c>
      <c r="D4" s="87"/>
      <c r="E4" s="87"/>
      <c r="F4" s="88">
        <f>D7</f>
        <v>1</v>
      </c>
      <c r="G4" s="89" t="s">
        <v>1</v>
      </c>
      <c r="H4" s="89"/>
    </row>
    <row r="5" ht="6" customHeight="1" spans="1:10">
      <c r="C5" s="90"/>
      <c r="D5" s="87"/>
      <c r="E5" s="87"/>
      <c r="F5" s="91"/>
      <c r="G5" s="91"/>
      <c r="H5" s="91"/>
    </row>
    <row r="6" s="76" customFormat="1" ht="9" customHeight="1" spans="1:10">
      <c r="B6" s="78"/>
      <c r="C6" s="92"/>
      <c r="D6" s="93"/>
      <c r="E6" s="93"/>
      <c r="F6" s="94"/>
      <c r="G6" s="94"/>
      <c r="H6" s="94"/>
      <c r="I6" s="78"/>
    </row>
    <row r="7" hidden="1" customHeight="1" spans="1:10">
      <c r="B7" s="78" t="s">
        <v>2</v>
      </c>
      <c r="D7" s="80">
        <v>1</v>
      </c>
    </row>
    <row r="8" customHeight="1" spans="1:10">
      <c r="C8" s="79" t="s">
        <v>3</v>
      </c>
      <c r="D8" s="80" t="s">
        <v>4</v>
      </c>
    </row>
    <row r="9" customHeight="1" spans="1:10">
      <c r="C9" s="79" t="s">
        <v>5</v>
      </c>
      <c r="D9" s="80" t="s">
        <v>6</v>
      </c>
    </row>
    <row r="18" hidden="1" customHeight="1" spans="3:4">
      <c r="C18" s="79" t="s">
        <v>3</v>
      </c>
      <c r="D18" s="80" t="s">
        <v>7</v>
      </c>
    </row>
    <row r="19" hidden="1" customHeight="1" spans="3:4">
      <c r="C19" s="79" t="s">
        <v>5</v>
      </c>
      <c r="D19" s="80" t="s">
        <v>8</v>
      </c>
    </row>
    <row r="20" hidden="1" customHeight="1" spans="3:4">
      <c r="C20" s="79" t="s">
        <v>9</v>
      </c>
      <c r="D20" s="80" t="s">
        <v>10</v>
      </c>
    </row>
    <row r="21" hidden="1" customHeight="1"/>
    <row r="22" hidden="1" customHeight="1"/>
    <row r="23" hidden="1" customHeight="1"/>
    <row r="24" hidden="1" customHeight="1"/>
    <row r="25" hidden="1" customHeight="1"/>
    <row r="26" hidden="1" customHeight="1"/>
    <row r="27" hidden="1" customHeight="1"/>
    <row r="28" hidden="1" customHeight="1" spans="3:4">
      <c r="C28" s="79" t="s">
        <v>3</v>
      </c>
      <c r="D28" s="80" t="s">
        <v>11</v>
      </c>
    </row>
    <row r="29" hidden="1" customHeight="1" spans="3:4">
      <c r="C29" s="79" t="s">
        <v>5</v>
      </c>
      <c r="D29" s="80" t="s">
        <v>12</v>
      </c>
    </row>
    <row r="30" hidden="1" customHeight="1" spans="3:4">
      <c r="C30" s="79" t="s">
        <v>9</v>
      </c>
      <c r="D30" s="80" t="s">
        <v>10</v>
      </c>
    </row>
    <row r="31" hidden="1" customHeight="1"/>
    <row r="32" hidden="1" customHeight="1"/>
    <row r="33" hidden="1" customHeight="1"/>
    <row r="34" hidden="1" customHeight="1"/>
    <row r="35" hidden="1" customHeight="1"/>
    <row r="36" hidden="1" customHeight="1"/>
    <row r="37" hidden="1" customHeight="1"/>
    <row r="38" hidden="1" customHeight="1" spans="3:4">
      <c r="C38" s="79" t="s">
        <v>3</v>
      </c>
      <c r="D38" s="80" t="s">
        <v>13</v>
      </c>
    </row>
    <row r="39" hidden="1" customHeight="1" spans="3:4">
      <c r="C39" s="79" t="s">
        <v>5</v>
      </c>
      <c r="D39" s="80" t="s">
        <v>14</v>
      </c>
    </row>
    <row r="40" hidden="1" customHeight="1" spans="3:4">
      <c r="C40" s="79" t="s">
        <v>9</v>
      </c>
      <c r="D40" s="80" t="s">
        <v>12</v>
      </c>
    </row>
    <row r="41" hidden="1" customHeight="1"/>
    <row r="42" hidden="1" customHeight="1"/>
    <row r="43" hidden="1" customHeight="1"/>
    <row r="44" hidden="1" customHeight="1"/>
    <row r="45" hidden="1" customHeight="1"/>
    <row r="46" hidden="1" customHeight="1"/>
    <row r="47" hidden="1" customHeight="1"/>
    <row r="48" hidden="1" customHeight="1" spans="3:4">
      <c r="C48" s="79" t="s">
        <v>3</v>
      </c>
      <c r="D48" s="80"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79" t="s">
        <v>3</v>
      </c>
      <c r="D58" s="80" t="s">
        <v>16</v>
      </c>
    </row>
    <row r="59" hidden="1" customHeight="1" spans="3:4">
      <c r="D59" s="80"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79" t="s">
        <v>3</v>
      </c>
      <c r="D68" s="80" t="s">
        <v>18</v>
      </c>
    </row>
    <row r="69" hidden="1" customHeight="1" spans="3:4">
      <c r="C69" s="79" t="s">
        <v>5</v>
      </c>
      <c r="D69" s="80" t="s">
        <v>19</v>
      </c>
    </row>
    <row r="70" hidden="1" customHeight="1" spans="3:4">
      <c r="C70" s="79" t="s">
        <v>9</v>
      </c>
      <c r="D70" s="80" t="s">
        <v>20</v>
      </c>
    </row>
    <row r="71" hidden="1" customHeight="1" spans="3:4">
      <c r="C71" s="79" t="s">
        <v>21</v>
      </c>
      <c r="D71" s="80" t="s">
        <v>22</v>
      </c>
    </row>
    <row r="72" hidden="1" customHeight="1"/>
    <row r="73" hidden="1" customHeight="1"/>
    <row r="74" hidden="1" customHeight="1"/>
    <row r="75" hidden="1" customHeight="1"/>
    <row r="76" hidden="1" customHeight="1"/>
    <row r="77" hidden="1" customHeight="1"/>
    <row r="78" hidden="1" customHeight="1" spans="3:4">
      <c r="C78" s="7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7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7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sD3k+oXdFS1uYuBARZE1McPXGRHRWhGrdTnfIoD8a3ANN0LaKn4iN8RcLOAxJmMuFJp5M+OIsdkSqOowYok/hg==" saltValue="T1qhJTd0izhYipoHRp3N6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3"/>
  <sheetViews>
    <sheetView workbookViewId="0">
      <selection activeCell="AP16" sqref="AP16"/>
    </sheetView>
  </sheetViews>
  <sheetFormatPr defaultColWidth="9" defaultRowHeight="14.25" outlineLevelRow="2" outlineLevelCol="7"/>
  <cols>
    <col min="1" max="1" width="9.375"/>
    <col min="3" max="3" width="11.875" customWidth="1"/>
  </cols>
  <sheetData>
    <row r="1" spans="1:8">
      <c r="A1" s="74">
        <v>46533</v>
      </c>
      <c r="C1" s="74">
        <v>46505</v>
      </c>
      <c r="D1">
        <v>1048576</v>
      </c>
      <c r="F1" t="s">
        <v>23</v>
      </c>
      <c r="G1">
        <v>64</v>
      </c>
      <c r="H1">
        <v>920.7392578125</v>
      </c>
    </row>
    <row r="3" spans="1:8">
      <c r="A3" t="s">
        <v>24</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H2" s="49"/>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E8" sqref="E8"/>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34</v>
      </c>
      <c r="D4" s="60"/>
      <c r="E4" s="60"/>
      <c r="F4" s="60"/>
      <c r="G4" s="60"/>
      <c r="H4" s="60"/>
      <c r="I4" s="9"/>
    </row>
    <row r="5" s="2" customFormat="1" ht="30" customHeight="1" spans="1:9">
      <c r="B5" s="9"/>
      <c r="C5" s="61" t="s">
        <v>35</v>
      </c>
      <c r="D5" s="62" t="s">
        <v>36</v>
      </c>
      <c r="E5" s="61" t="s">
        <v>37</v>
      </c>
      <c r="F5" s="62" t="s">
        <v>38</v>
      </c>
      <c r="G5" s="61" t="s">
        <v>39</v>
      </c>
      <c r="H5" s="73">
        <v>45205</v>
      </c>
      <c r="I5" s="9"/>
    </row>
    <row r="6" s="2" customFormat="1" ht="30" customHeight="1" spans="1:9">
      <c r="B6" s="9"/>
      <c r="C6" s="65" t="s">
        <v>27</v>
      </c>
      <c r="D6" s="65" t="s">
        <v>28</v>
      </c>
      <c r="E6" s="65" t="s">
        <v>29</v>
      </c>
      <c r="F6" s="65" t="s">
        <v>31</v>
      </c>
      <c r="G6" s="65" t="s">
        <v>40</v>
      </c>
      <c r="H6" s="65" t="s">
        <v>32</v>
      </c>
      <c r="I6" s="9"/>
    </row>
    <row r="7" customHeight="1" spans="1:9">
      <c r="C7" s="66" t="s">
        <v>41</v>
      </c>
      <c r="D7" s="66" t="s">
        <v>42</v>
      </c>
      <c r="E7" s="66" t="s">
        <v>43</v>
      </c>
      <c r="F7" s="66">
        <v>10</v>
      </c>
      <c r="G7" s="66">
        <v>10</v>
      </c>
      <c r="H7" s="66">
        <v>100</v>
      </c>
    </row>
    <row r="8" customHeight="1" spans="1:9">
      <c r="C8" s="66" t="s">
        <v>44</v>
      </c>
      <c r="D8" s="66" t="s">
        <v>45</v>
      </c>
      <c r="E8" s="66" t="s">
        <v>43</v>
      </c>
      <c r="F8" s="66">
        <v>20</v>
      </c>
      <c r="G8" s="66">
        <v>2</v>
      </c>
      <c r="H8" s="66">
        <v>40</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ht="30" customHeight="1" spans="3:8">
      <c r="C19" s="67" t="s">
        <v>46</v>
      </c>
      <c r="D19" s="68">
        <f>G19</f>
        <v>140</v>
      </c>
      <c r="E19" s="68"/>
      <c r="F19" s="67" t="s">
        <v>47</v>
      </c>
      <c r="G19" s="67">
        <f>SUM(H7:H18)</f>
        <v>140</v>
      </c>
      <c r="H19" s="6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F10" sqref="F10"/>
    </sheetView>
  </sheetViews>
  <sheetFormatPr defaultColWidth="9" defaultRowHeight="20.1" customHeight="1" outlineLevelRow="3"/>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G2" s="35" t="s">
        <v>48</v>
      </c>
      <c r="H2" s="35"/>
      <c r="I2" s="35" t="s">
        <v>25</v>
      </c>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40</v>
      </c>
      <c r="J4" s="44" t="s">
        <v>33</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F9" sqref="F9"/>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49</v>
      </c>
      <c r="D4" s="60"/>
      <c r="E4" s="60"/>
      <c r="F4" s="60"/>
      <c r="G4" s="60"/>
      <c r="H4" s="60"/>
      <c r="I4" s="9"/>
    </row>
    <row r="5" s="2" customFormat="1" ht="30" customHeight="1" spans="1:9">
      <c r="B5" s="9"/>
      <c r="C5" s="61" t="s">
        <v>35</v>
      </c>
      <c r="D5" s="62">
        <v>123</v>
      </c>
      <c r="E5" s="61" t="s">
        <v>50</v>
      </c>
      <c r="F5" s="62" t="s">
        <v>51</v>
      </c>
      <c r="G5" s="61" t="s">
        <v>52</v>
      </c>
      <c r="H5" s="73">
        <v>45790</v>
      </c>
      <c r="I5" s="9"/>
    </row>
    <row r="6" s="2" customFormat="1" ht="30" customHeight="1" spans="1:9">
      <c r="B6" s="9"/>
      <c r="C6" s="65" t="s">
        <v>27</v>
      </c>
      <c r="D6" s="65" t="s">
        <v>28</v>
      </c>
      <c r="E6" s="65" t="s">
        <v>29</v>
      </c>
      <c r="F6" s="65" t="s">
        <v>31</v>
      </c>
      <c r="G6" s="65" t="s">
        <v>40</v>
      </c>
      <c r="H6" s="65" t="s">
        <v>32</v>
      </c>
      <c r="I6" s="9"/>
    </row>
    <row r="7" s="3" customFormat="1" customHeight="1" spans="1:9">
      <c r="B7" s="4"/>
      <c r="C7" s="66" t="s">
        <v>41</v>
      </c>
      <c r="D7" s="66" t="s">
        <v>42</v>
      </c>
      <c r="E7" s="66" t="s">
        <v>43</v>
      </c>
      <c r="F7" s="66">
        <v>1</v>
      </c>
      <c r="G7" s="66">
        <v>1</v>
      </c>
      <c r="H7" s="66">
        <v>1</v>
      </c>
      <c r="I7" s="4"/>
    </row>
    <row r="8" s="3" customFormat="1" customHeight="1" spans="1:9">
      <c r="B8" s="4"/>
      <c r="C8" s="66"/>
      <c r="D8" s="66"/>
      <c r="E8" s="66"/>
      <c r="F8" s="66"/>
      <c r="G8" s="66"/>
      <c r="H8" s="66"/>
      <c r="I8" s="4"/>
    </row>
    <row r="9" s="3" customFormat="1" customHeight="1" spans="1:9">
      <c r="B9" s="4"/>
      <c r="C9" s="66"/>
      <c r="D9" s="66"/>
      <c r="E9" s="66"/>
      <c r="F9" s="66"/>
      <c r="G9" s="66"/>
      <c r="H9" s="66"/>
      <c r="I9" s="4"/>
    </row>
    <row r="10" s="3" customFormat="1" customHeight="1" spans="1:9">
      <c r="B10" s="4"/>
      <c r="C10" s="66"/>
      <c r="D10" s="66"/>
      <c r="E10" s="66"/>
      <c r="F10" s="66"/>
      <c r="G10" s="66"/>
      <c r="H10" s="66"/>
      <c r="I10" s="4"/>
    </row>
    <row r="11" s="3" customFormat="1" customHeight="1" spans="1:9">
      <c r="B11" s="4"/>
      <c r="C11" s="66"/>
      <c r="D11" s="66"/>
      <c r="E11" s="66"/>
      <c r="F11" s="66"/>
      <c r="G11" s="66"/>
      <c r="H11" s="66"/>
      <c r="I11" s="4"/>
    </row>
    <row r="12" s="3" customFormat="1" customHeight="1" spans="1:9">
      <c r="B12" s="4"/>
      <c r="C12" s="66"/>
      <c r="D12" s="66"/>
      <c r="E12" s="66"/>
      <c r="F12" s="66"/>
      <c r="G12" s="66"/>
      <c r="H12" s="66"/>
      <c r="I12" s="4"/>
    </row>
    <row r="13" s="3" customFormat="1" customHeight="1" spans="1:9">
      <c r="B13" s="4"/>
      <c r="C13" s="66"/>
      <c r="D13" s="66"/>
      <c r="E13" s="66"/>
      <c r="F13" s="66"/>
      <c r="G13" s="66"/>
      <c r="H13" s="66"/>
      <c r="I13" s="4"/>
    </row>
    <row r="14" s="3" customFormat="1" customHeight="1" spans="1:9">
      <c r="B14" s="4"/>
      <c r="C14" s="66"/>
      <c r="D14" s="66"/>
      <c r="E14" s="66"/>
      <c r="F14" s="66"/>
      <c r="G14" s="66"/>
      <c r="H14" s="66"/>
      <c r="I14" s="4"/>
    </row>
    <row r="15" s="3" customFormat="1" customHeight="1" spans="1:9">
      <c r="B15" s="4"/>
      <c r="C15" s="66"/>
      <c r="D15" s="66"/>
      <c r="E15" s="66"/>
      <c r="F15" s="66"/>
      <c r="G15" s="66"/>
      <c r="H15" s="66"/>
      <c r="I15" s="4"/>
    </row>
    <row r="16" s="3" customFormat="1" customHeight="1" spans="1:9">
      <c r="B16" s="4"/>
      <c r="C16" s="66"/>
      <c r="D16" s="66"/>
      <c r="E16" s="66"/>
      <c r="F16" s="66"/>
      <c r="G16" s="66"/>
      <c r="H16" s="66"/>
      <c r="I16" s="4"/>
    </row>
    <row r="17" s="3" customFormat="1" customHeight="1" spans="2:9">
      <c r="B17" s="4"/>
      <c r="C17" s="66"/>
      <c r="D17" s="66"/>
      <c r="E17" s="66"/>
      <c r="F17" s="66"/>
      <c r="G17" s="66"/>
      <c r="H17" s="66"/>
      <c r="I17" s="4"/>
    </row>
    <row r="18" s="3" customFormat="1" customHeight="1" spans="2:9">
      <c r="B18" s="4"/>
      <c r="C18" s="66"/>
      <c r="D18" s="66"/>
      <c r="E18" s="66"/>
      <c r="F18" s="66"/>
      <c r="G18" s="66"/>
      <c r="H18" s="66"/>
      <c r="I18" s="4"/>
    </row>
    <row r="19" s="3" customFormat="1" ht="30" customHeight="1" spans="2:9">
      <c r="B19" s="4"/>
      <c r="C19" s="67" t="s">
        <v>46</v>
      </c>
      <c r="D19" s="68">
        <f>G19</f>
        <v>1</v>
      </c>
      <c r="E19" s="68"/>
      <c r="F19" s="67" t="s">
        <v>47</v>
      </c>
      <c r="G19" s="67">
        <f>SUM(H7:H18)</f>
        <v>1</v>
      </c>
      <c r="H19" s="6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K5"/>
  <sheetViews>
    <sheetView showGridLines="0" workbookViewId="0">
      <pane ySplit="4" topLeftCell="A5" activePane="bottomLeft" state="frozen"/>
      <selection/>
      <selection pane="bottomLeft" activeCell="F8" sqref="F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9" width="16.875" style="47" customWidth="1"/>
    <col min="10" max="10" width="3.375" style="4" customWidth="1"/>
    <col min="11" max="16384" width="9" style="3"/>
  </cols>
  <sheetData>
    <row r="1" s="1" customFormat="1" ht="60" customHeight="1" spans="1:10">
      <c r="A1" s="7"/>
    </row>
    <row r="2" s="2" customFormat="1" ht="39.95" customHeight="1" spans="1:10">
      <c r="C2" s="72" t="s">
        <v>53</v>
      </c>
      <c r="H2" s="49"/>
      <c r="I2" s="35"/>
    </row>
    <row r="3" s="2" customFormat="1" customHeight="1" spans="1:10">
      <c r="B3" s="9"/>
      <c r="C3" s="50"/>
      <c r="D3" s="50"/>
      <c r="E3" s="50"/>
      <c r="F3" s="50"/>
      <c r="G3" s="50"/>
      <c r="H3" s="50"/>
      <c r="I3" s="50"/>
      <c r="J3" s="9"/>
    </row>
    <row r="4" s="2" customFormat="1" ht="30" customHeight="1" spans="1:10">
      <c r="B4" s="9"/>
      <c r="C4" s="44" t="s">
        <v>26</v>
      </c>
      <c r="D4" s="44" t="s">
        <v>27</v>
      </c>
      <c r="E4" s="44" t="s">
        <v>28</v>
      </c>
      <c r="F4" s="44" t="s">
        <v>29</v>
      </c>
      <c r="G4" s="44" t="s">
        <v>30</v>
      </c>
      <c r="H4" s="44" t="s">
        <v>33</v>
      </c>
      <c r="I4" s="44" t="s">
        <v>57</v>
      </c>
      <c r="J4" s="9"/>
    </row>
    <row r="5" customHeight="1" spans="1:10">
      <c r="C5" s="47">
        <v>1</v>
      </c>
      <c r="D5" s="47" t="s">
        <v>54</v>
      </c>
      <c r="E5" s="47">
        <v>1001</v>
      </c>
      <c r="F5" s="47" t="s">
        <v>55</v>
      </c>
      <c r="G5" s="47" t="s">
        <v>56</v>
      </c>
      <c r="H5" s="47">
        <v>10</v>
      </c>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58</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20</v>
      </c>
      <c r="K5" s="2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howErrorMessage="1" sqref="C2">
      <formula1>仓库资料!$D$5:$D$1000</formula1>
    </dataValidation>
  </dataValidations>
  <pageMargins left="0.75" right="0.75" top="1" bottom="1" header="0.5" footer="0.5"/>
  <pageSetup paperSize="9" orientation="portrait"/>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5"/>
  <sheetViews>
    <sheetView showGridLines="0" workbookViewId="0">
      <pane ySplit="4" topLeftCell="A5" activePane="bottomLeft" state="frozen"/>
      <selection/>
      <selection pane="bottomLeft" activeCell="H8" sqref="H8"/>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K5"/>
  <sheetViews>
    <sheetView showGridLines="0" workbookViewId="0">
      <pane ySplit="4" topLeftCell="A5" activePane="bottomLeft" state="frozen"/>
      <selection/>
      <selection pane="bottomLeft" activeCell="I5" sqref="I5"/>
    </sheetView>
  </sheetViews>
  <sheetFormatPr defaultColWidth="9" defaultRowHeight="20.1" customHeight="1" outlineLevelRow="4"/>
  <cols>
    <col min="1" max="1" width="4.625" style="3" customWidth="1"/>
    <col min="2" max="2" width="3.375" style="4" customWidth="1"/>
    <col min="3" max="10" width="16.875" style="47" customWidth="1"/>
    <col min="11" max="11" width="3.375" style="4" customWidth="1"/>
    <col min="12" max="16384" width="9" style="3"/>
  </cols>
  <sheetData>
    <row r="1" s="1" customFormat="1" ht="60" customHeight="1" spans="1:11">
      <c r="A1" s="7"/>
    </row>
    <row r="2" s="2" customFormat="1" ht="39.95" customHeight="1" spans="1:11">
      <c r="C2" s="72" t="s">
        <v>53</v>
      </c>
      <c r="H2" s="49"/>
      <c r="I2" s="35"/>
      <c r="J2" s="35"/>
    </row>
    <row r="3" s="2" customFormat="1" customHeight="1" spans="1:11">
      <c r="B3" s="9"/>
      <c r="C3" s="50"/>
      <c r="D3" s="50"/>
      <c r="E3" s="50"/>
      <c r="F3" s="50"/>
      <c r="G3" s="50"/>
      <c r="H3" s="50"/>
      <c r="I3" s="50"/>
      <c r="J3" s="50"/>
      <c r="K3" s="9"/>
    </row>
    <row r="4" s="2" customFormat="1" ht="30" customHeight="1" spans="1:11">
      <c r="B4" s="9"/>
      <c r="C4" s="44" t="s">
        <v>26</v>
      </c>
      <c r="D4" s="44" t="s">
        <v>27</v>
      </c>
      <c r="E4" s="44" t="s">
        <v>28</v>
      </c>
      <c r="F4" s="44" t="s">
        <v>29</v>
      </c>
      <c r="G4" s="44" t="s">
        <v>30</v>
      </c>
      <c r="H4" s="44" t="s">
        <v>31</v>
      </c>
      <c r="I4" s="44" t="s">
        <v>32</v>
      </c>
      <c r="J4" s="44" t="s">
        <v>33</v>
      </c>
      <c r="K4" s="9"/>
    </row>
    <row r="5" customHeight="1" spans="1:11">
      <c r="C5" s="47">
        <v>1</v>
      </c>
      <c r="D5" s="47" t="s">
        <v>54</v>
      </c>
      <c r="E5" s="47">
        <v>1001</v>
      </c>
      <c r="F5" s="47" t="s">
        <v>55</v>
      </c>
      <c r="G5" s="47" t="s">
        <v>56</v>
      </c>
      <c r="H5" s="47">
        <v>12</v>
      </c>
      <c r="I5" s="47">
        <v>12</v>
      </c>
      <c r="J5" s="47">
        <v>10</v>
      </c>
      <c r="K5" s="29"/>
    </row>
  </sheetData>
  <sheetProtection formatCells="0" formatColumns="0" formatRows="0" insertRows="0" insertColumns="0" insertHyperlinks="0" deleteColumns="0" deleteRows="0" sort="0" autoFilter="0" pivotTables="0"/>
  <mergeCells count="1">
    <mergeCell ref="I2:J2"/>
  </mergeCells>
  <pageMargins left="0.75" right="0.75" top="1" bottom="1" header="0.5" footer="0.5"/>
  <pageSetup paperSize="9"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O13"/>
  <sheetViews>
    <sheetView showGridLines="0" workbookViewId="0">
      <pane ySplit="4" topLeftCell="A5" activePane="bottomLeft" state="frozen"/>
      <selection/>
      <selection pane="bottomLeft" activeCell="F7" sqref="F7"/>
    </sheetView>
  </sheetViews>
  <sheetFormatPr defaultColWidth="9" defaultRowHeight="20.1" customHeight="1"/>
  <cols>
    <col min="1" max="1" width="4.625" style="3" customWidth="1"/>
    <col min="2" max="2" width="5.625" style="69"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customWidth="1"/>
    <col min="17" max="17" width="9" style="3"/>
    <col min="18" max="16384" width="9" style="6"/>
  </cols>
  <sheetData>
    <row r="1" s="1" customFormat="1" ht="60" customHeight="1" spans="1:15">
      <c r="A1" s="70"/>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71" t="s">
        <v>59</v>
      </c>
      <c r="C4" s="9" t="s">
        <v>60</v>
      </c>
      <c r="D4" s="44" t="s">
        <v>26</v>
      </c>
      <c r="E4" s="44" t="s">
        <v>61</v>
      </c>
      <c r="F4" s="44" t="s">
        <v>28</v>
      </c>
      <c r="G4" s="44" t="s">
        <v>27</v>
      </c>
      <c r="H4" s="44" t="s">
        <v>29</v>
      </c>
      <c r="I4" s="44" t="s">
        <v>62</v>
      </c>
      <c r="J4" s="44" t="s">
        <v>31</v>
      </c>
      <c r="K4" s="44" t="s">
        <v>63</v>
      </c>
      <c r="L4" s="45" t="s">
        <v>64</v>
      </c>
      <c r="M4" s="44" t="s">
        <v>65</v>
      </c>
      <c r="N4" s="44" t="s">
        <v>66</v>
      </c>
      <c r="O4" s="9"/>
    </row>
    <row r="5" s="3" customFormat="1" customHeight="1" spans="1:15">
      <c r="B5" s="69"/>
      <c r="C5" s="4"/>
      <c r="D5" s="13"/>
      <c r="E5" s="13"/>
      <c r="F5" s="13"/>
      <c r="G5" s="13"/>
      <c r="H5" s="13"/>
      <c r="I5" s="13"/>
      <c r="J5" s="13"/>
      <c r="K5" s="13"/>
      <c r="L5" s="40"/>
      <c r="M5" s="13"/>
      <c r="N5" s="13"/>
      <c r="O5" s="4"/>
    </row>
    <row r="6" s="3" customFormat="1" customHeight="1" spans="1:15">
      <c r="B6" s="69"/>
      <c r="C6" s="4"/>
      <c r="D6" s="13"/>
      <c r="E6" s="13"/>
      <c r="F6" s="13"/>
      <c r="G6" s="13"/>
      <c r="H6" s="13"/>
      <c r="I6" s="13"/>
      <c r="J6" s="13"/>
      <c r="K6" s="13"/>
      <c r="L6" s="40"/>
      <c r="M6" s="13"/>
      <c r="N6" s="13"/>
      <c r="O6" s="4"/>
    </row>
    <row r="7" s="3" customFormat="1" customHeight="1" spans="1:15">
      <c r="B7" s="69"/>
      <c r="C7" s="4"/>
      <c r="D7" s="13"/>
      <c r="E7" s="13"/>
      <c r="F7" s="13"/>
      <c r="G7" s="13"/>
      <c r="H7" s="13"/>
      <c r="I7" s="13"/>
      <c r="J7" s="13"/>
      <c r="K7" s="13"/>
      <c r="L7" s="40"/>
      <c r="M7" s="13"/>
      <c r="N7" s="13"/>
      <c r="O7" s="4"/>
    </row>
    <row r="8" s="3" customFormat="1" customHeight="1" spans="1:15">
      <c r="B8" s="69"/>
      <c r="C8" s="4"/>
      <c r="D8" s="13"/>
      <c r="E8" s="13"/>
      <c r="F8" s="13"/>
      <c r="G8" s="13"/>
      <c r="H8" s="13"/>
      <c r="I8" s="13"/>
      <c r="J8" s="13"/>
      <c r="K8" s="13"/>
      <c r="L8" s="40"/>
      <c r="M8" s="13"/>
      <c r="N8" s="13"/>
      <c r="O8" s="4"/>
    </row>
    <row r="9" s="3" customFormat="1" customHeight="1" spans="1:15">
      <c r="B9" s="69"/>
      <c r="C9" s="4"/>
      <c r="D9" s="13"/>
      <c r="E9" s="13"/>
      <c r="F9" s="13"/>
      <c r="G9" s="13"/>
      <c r="H9" s="13"/>
      <c r="I9" s="13"/>
      <c r="J9" s="13"/>
      <c r="K9" s="13"/>
      <c r="L9" s="40"/>
      <c r="M9" s="13"/>
      <c r="N9" s="13"/>
      <c r="O9" s="4"/>
    </row>
    <row r="10" s="3" customFormat="1" customHeight="1" spans="1:15">
      <c r="B10" s="69"/>
      <c r="C10" s="4"/>
      <c r="D10" s="13"/>
      <c r="E10" s="13"/>
      <c r="F10" s="13"/>
      <c r="G10" s="13"/>
      <c r="H10" s="13"/>
      <c r="I10" s="13"/>
      <c r="J10" s="13"/>
      <c r="K10" s="13"/>
      <c r="L10" s="40"/>
      <c r="M10" s="13"/>
      <c r="N10" s="13"/>
      <c r="O10" s="4"/>
    </row>
    <row r="11" s="3" customFormat="1" customHeight="1" spans="1:15">
      <c r="B11" s="69"/>
      <c r="C11" s="4"/>
      <c r="D11" s="13"/>
      <c r="E11" s="13"/>
      <c r="F11" s="13"/>
      <c r="G11" s="13"/>
      <c r="H11" s="13"/>
      <c r="I11" s="13"/>
      <c r="J11" s="13"/>
      <c r="K11" s="13"/>
      <c r="L11" s="40"/>
      <c r="M11" s="13"/>
      <c r="N11" s="13"/>
      <c r="O11" s="4"/>
    </row>
    <row r="12" s="3" customFormat="1" customHeight="1" spans="1:15">
      <c r="B12" s="69"/>
      <c r="C12" s="4"/>
      <c r="D12" s="13"/>
      <c r="E12" s="13"/>
      <c r="F12" s="13"/>
      <c r="G12" s="13"/>
      <c r="H12" s="13"/>
      <c r="I12" s="13"/>
      <c r="J12" s="13"/>
      <c r="K12" s="13"/>
      <c r="L12" s="40"/>
      <c r="M12" s="13"/>
      <c r="N12" s="13"/>
      <c r="O12" s="4"/>
    </row>
    <row r="13" s="3" customFormat="1" customHeight="1" spans="1:15">
      <c r="B13" s="69"/>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188" etc:filterBottomFollowUsedRange="0">
    <extLst/>
  </autoFilter>
  <dataValidations count="1">
    <dataValidation allowBlank="1" showInputMessage="1" showErrorMessage="1" sqref="K5:K1048576"/>
  </dataValidations>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pageSetUpPr fitToPage="1"/>
  </sheetPr>
  <dimension ref="A1:I20"/>
  <sheetViews>
    <sheetView showGridLines="0" workbookViewId="0">
      <selection activeCell="C4" sqref="C4:H4"/>
    </sheetView>
  </sheetViews>
  <sheetFormatPr defaultColWidth="9" defaultRowHeight="20.1" customHeight="1"/>
  <cols>
    <col min="1" max="1" width="4.625" style="3" customWidth="1"/>
    <col min="2" max="2" width="3.375" style="4" customWidth="1"/>
    <col min="3" max="8" width="20.625" style="56" customWidth="1"/>
    <col min="9" max="9" width="3.375" style="4" customWidth="1"/>
    <col min="10" max="16384" width="9" style="3"/>
  </cols>
  <sheetData>
    <row r="1" s="1" customFormat="1" ht="60" customHeight="1" spans="1:9">
      <c r="A1" s="7"/>
      <c r="C1" s="57"/>
      <c r="D1" s="57"/>
      <c r="E1" s="57"/>
      <c r="F1" s="57"/>
      <c r="G1" s="57"/>
      <c r="H1" s="57"/>
    </row>
    <row r="2" s="2" customFormat="1" ht="39.95" customHeight="1" spans="1:9">
      <c r="C2" s="58"/>
      <c r="D2" s="58"/>
      <c r="E2" s="58"/>
      <c r="F2" s="58"/>
      <c r="G2" s="58"/>
      <c r="H2" s="58"/>
    </row>
    <row r="3" s="2" customFormat="1" customHeight="1" spans="1:9">
      <c r="B3" s="9"/>
      <c r="C3" s="59"/>
      <c r="D3" s="59"/>
      <c r="E3" s="59"/>
      <c r="F3" s="59"/>
      <c r="G3" s="59"/>
      <c r="H3" s="59"/>
      <c r="I3" s="9"/>
    </row>
    <row r="4" s="2" customFormat="1" ht="40" customHeight="1" spans="1:9">
      <c r="B4" s="9"/>
      <c r="C4" s="60" t="s">
        <v>67</v>
      </c>
      <c r="D4" s="60"/>
      <c r="E4" s="60"/>
      <c r="F4" s="60"/>
      <c r="G4" s="60"/>
      <c r="H4" s="60"/>
      <c r="I4" s="9"/>
    </row>
    <row r="5" s="2" customFormat="1" ht="30" customHeight="1" spans="1:9">
      <c r="B5" s="9"/>
      <c r="C5" s="61" t="s">
        <v>68</v>
      </c>
      <c r="D5" s="62">
        <v>12</v>
      </c>
      <c r="E5" s="61"/>
      <c r="F5" s="62"/>
      <c r="G5" s="61" t="s">
        <v>69</v>
      </c>
      <c r="H5" s="63">
        <v>46120</v>
      </c>
      <c r="I5" s="9"/>
    </row>
    <row r="6" s="2" customFormat="1" ht="30" customHeight="1" spans="1:9">
      <c r="B6" s="9"/>
      <c r="C6" s="61" t="s">
        <v>70</v>
      </c>
      <c r="D6" s="62" t="s">
        <v>71</v>
      </c>
      <c r="E6" s="64"/>
      <c r="F6" s="64"/>
      <c r="G6" s="61" t="s">
        <v>72</v>
      </c>
      <c r="H6" s="62" t="s">
        <v>53</v>
      </c>
      <c r="I6" s="9"/>
    </row>
    <row r="7" s="2" customFormat="1" ht="30" customHeight="1" spans="1:9">
      <c r="B7" s="9"/>
      <c r="C7" s="65" t="s">
        <v>27</v>
      </c>
      <c r="D7" s="65" t="s">
        <v>28</v>
      </c>
      <c r="E7" s="65" t="s">
        <v>29</v>
      </c>
      <c r="F7" s="65" t="s">
        <v>31</v>
      </c>
      <c r="G7" s="65" t="s">
        <v>40</v>
      </c>
      <c r="H7" s="65" t="s">
        <v>32</v>
      </c>
      <c r="I7" s="9"/>
    </row>
    <row r="8" customHeight="1" spans="1:9">
      <c r="C8" s="66" t="s">
        <v>54</v>
      </c>
      <c r="D8" s="66">
        <v>1001</v>
      </c>
      <c r="E8" s="66" t="s">
        <v>55</v>
      </c>
      <c r="F8" s="66">
        <v>12</v>
      </c>
      <c r="G8" s="66">
        <v>12</v>
      </c>
      <c r="H8" s="66">
        <v>144</v>
      </c>
    </row>
    <row r="9" customHeight="1" spans="1:9">
      <c r="C9" s="66"/>
      <c r="D9" s="66"/>
      <c r="E9" s="66"/>
      <c r="F9" s="66"/>
      <c r="G9" s="66"/>
      <c r="H9" s="66"/>
    </row>
    <row r="10" customHeight="1" spans="1:9">
      <c r="C10" s="66"/>
      <c r="D10" s="66"/>
      <c r="E10" s="66"/>
      <c r="F10" s="66"/>
      <c r="G10" s="66"/>
      <c r="H10" s="66"/>
    </row>
    <row r="11" customHeight="1" spans="1:9">
      <c r="C11" s="66"/>
      <c r="D11" s="66"/>
      <c r="E11" s="66"/>
      <c r="F11" s="66"/>
      <c r="G11" s="66"/>
      <c r="H11" s="66"/>
    </row>
    <row r="12" customHeight="1" spans="1:9">
      <c r="C12" s="66"/>
      <c r="D12" s="66"/>
      <c r="E12" s="66"/>
      <c r="F12" s="66"/>
      <c r="G12" s="66"/>
      <c r="H12" s="66"/>
    </row>
    <row r="13" customHeight="1" spans="1:9">
      <c r="C13" s="66"/>
      <c r="D13" s="66"/>
      <c r="E13" s="66"/>
      <c r="F13" s="66"/>
      <c r="G13" s="66"/>
      <c r="H13" s="66"/>
    </row>
    <row r="14" customHeight="1" spans="1:9">
      <c r="C14" s="66"/>
      <c r="D14" s="66"/>
      <c r="E14" s="66"/>
      <c r="F14" s="66"/>
      <c r="G14" s="66"/>
      <c r="H14" s="66"/>
    </row>
    <row r="15" customHeight="1" spans="1:9">
      <c r="C15" s="66"/>
      <c r="D15" s="66"/>
      <c r="E15" s="66"/>
      <c r="F15" s="66"/>
      <c r="G15" s="66"/>
      <c r="H15" s="66"/>
    </row>
    <row r="16" customHeight="1" spans="1:9">
      <c r="C16" s="66"/>
      <c r="D16" s="66"/>
      <c r="E16" s="66"/>
      <c r="F16" s="66"/>
      <c r="G16" s="66"/>
      <c r="H16" s="66"/>
    </row>
    <row r="17" customHeight="1" spans="3:8">
      <c r="C17" s="66"/>
      <c r="D17" s="66"/>
      <c r="E17" s="66"/>
      <c r="F17" s="66"/>
      <c r="G17" s="66"/>
      <c r="H17" s="66"/>
    </row>
    <row r="18" customHeight="1" spans="3:8">
      <c r="C18" s="66"/>
      <c r="D18" s="66"/>
      <c r="E18" s="66"/>
      <c r="F18" s="66"/>
      <c r="G18" s="66"/>
      <c r="H18" s="66"/>
    </row>
    <row r="19" customHeight="1" spans="3:8">
      <c r="C19" s="66"/>
      <c r="D19" s="66"/>
      <c r="E19" s="66"/>
      <c r="F19" s="66"/>
      <c r="G19" s="66"/>
      <c r="H19" s="66"/>
    </row>
    <row r="20" ht="30" customHeight="1" spans="3:8">
      <c r="C20" s="67" t="s">
        <v>46</v>
      </c>
      <c r="D20" s="68">
        <f>G20</f>
        <v>144</v>
      </c>
      <c r="E20" s="68"/>
      <c r="F20" s="67" t="s">
        <v>47</v>
      </c>
      <c r="G20" s="67">
        <f>SUM(H8:H19)</f>
        <v>144</v>
      </c>
      <c r="H20" s="67"/>
    </row>
  </sheetData>
  <mergeCells count="3">
    <mergeCell ref="C4:H4"/>
    <mergeCell ref="D20:E20"/>
    <mergeCell ref="G20:H20"/>
  </mergeCells>
  <pageMargins left="0.393055555555556" right="0.393055555555556" top="0.393055555555556" bottom="0.393055555555556" header="0.5" footer="0.5"/>
  <pageSetup paperSize="9" scale="72" fitToHeight="0" orientation="portrait" horizontalDpi="600"/>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H10" sqref="H10"/>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1">
      <c r="A1" s="7"/>
    </row>
    <row r="2" s="2" customFormat="1" ht="39.95" customHeight="1" spans="1:11">
      <c r="J2" s="46" t="s">
        <v>73</v>
      </c>
    </row>
    <row r="3" s="2" customFormat="1" customHeight="1" spans="1:11">
      <c r="B3" s="9"/>
      <c r="C3" s="9"/>
      <c r="D3" s="9"/>
      <c r="E3" s="9"/>
      <c r="F3" s="9"/>
      <c r="G3" s="9"/>
      <c r="H3" s="9"/>
      <c r="I3" s="9"/>
      <c r="J3" s="9"/>
      <c r="K3" s="9"/>
    </row>
    <row r="4" s="2" customFormat="1" ht="30" customHeight="1" spans="1:11">
      <c r="B4" s="9"/>
      <c r="C4" s="9" t="s">
        <v>60</v>
      </c>
      <c r="D4" s="44" t="s">
        <v>26</v>
      </c>
      <c r="E4" s="44" t="s">
        <v>27</v>
      </c>
      <c r="F4" s="44" t="s">
        <v>28</v>
      </c>
      <c r="G4" s="44" t="s">
        <v>29</v>
      </c>
      <c r="H4" s="44" t="s">
        <v>74</v>
      </c>
      <c r="I4" s="44" t="s">
        <v>75</v>
      </c>
      <c r="J4" s="44" t="s">
        <v>32</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5"/>
  <sheetViews>
    <sheetView showGridLines="0" workbookViewId="0">
      <pane ySplit="4" topLeftCell="A5"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10" width="16.875" style="13" customWidth="1"/>
    <col min="11" max="11" width="3.375" style="4" customWidth="1"/>
    <col min="12" max="12" width="4.25" style="3" customWidth="1"/>
    <col min="13" max="13" width="9" style="3"/>
    <col min="14" max="20" width="9" style="6"/>
  </cols>
  <sheetData>
    <row r="1" s="1" customFormat="1" ht="60" customHeight="1" spans="1:11">
      <c r="A1" s="7"/>
    </row>
    <row r="2" s="2" customFormat="1" ht="39.95" customHeight="1" spans="1:11">
      <c r="H2" s="46" t="s">
        <v>76</v>
      </c>
      <c r="I2" s="46"/>
      <c r="J2" s="46" t="s">
        <v>77</v>
      </c>
    </row>
    <row r="3" s="2" customFormat="1" customHeight="1" spans="1:11">
      <c r="B3" s="9"/>
      <c r="C3" s="9"/>
      <c r="D3" s="9"/>
      <c r="E3" s="9"/>
      <c r="F3" s="9"/>
      <c r="G3" s="9"/>
      <c r="H3" s="9"/>
      <c r="I3" s="9"/>
      <c r="J3" s="9"/>
      <c r="K3" s="9"/>
    </row>
    <row r="4" s="2" customFormat="1" ht="30" customHeight="1" spans="1:11">
      <c r="B4" s="9"/>
      <c r="C4" s="44" t="s">
        <v>26</v>
      </c>
      <c r="D4" s="44" t="s">
        <v>27</v>
      </c>
      <c r="E4" s="44" t="s">
        <v>28</v>
      </c>
      <c r="F4" s="44" t="s">
        <v>29</v>
      </c>
      <c r="G4" s="44" t="s">
        <v>78</v>
      </c>
      <c r="H4" s="44" t="s">
        <v>79</v>
      </c>
      <c r="I4" s="44" t="s">
        <v>80</v>
      </c>
      <c r="J4" s="44" t="s">
        <v>81</v>
      </c>
      <c r="K4" s="9"/>
    </row>
    <row r="5" customHeight="1" spans="1:11">
      <c r="C5" s="13">
        <v>1</v>
      </c>
      <c r="D5" s="13" t="s">
        <v>54</v>
      </c>
      <c r="E5" s="13">
        <v>1001</v>
      </c>
      <c r="F5" s="13" t="s">
        <v>55</v>
      </c>
      <c r="G5" s="13">
        <v>139</v>
      </c>
      <c r="H5" s="13">
        <v>399</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U5"/>
  <sheetViews>
    <sheetView showGridLines="0" workbookViewId="0">
      <pane ySplit="4" topLeftCell="A5" activePane="bottomLeft" state="frozen"/>
      <selection/>
      <selection pane="bottomLeft" activeCell="G10" sqref="G10"/>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82</v>
      </c>
      <c r="K3" s="51" t="s">
        <v>83</v>
      </c>
      <c r="L3" s="51" t="s">
        <v>84</v>
      </c>
      <c r="M3" s="51" t="s">
        <v>85</v>
      </c>
      <c r="N3" s="52" t="s">
        <v>58</v>
      </c>
      <c r="O3" s="52"/>
      <c r="P3" s="52"/>
      <c r="Q3" s="52"/>
      <c r="R3" s="52"/>
      <c r="S3" s="52"/>
      <c r="T3" s="52"/>
      <c r="U3" s="52"/>
    </row>
    <row r="4" s="2" customFormat="1" ht="30" customHeight="1" spans="1:21">
      <c r="A4" s="9"/>
      <c r="B4" s="44" t="s">
        <v>26</v>
      </c>
      <c r="C4" s="44" t="s">
        <v>86</v>
      </c>
      <c r="D4" s="44" t="s">
        <v>87</v>
      </c>
      <c r="E4" s="44" t="s">
        <v>88</v>
      </c>
      <c r="F4" s="44" t="s">
        <v>31</v>
      </c>
      <c r="G4" s="44" t="s">
        <v>89</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U5"/>
  <sheetViews>
    <sheetView showGridLines="0" workbookViewId="0">
      <pane ySplit="4" topLeftCell="A5" activePane="bottomLeft" state="frozen"/>
      <selection/>
      <selection pane="bottomLeft" activeCell="I8" sqref="I8"/>
    </sheetView>
  </sheetViews>
  <sheetFormatPr defaultColWidth="9" defaultRowHeight="20.1" customHeight="1" outlineLevelRow="4"/>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21">
      <c r="B2" s="48"/>
      <c r="G2" s="49"/>
    </row>
    <row r="3" s="2" customFormat="1" customHeight="1" spans="1:21">
      <c r="A3" s="9"/>
      <c r="B3" s="50"/>
      <c r="C3" s="50"/>
      <c r="D3" s="50"/>
      <c r="E3" s="50"/>
      <c r="F3" s="50"/>
      <c r="G3" s="50"/>
      <c r="H3" s="9"/>
      <c r="J3" s="51" t="s">
        <v>82</v>
      </c>
      <c r="K3" s="51" t="s">
        <v>83</v>
      </c>
      <c r="L3" s="51" t="s">
        <v>84</v>
      </c>
      <c r="M3" s="51" t="s">
        <v>85</v>
      </c>
      <c r="N3" s="52" t="s">
        <v>58</v>
      </c>
      <c r="O3" s="52"/>
      <c r="P3" s="52"/>
      <c r="Q3" s="52"/>
      <c r="R3" s="52"/>
      <c r="S3" s="52"/>
      <c r="T3" s="52"/>
      <c r="U3" s="52"/>
    </row>
    <row r="4" s="2" customFormat="1" ht="30" customHeight="1" spans="1:21">
      <c r="A4" s="9"/>
      <c r="B4" s="44" t="s">
        <v>26</v>
      </c>
      <c r="C4" s="44" t="s">
        <v>86</v>
      </c>
      <c r="D4" s="44" t="s">
        <v>87</v>
      </c>
      <c r="E4" s="44" t="s">
        <v>88</v>
      </c>
      <c r="F4" s="44" t="s">
        <v>31</v>
      </c>
      <c r="G4" s="44" t="s">
        <v>89</v>
      </c>
      <c r="H4" s="9"/>
      <c r="J4" s="54">
        <v>1</v>
      </c>
      <c r="K4" s="54">
        <v>20</v>
      </c>
      <c r="L4" s="55">
        <v>1</v>
      </c>
      <c r="M4" s="54">
        <v>1</v>
      </c>
      <c r="N4" s="52">
        <v>10</v>
      </c>
      <c r="O4" s="52"/>
      <c r="P4" s="52"/>
      <c r="Q4" s="52"/>
      <c r="R4" s="52"/>
      <c r="S4" s="52"/>
      <c r="T4" s="52"/>
      <c r="U4" s="52"/>
    </row>
    <row r="5" customHeight="1" spans="1:21">
      <c r="B5" s="47">
        <v>1</v>
      </c>
      <c r="C5" s="47" t="s">
        <v>55</v>
      </c>
      <c r="D5" s="47" t="s">
        <v>54</v>
      </c>
      <c r="E5" s="47">
        <v>2</v>
      </c>
      <c r="F5" s="47">
        <v>10</v>
      </c>
      <c r="G5"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AH12"/>
  <sheetViews>
    <sheetView showGridLines="0" workbookViewId="0">
      <pane ySplit="4" topLeftCell="A5" activePane="bottomLeft" state="frozen"/>
      <selection/>
      <selection pane="bottomLeft" activeCell="I9" sqref="I9"/>
    </sheetView>
  </sheetViews>
  <sheetFormatPr defaultColWidth="9" defaultRowHeight="20.1" customHeight="1"/>
  <cols>
    <col min="1" max="1" width="3.375" style="4" customWidth="1"/>
    <col min="2" max="2" width="7.125" style="47" customWidth="1"/>
    <col min="3" max="3" width="14.875" style="47" customWidth="1"/>
    <col min="4" max="4" width="16.875" style="47" customWidth="1"/>
    <col min="5" max="7" width="9.375" style="47" customWidth="1"/>
    <col min="8" max="8" width="3.375" style="4" customWidth="1"/>
    <col min="9" max="9" width="9" style="3"/>
    <col min="10" max="13" width="15" style="3" customWidth="1"/>
    <col min="14" max="16384" width="9" style="3"/>
  </cols>
  <sheetData>
    <row r="1" s="1" customFormat="1" ht="60" customHeight="1"/>
    <row r="2" s="2" customFormat="1" ht="39.95" customHeight="1" spans="1:34">
      <c r="B2" s="48"/>
      <c r="G2" s="49"/>
    </row>
    <row r="3" s="2" customFormat="1" customHeight="1" spans="1:34">
      <c r="A3" s="9"/>
      <c r="B3" s="50"/>
      <c r="C3" s="50"/>
      <c r="D3" s="50"/>
      <c r="E3" s="50"/>
      <c r="F3" s="50"/>
      <c r="G3" s="50"/>
      <c r="H3" s="9"/>
      <c r="J3" s="51" t="s">
        <v>82</v>
      </c>
      <c r="K3" s="51" t="s">
        <v>83</v>
      </c>
      <c r="L3" s="51" t="s">
        <v>84</v>
      </c>
      <c r="M3" s="51" t="s">
        <v>85</v>
      </c>
      <c r="N3" s="52" t="s">
        <v>58</v>
      </c>
      <c r="O3" s="52" t="s">
        <v>53</v>
      </c>
      <c r="P3" s="52"/>
      <c r="Q3" s="52"/>
      <c r="R3" s="52"/>
      <c r="S3" s="52"/>
      <c r="T3" s="52"/>
      <c r="U3" s="52"/>
      <c r="V3" s="53"/>
      <c r="W3" s="53"/>
      <c r="X3" s="53"/>
      <c r="Y3" s="53"/>
      <c r="Z3" s="53"/>
      <c r="AA3" s="53"/>
      <c r="AB3" s="53"/>
      <c r="AC3" s="53"/>
      <c r="AD3" s="53"/>
      <c r="AE3" s="53"/>
      <c r="AF3" s="53"/>
      <c r="AG3" s="53"/>
      <c r="AH3" s="53"/>
    </row>
    <row r="4" s="2" customFormat="1" ht="30" customHeight="1" spans="1:34">
      <c r="A4" s="9"/>
      <c r="B4" s="44" t="s">
        <v>26</v>
      </c>
      <c r="C4" s="44" t="s">
        <v>86</v>
      </c>
      <c r="D4" s="44" t="s">
        <v>87</v>
      </c>
      <c r="E4" s="44" t="s">
        <v>88</v>
      </c>
      <c r="F4" s="44" t="s">
        <v>31</v>
      </c>
      <c r="G4" s="44" t="s">
        <v>89</v>
      </c>
      <c r="H4" s="9"/>
      <c r="J4" s="54">
        <v>8</v>
      </c>
      <c r="K4" s="54">
        <v>641</v>
      </c>
      <c r="L4" s="55">
        <v>8</v>
      </c>
      <c r="M4" s="54">
        <v>1</v>
      </c>
      <c r="N4" s="52">
        <v>50</v>
      </c>
      <c r="O4" s="52">
        <v>30</v>
      </c>
      <c r="P4" s="52"/>
      <c r="Q4" s="52"/>
      <c r="R4" s="52"/>
      <c r="S4" s="52"/>
      <c r="T4" s="52"/>
      <c r="U4" s="52"/>
      <c r="V4" s="53"/>
      <c r="W4" s="53"/>
      <c r="X4" s="53"/>
      <c r="Y4" s="53"/>
      <c r="Z4" s="53"/>
      <c r="AA4" s="53"/>
      <c r="AB4" s="53"/>
      <c r="AC4" s="53"/>
      <c r="AD4" s="53"/>
      <c r="AE4" s="53"/>
      <c r="AF4" s="53"/>
      <c r="AG4" s="53"/>
      <c r="AH4" s="53"/>
    </row>
    <row r="5" customHeight="1" spans="1:34">
      <c r="B5" s="47">
        <v>1</v>
      </c>
      <c r="C5" s="47" t="s">
        <v>55</v>
      </c>
      <c r="D5" s="47" t="s">
        <v>54</v>
      </c>
      <c r="E5" s="47">
        <v>2</v>
      </c>
      <c r="F5" s="47">
        <v>100</v>
      </c>
    </row>
    <row r="6" customHeight="1" spans="1:34">
      <c r="B6" s="47">
        <v>2</v>
      </c>
      <c r="C6" s="47" t="s">
        <v>55</v>
      </c>
      <c r="D6" s="47" t="s">
        <v>54</v>
      </c>
      <c r="E6" s="47">
        <v>1</v>
      </c>
      <c r="F6" s="47">
        <v>1</v>
      </c>
    </row>
    <row r="7" customHeight="1" spans="1:34">
      <c r="B7" s="47">
        <v>3</v>
      </c>
      <c r="C7" s="47" t="s">
        <v>55</v>
      </c>
      <c r="D7" s="47" t="s">
        <v>54</v>
      </c>
      <c r="E7" s="47">
        <v>10</v>
      </c>
      <c r="F7" s="47">
        <v>10</v>
      </c>
      <c r="G7" s="47" t="s">
        <v>58</v>
      </c>
    </row>
    <row r="8" customHeight="1" spans="1:34">
      <c r="B8" s="47">
        <v>4</v>
      </c>
      <c r="C8" s="47" t="s">
        <v>55</v>
      </c>
      <c r="D8" s="47" t="s">
        <v>54</v>
      </c>
      <c r="E8" s="47">
        <v>10</v>
      </c>
      <c r="F8" s="47">
        <v>10</v>
      </c>
      <c r="G8" s="47" t="s">
        <v>53</v>
      </c>
    </row>
    <row r="9" customHeight="1" spans="1:34">
      <c r="B9" s="47">
        <v>5</v>
      </c>
      <c r="C9" s="47" t="s">
        <v>55</v>
      </c>
      <c r="D9" s="47" t="s">
        <v>54</v>
      </c>
      <c r="F9" s="47">
        <v>20</v>
      </c>
      <c r="G9" s="47" t="s">
        <v>53</v>
      </c>
    </row>
    <row r="10" customHeight="1" spans="1:34">
      <c r="B10" s="47">
        <v>6</v>
      </c>
      <c r="C10" s="47" t="s">
        <v>55</v>
      </c>
      <c r="D10" s="47" t="s">
        <v>54</v>
      </c>
      <c r="E10" s="47">
        <v>2</v>
      </c>
      <c r="F10" s="47">
        <v>10</v>
      </c>
      <c r="G10" s="47" t="s">
        <v>58</v>
      </c>
    </row>
    <row r="11" customHeight="1" spans="1:34">
      <c r="B11" s="47">
        <v>7</v>
      </c>
      <c r="C11" s="47" t="s">
        <v>55</v>
      </c>
      <c r="D11" s="47" t="s">
        <v>54</v>
      </c>
      <c r="E11" s="47">
        <v>2</v>
      </c>
      <c r="F11" s="47">
        <v>10</v>
      </c>
      <c r="G11" s="47" t="s">
        <v>58</v>
      </c>
    </row>
    <row r="12" customHeight="1" spans="1:34">
      <c r="B12" s="47">
        <v>8</v>
      </c>
      <c r="C12" s="47" t="s">
        <v>55</v>
      </c>
      <c r="D12" s="47" t="s">
        <v>54</v>
      </c>
      <c r="E12" s="47">
        <v>10</v>
      </c>
      <c r="F12" s="47">
        <v>20</v>
      </c>
      <c r="G12" s="47" t="s">
        <v>58</v>
      </c>
    </row>
  </sheetData>
  <sheetProtection formatCells="0" formatColumns="0" formatRows="0" insertRows="0" insertColumns="0" insertHyperlinks="0" deleteColumns="0" deleteRows="0" sort="0" autoFilter="0" pivotTables="0"/>
  <dataValidations count="1">
    <dataValidation allowBlank="1" showInputMessage="1" showErrorMessage="1" sqref="B5:G1048576"/>
  </dataValidations>
  <pageMargins left="0.75" right="0.75" top="1" bottom="1" header="0.5" footer="0.5"/>
  <pageSetup paperSize="9" orientation="portrait"/>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I5"/>
  <sheetViews>
    <sheetView showGridLines="0" workbookViewId="0">
      <pane ySplit="4" topLeftCell="A5" activePane="bottomLeft" state="frozen"/>
      <selection/>
      <selection pane="bottomLeft" activeCell="H11" sqref="H11"/>
    </sheetView>
  </sheetViews>
  <sheetFormatPr defaultColWidth="9" defaultRowHeight="20.1" customHeight="1" outlineLevelRow="4"/>
  <cols>
    <col min="1" max="1" width="4.625" style="3" customWidth="1"/>
    <col min="2" max="2" width="3.375" style="4" customWidth="1"/>
    <col min="3" max="8" width="16.875" style="13" customWidth="1"/>
    <col min="9" max="9" width="3.375" style="4" customWidth="1"/>
    <col min="10" max="10" width="4.25" style="3" customWidth="1"/>
    <col min="11" max="11" width="9" style="3"/>
    <col min="12" max="18" width="9" style="6"/>
  </cols>
  <sheetData>
    <row r="1" s="1" customFormat="1" ht="60" customHeight="1" spans="1:9">
      <c r="A1" s="7"/>
    </row>
    <row r="2" s="2" customFormat="1" ht="39.95" customHeight="1" spans="1:9">
      <c r="H2" s="46"/>
    </row>
    <row r="3" s="2" customFormat="1" customHeight="1" spans="1:9">
      <c r="B3" s="9"/>
      <c r="C3" s="9"/>
      <c r="D3" s="9"/>
      <c r="E3" s="9"/>
      <c r="F3" s="9"/>
      <c r="G3" s="9"/>
      <c r="H3" s="9"/>
      <c r="I3" s="9"/>
    </row>
    <row r="4" s="2" customFormat="1" ht="30" customHeight="1" spans="1:9">
      <c r="B4" s="9"/>
      <c r="C4" s="44" t="s">
        <v>26</v>
      </c>
      <c r="D4" s="44" t="s">
        <v>27</v>
      </c>
      <c r="E4" s="44" t="s">
        <v>28</v>
      </c>
      <c r="F4" s="44" t="s">
        <v>29</v>
      </c>
      <c r="G4" s="44" t="s">
        <v>33</v>
      </c>
      <c r="H4" s="44" t="s">
        <v>90</v>
      </c>
      <c r="I4" s="9"/>
    </row>
    <row r="5" customHeight="1" spans="1:9">
      <c r="C5" s="13">
        <v>1</v>
      </c>
      <c r="D5" s="13" t="s">
        <v>54</v>
      </c>
      <c r="E5" s="13">
        <v>1001</v>
      </c>
      <c r="F5" s="13" t="s">
        <v>55</v>
      </c>
      <c r="G5" s="13">
        <v>139</v>
      </c>
      <c r="H5" s="13">
        <v>399</v>
      </c>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44" activePane="bottomLeft" state="frozen"/>
      <selection/>
      <selection pane="bottomLeft" activeCell="E46" sqref="E46"/>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5">
      <c r="A1" s="7"/>
      <c r="L1" s="41"/>
    </row>
    <row r="2" s="2" customFormat="1" ht="39.95" customHeight="1" spans="1:15">
      <c r="L2" s="42"/>
    </row>
    <row r="3" s="2" customFormat="1" customHeight="1" spans="1:15">
      <c r="B3" s="9"/>
      <c r="C3" s="9"/>
      <c r="D3" s="9"/>
      <c r="E3" s="9"/>
      <c r="F3" s="9"/>
      <c r="G3" s="9"/>
      <c r="H3" s="9"/>
      <c r="I3" s="9"/>
      <c r="J3" s="9"/>
      <c r="K3" s="9"/>
      <c r="L3" s="43"/>
      <c r="M3" s="9"/>
      <c r="N3" s="9"/>
      <c r="O3" s="9"/>
    </row>
    <row r="4" s="2" customFormat="1" ht="30" customHeight="1" spans="1:15">
      <c r="B4" s="9"/>
      <c r="C4" s="9" t="s">
        <v>60</v>
      </c>
      <c r="D4" s="44" t="s">
        <v>26</v>
      </c>
      <c r="E4" s="44" t="s">
        <v>61</v>
      </c>
      <c r="F4" s="44" t="s">
        <v>28</v>
      </c>
      <c r="G4" s="44" t="s">
        <v>27</v>
      </c>
      <c r="H4" s="44" t="s">
        <v>29</v>
      </c>
      <c r="I4" s="44" t="s">
        <v>62</v>
      </c>
      <c r="J4" s="44" t="s">
        <v>31</v>
      </c>
      <c r="K4" s="44" t="s">
        <v>91</v>
      </c>
      <c r="L4" s="45" t="s">
        <v>64</v>
      </c>
      <c r="M4" s="44" t="s">
        <v>65</v>
      </c>
      <c r="N4" s="44" t="s">
        <v>92</v>
      </c>
      <c r="O4" s="9"/>
    </row>
    <row r="5" s="3" customFormat="1" customHeight="1" spans="1:15">
      <c r="B5" s="4"/>
      <c r="C5" s="4"/>
      <c r="D5" s="13"/>
      <c r="E5" s="13"/>
      <c r="F5" s="13"/>
      <c r="G5" s="13"/>
      <c r="H5" s="13"/>
      <c r="I5" s="13"/>
      <c r="J5" s="13"/>
      <c r="K5" s="13"/>
      <c r="L5" s="40"/>
      <c r="M5" s="13"/>
      <c r="N5" s="13"/>
      <c r="O5" s="4"/>
    </row>
    <row r="6" s="3" customFormat="1" customHeight="1" spans="1:15">
      <c r="B6" s="4"/>
      <c r="C6" s="4"/>
      <c r="D6" s="13"/>
      <c r="E6" s="13"/>
      <c r="F6" s="13"/>
      <c r="G6" s="13"/>
      <c r="H6" s="13"/>
      <c r="I6" s="13"/>
      <c r="J6" s="13"/>
      <c r="K6" s="13"/>
      <c r="L6" s="40"/>
      <c r="M6" s="13"/>
      <c r="N6" s="13"/>
      <c r="O6" s="4"/>
    </row>
    <row r="7" s="3" customFormat="1" customHeight="1" spans="1:15">
      <c r="B7" s="4"/>
      <c r="C7" s="4"/>
      <c r="D7" s="13"/>
      <c r="E7" s="13"/>
      <c r="F7" s="13"/>
      <c r="G7" s="13"/>
      <c r="H7" s="13"/>
      <c r="I7" s="13"/>
      <c r="J7" s="13"/>
      <c r="K7" s="13"/>
      <c r="L7" s="40"/>
      <c r="M7" s="13"/>
      <c r="N7" s="13"/>
      <c r="O7" s="4"/>
    </row>
    <row r="8" s="3" customFormat="1" customHeight="1" spans="1:15">
      <c r="B8" s="4"/>
      <c r="C8" s="4"/>
      <c r="D8" s="13"/>
      <c r="E8" s="13"/>
      <c r="F8" s="13"/>
      <c r="G8" s="13"/>
      <c r="H8" s="13"/>
      <c r="I8" s="13"/>
      <c r="J8" s="13"/>
      <c r="K8" s="13"/>
      <c r="L8" s="40"/>
      <c r="M8" s="13"/>
      <c r="N8" s="13"/>
      <c r="O8" s="4"/>
    </row>
    <row r="9" s="3" customFormat="1" customHeight="1" spans="1:15">
      <c r="B9" s="4"/>
      <c r="C9" s="4"/>
      <c r="D9" s="13"/>
      <c r="E9" s="13"/>
      <c r="F9" s="13"/>
      <c r="G9" s="13"/>
      <c r="H9" s="13"/>
      <c r="I9" s="13"/>
      <c r="J9" s="13"/>
      <c r="K9" s="13"/>
      <c r="L9" s="40"/>
      <c r="M9" s="13"/>
      <c r="N9" s="13"/>
      <c r="O9" s="4"/>
    </row>
    <row r="10" s="3" customFormat="1" customHeight="1" spans="1:15">
      <c r="B10" s="4"/>
      <c r="C10" s="4"/>
      <c r="D10" s="13"/>
      <c r="E10" s="13"/>
      <c r="F10" s="13"/>
      <c r="G10" s="13"/>
      <c r="H10" s="13"/>
      <c r="I10" s="13"/>
      <c r="J10" s="13"/>
      <c r="K10" s="13"/>
      <c r="L10" s="40"/>
      <c r="M10" s="13"/>
      <c r="N10" s="13"/>
      <c r="O10" s="4"/>
    </row>
    <row r="11" s="3" customFormat="1" customHeight="1" spans="1:15">
      <c r="B11" s="4"/>
      <c r="C11" s="4"/>
      <c r="D11" s="13"/>
      <c r="E11" s="13"/>
      <c r="F11" s="13"/>
      <c r="G11" s="13"/>
      <c r="H11" s="13"/>
      <c r="I11" s="13"/>
      <c r="J11" s="13"/>
      <c r="K11" s="13"/>
      <c r="L11" s="40"/>
      <c r="M11" s="13"/>
      <c r="N11" s="13"/>
      <c r="O11" s="4"/>
    </row>
    <row r="12" s="3" customFormat="1" customHeight="1" spans="1:15">
      <c r="B12" s="4"/>
      <c r="C12" s="4"/>
      <c r="D12" s="13"/>
      <c r="E12" s="13"/>
      <c r="F12" s="13"/>
      <c r="G12" s="13"/>
      <c r="H12" s="13"/>
      <c r="I12" s="13"/>
      <c r="J12" s="13"/>
      <c r="K12" s="13"/>
      <c r="L12" s="40"/>
      <c r="M12" s="13"/>
      <c r="N12" s="13"/>
      <c r="O12" s="4"/>
    </row>
    <row r="13" s="3" customFormat="1" customHeight="1" spans="1: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9" sqref="G9"/>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17">
      <c r="A1" s="32"/>
      <c r="E1" s="33"/>
      <c r="F1" s="33"/>
      <c r="G1" s="33"/>
    </row>
    <row r="2" s="27" customFormat="1" ht="39.95" customHeight="1" spans="1:17">
      <c r="E2" s="34"/>
      <c r="F2" s="34"/>
      <c r="G2" s="34"/>
      <c r="H2" s="35" t="s">
        <v>48</v>
      </c>
      <c r="I2" s="35"/>
    </row>
    <row r="3" s="27" customFormat="1" customHeight="1" spans="1:17">
      <c r="B3" s="36"/>
      <c r="C3" s="36"/>
      <c r="D3" s="36"/>
      <c r="E3" s="37"/>
      <c r="F3" s="37"/>
      <c r="G3" s="37"/>
      <c r="H3" s="36"/>
      <c r="I3" s="36"/>
      <c r="J3" s="36"/>
      <c r="K3" s="36"/>
      <c r="L3" s="36"/>
      <c r="M3" s="36"/>
      <c r="N3" s="36"/>
      <c r="O3" s="36"/>
      <c r="P3" s="36"/>
      <c r="Q3" s="36"/>
    </row>
    <row r="4" s="27" customFormat="1" ht="24.95" customHeight="1" spans="1:17">
      <c r="B4" s="36"/>
      <c r="C4" s="36" t="s">
        <v>60</v>
      </c>
      <c r="D4" s="16" t="s">
        <v>26</v>
      </c>
      <c r="E4" s="38" t="s">
        <v>28</v>
      </c>
      <c r="F4" s="38" t="s">
        <v>27</v>
      </c>
      <c r="G4" s="38" t="s">
        <v>29</v>
      </c>
      <c r="H4" s="16" t="s">
        <v>93</v>
      </c>
      <c r="I4" s="16"/>
      <c r="J4" s="16" t="s">
        <v>94</v>
      </c>
      <c r="K4" s="16"/>
      <c r="L4" s="16" t="s">
        <v>95</v>
      </c>
      <c r="M4" s="16"/>
      <c r="N4" s="16" t="s">
        <v>96</v>
      </c>
      <c r="O4" s="16"/>
      <c r="P4" s="16" t="s">
        <v>97</v>
      </c>
      <c r="Q4" s="36"/>
    </row>
    <row r="5" s="27" customFormat="1" ht="24.95" customHeight="1" spans="1:17">
      <c r="B5" s="36"/>
      <c r="C5" s="36"/>
      <c r="D5" s="24"/>
      <c r="E5" s="39"/>
      <c r="F5" s="39"/>
      <c r="G5" s="39"/>
      <c r="H5" s="24" t="s">
        <v>31</v>
      </c>
      <c r="I5" s="24" t="s">
        <v>32</v>
      </c>
      <c r="J5" s="24" t="s">
        <v>31</v>
      </c>
      <c r="K5" s="24" t="s">
        <v>32</v>
      </c>
      <c r="L5" s="24" t="s">
        <v>31</v>
      </c>
      <c r="M5" s="24" t="s">
        <v>32</v>
      </c>
      <c r="N5" s="24" t="s">
        <v>31</v>
      </c>
      <c r="O5" s="24" t="s">
        <v>32</v>
      </c>
      <c r="P5" s="24"/>
      <c r="Q5" s="36"/>
    </row>
    <row r="6" s="28" customFormat="1" customHeight="1" spans="1:17">
      <c r="B6" s="29"/>
      <c r="C6" s="29"/>
      <c r="D6" s="30"/>
      <c r="E6" s="17"/>
      <c r="F6" s="17"/>
      <c r="G6" s="17"/>
      <c r="H6" s="30"/>
      <c r="I6" s="30"/>
      <c r="J6" s="30"/>
      <c r="K6" s="30"/>
      <c r="L6" s="30"/>
      <c r="M6" s="30"/>
      <c r="N6" s="30"/>
      <c r="O6" s="30"/>
      <c r="P6" s="30"/>
      <c r="Q6" s="29"/>
    </row>
    <row r="7" s="28" customFormat="1" customHeight="1" spans="1:17">
      <c r="B7" s="29"/>
      <c r="C7" s="29"/>
      <c r="D7" s="30"/>
      <c r="E7" s="17"/>
      <c r="F7" s="17"/>
      <c r="G7" s="17"/>
      <c r="H7" s="30"/>
      <c r="I7" s="30"/>
      <c r="J7" s="30"/>
      <c r="K7" s="30"/>
      <c r="L7" s="30"/>
      <c r="M7" s="30"/>
      <c r="N7" s="30"/>
      <c r="O7" s="30"/>
      <c r="P7" s="30"/>
      <c r="Q7" s="29"/>
    </row>
    <row r="8" s="28" customFormat="1" customHeight="1" spans="1:17">
      <c r="B8" s="29"/>
      <c r="C8" s="29"/>
      <c r="D8" s="30"/>
      <c r="E8" s="17"/>
      <c r="F8" s="17"/>
      <c r="G8" s="17"/>
      <c r="H8" s="30"/>
      <c r="I8" s="30"/>
      <c r="J8" s="30"/>
      <c r="K8" s="30"/>
      <c r="L8" s="30"/>
      <c r="M8" s="30"/>
      <c r="N8" s="30"/>
      <c r="O8" s="30"/>
      <c r="P8" s="30"/>
      <c r="Q8" s="29"/>
    </row>
    <row r="9" s="28" customFormat="1" customHeight="1" spans="1:17">
      <c r="B9" s="29"/>
      <c r="C9" s="29"/>
      <c r="D9" s="30"/>
      <c r="E9" s="17"/>
      <c r="F9" s="17"/>
      <c r="G9" s="17"/>
      <c r="H9" s="30"/>
      <c r="I9" s="30"/>
      <c r="J9" s="30"/>
      <c r="K9" s="30"/>
      <c r="L9" s="30"/>
      <c r="M9" s="30"/>
      <c r="N9" s="30"/>
      <c r="O9" s="30"/>
      <c r="P9" s="30"/>
      <c r="Q9" s="29"/>
    </row>
    <row r="10" s="28" customFormat="1" customHeight="1" spans="1:17">
      <c r="B10" s="29"/>
      <c r="C10" s="29"/>
      <c r="D10" s="30"/>
      <c r="E10" s="17"/>
      <c r="F10" s="17"/>
      <c r="G10" s="17"/>
      <c r="H10" s="30"/>
      <c r="I10" s="30"/>
      <c r="J10" s="30"/>
      <c r="K10" s="30"/>
      <c r="L10" s="30"/>
      <c r="M10" s="30"/>
      <c r="N10" s="30"/>
      <c r="O10" s="30"/>
      <c r="P10" s="30"/>
      <c r="Q10" s="29"/>
    </row>
    <row r="11" s="28" customFormat="1" customHeight="1" spans="1:17">
      <c r="B11" s="29"/>
      <c r="C11" s="29"/>
      <c r="D11" s="30"/>
      <c r="E11" s="17"/>
      <c r="F11" s="17"/>
      <c r="G11" s="17"/>
      <c r="H11" s="30"/>
      <c r="I11" s="30"/>
      <c r="J11" s="30"/>
      <c r="K11" s="30"/>
      <c r="L11" s="30"/>
      <c r="M11" s="30"/>
      <c r="N11" s="30"/>
      <c r="O11" s="30"/>
      <c r="P11" s="30"/>
      <c r="Q11" s="29"/>
    </row>
    <row r="12" s="28" customFormat="1" customHeight="1" spans="1:17">
      <c r="B12" s="29"/>
      <c r="C12" s="29"/>
      <c r="D12" s="30"/>
      <c r="E12" s="17"/>
      <c r="F12" s="17"/>
      <c r="G12" s="17"/>
      <c r="H12" s="30"/>
      <c r="I12" s="30"/>
      <c r="J12" s="30"/>
      <c r="K12" s="30"/>
      <c r="L12" s="30"/>
      <c r="M12" s="30"/>
      <c r="N12" s="30"/>
      <c r="O12" s="30"/>
      <c r="P12" s="30"/>
      <c r="Q12" s="29"/>
    </row>
    <row r="13" s="28" customFormat="1" customHeight="1" spans="1:17">
      <c r="B13" s="29"/>
      <c r="C13" s="29"/>
      <c r="D13" s="30"/>
      <c r="E13" s="17"/>
      <c r="F13" s="17"/>
      <c r="G13" s="17"/>
      <c r="H13" s="30"/>
      <c r="I13" s="30"/>
      <c r="J13" s="30"/>
      <c r="K13" s="30"/>
      <c r="L13" s="30"/>
      <c r="M13" s="30"/>
      <c r="N13" s="30"/>
      <c r="O13" s="30"/>
      <c r="P13" s="30"/>
      <c r="Q13" s="29"/>
    </row>
    <row r="14" s="28" customFormat="1" customHeight="1" spans="1: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10" sqref="G10"/>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24.95" customHeight="1" spans="1:10">
      <c r="B4" s="9"/>
      <c r="C4" s="9" t="s">
        <v>60</v>
      </c>
      <c r="D4" s="16" t="s">
        <v>98</v>
      </c>
      <c r="E4" s="16" t="s">
        <v>28</v>
      </c>
      <c r="F4" s="16" t="s">
        <v>29</v>
      </c>
      <c r="G4" s="16" t="s">
        <v>27</v>
      </c>
      <c r="H4" s="24" t="s">
        <v>99</v>
      </c>
      <c r="I4" s="24" t="s">
        <v>100</v>
      </c>
      <c r="J4" s="9"/>
    </row>
    <row r="5" s="2" customFormat="1" ht="24.95" customHeight="1" spans="1:10">
      <c r="B5" s="9"/>
      <c r="C5" s="9"/>
      <c r="D5" s="16"/>
      <c r="E5" s="16"/>
      <c r="F5" s="16"/>
      <c r="G5" s="16"/>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79" orientation="portrait"/>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I10" sqref="I10"/>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1">
      <c r="A1" s="7"/>
    </row>
    <row r="2" s="2" customFormat="1" ht="39.95" customHeight="1"/>
    <row r="3" s="2" customFormat="1" customHeight="1" spans="1:11">
      <c r="B3" s="9"/>
      <c r="C3" s="9"/>
      <c r="D3" s="9"/>
      <c r="E3" s="9"/>
      <c r="F3" s="9"/>
      <c r="G3" s="9"/>
      <c r="H3" s="9"/>
      <c r="I3" s="9"/>
      <c r="J3" s="9"/>
      <c r="K3" s="9"/>
    </row>
    <row r="4" s="2" customFormat="1" ht="24.95" customHeight="1" spans="1:11">
      <c r="B4" s="9"/>
      <c r="C4" s="9" t="s">
        <v>60</v>
      </c>
      <c r="D4" s="16" t="s">
        <v>28</v>
      </c>
      <c r="E4" s="16" t="s">
        <v>27</v>
      </c>
      <c r="F4" s="16" t="s">
        <v>86</v>
      </c>
      <c r="G4" s="22" t="s">
        <v>94</v>
      </c>
      <c r="H4" s="23"/>
      <c r="I4" s="22" t="s">
        <v>95</v>
      </c>
      <c r="J4" s="23"/>
      <c r="K4" s="9"/>
    </row>
    <row r="5" s="2" customFormat="1" ht="24.95" customHeight="1" spans="1:11">
      <c r="B5" s="9"/>
      <c r="C5" s="9"/>
      <c r="D5" s="16"/>
      <c r="E5" s="16"/>
      <c r="F5" s="16"/>
      <c r="G5" s="16" t="s">
        <v>31</v>
      </c>
      <c r="H5" s="16" t="s">
        <v>32</v>
      </c>
      <c r="I5" s="16" t="s">
        <v>31</v>
      </c>
      <c r="J5" s="16" t="s">
        <v>32</v>
      </c>
      <c r="K5" s="9"/>
    </row>
    <row r="6" s="3" customFormat="1" customHeight="1" spans="1:11">
      <c r="B6" s="4"/>
      <c r="C6" s="4"/>
      <c r="D6" s="21">
        <v>1001</v>
      </c>
      <c r="E6" s="13" t="s">
        <v>54</v>
      </c>
      <c r="F6" s="13" t="s">
        <v>55</v>
      </c>
      <c r="G6" s="13">
        <v>130</v>
      </c>
      <c r="H6" s="13">
        <v>420</v>
      </c>
      <c r="I6" s="13">
        <v>11</v>
      </c>
      <c r="J6" s="13">
        <v>21</v>
      </c>
      <c r="K6" s="4"/>
    </row>
    <row r="7" s="3" customFormat="1" customHeight="1" spans="1:11">
      <c r="B7" s="4"/>
      <c r="C7" s="4"/>
      <c r="D7" s="21"/>
      <c r="E7" s="13"/>
      <c r="F7" s="13"/>
      <c r="G7" s="13"/>
      <c r="H7" s="13"/>
      <c r="I7" s="13"/>
      <c r="J7" s="13"/>
      <c r="K7" s="4"/>
    </row>
    <row r="8" s="3" customFormat="1" customHeight="1" spans="1:11">
      <c r="B8" s="4"/>
      <c r="C8" s="4"/>
      <c r="D8" s="21"/>
      <c r="E8" s="13"/>
      <c r="F8" s="13"/>
      <c r="G8" s="13"/>
      <c r="H8" s="13"/>
      <c r="I8" s="13"/>
      <c r="J8" s="13"/>
      <c r="K8" s="4"/>
    </row>
    <row r="9" s="3" customFormat="1" customHeight="1" spans="1:11">
      <c r="B9" s="4"/>
      <c r="C9" s="4"/>
      <c r="D9" s="21"/>
      <c r="E9" s="13"/>
      <c r="F9" s="13"/>
      <c r="G9" s="13"/>
      <c r="H9" s="13"/>
      <c r="I9" s="13"/>
      <c r="J9" s="13"/>
      <c r="K9" s="4"/>
    </row>
    <row r="10" s="3" customFormat="1" customHeight="1" spans="1:11">
      <c r="B10" s="4"/>
      <c r="C10" s="4"/>
      <c r="D10" s="21"/>
      <c r="E10" s="13"/>
      <c r="F10" s="13"/>
      <c r="G10" s="13"/>
      <c r="H10" s="13"/>
      <c r="I10" s="13"/>
      <c r="J10" s="13"/>
      <c r="K10" s="4"/>
    </row>
    <row r="11" s="3" customFormat="1" customHeight="1" spans="1:11">
      <c r="B11" s="4"/>
      <c r="C11" s="4"/>
      <c r="D11" s="21"/>
      <c r="E11" s="13"/>
      <c r="F11" s="13"/>
      <c r="G11" s="13"/>
      <c r="H11" s="13"/>
      <c r="I11" s="13"/>
      <c r="J11" s="13"/>
      <c r="K11" s="4"/>
    </row>
    <row r="12" s="3" customFormat="1" customHeight="1" spans="1:11">
      <c r="B12" s="4"/>
      <c r="C12" s="4"/>
      <c r="D12" s="21"/>
      <c r="E12" s="13"/>
      <c r="F12" s="13"/>
      <c r="G12" s="13"/>
      <c r="H12" s="13"/>
      <c r="I12" s="13"/>
      <c r="J12" s="13"/>
      <c r="K12" s="4"/>
    </row>
    <row r="13" s="3" customFormat="1" customHeight="1" spans="1:11">
      <c r="B13" s="4"/>
      <c r="C13" s="4"/>
      <c r="D13" s="21"/>
      <c r="E13" s="13"/>
      <c r="F13" s="13"/>
      <c r="G13" s="13"/>
      <c r="H13" s="13"/>
      <c r="I13" s="13"/>
      <c r="J13" s="13"/>
      <c r="K13" s="4"/>
    </row>
    <row r="14" s="3" customFormat="1" customHeight="1" spans="1:11">
      <c r="B14" s="4"/>
      <c r="C14" s="4"/>
      <c r="D14" s="21"/>
      <c r="E14" s="13"/>
      <c r="F14" s="13"/>
      <c r="G14" s="13"/>
      <c r="H14" s="13"/>
      <c r="I14" s="13"/>
      <c r="J14" s="13"/>
      <c r="K14" s="4"/>
    </row>
    <row r="15" s="3" customFormat="1" customHeight="1" spans="1:11">
      <c r="B15" s="4"/>
      <c r="C15" s="4"/>
      <c r="D15" s="21"/>
      <c r="E15" s="13"/>
      <c r="F15" s="13"/>
      <c r="G15" s="13"/>
      <c r="H15" s="13"/>
      <c r="I15" s="13"/>
      <c r="J15" s="13"/>
      <c r="K15" s="4"/>
    </row>
    <row r="16" s="3" customFormat="1" customHeight="1" spans="1: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67" orientation="portrait"/>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8"/>
  <sheetViews>
    <sheetView showGridLines="0" workbookViewId="0">
      <pane ySplit="4" topLeftCell="A5" activePane="bottomLeft" state="frozen"/>
      <selection/>
      <selection pane="bottomLeft" activeCell="H9" sqref="H9"/>
    </sheetView>
  </sheetViews>
  <sheetFormatPr defaultColWidth="9" defaultRowHeight="20.1" customHeight="1" outlineLevelRow="7"/>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3">
      <c r="A1" s="7"/>
    </row>
    <row r="2" s="2" customFormat="1" ht="39.95" customHeight="1"/>
    <row r="3" s="2" customFormat="1" customHeight="1" spans="1:13">
      <c r="B3" s="9"/>
      <c r="C3" s="9"/>
      <c r="D3" s="18"/>
      <c r="E3" s="9"/>
      <c r="F3" s="9"/>
      <c r="G3" s="9"/>
      <c r="H3" s="9"/>
      <c r="I3" s="9"/>
      <c r="J3" s="9"/>
      <c r="K3" s="9"/>
      <c r="L3" s="9"/>
      <c r="M3" s="9"/>
    </row>
    <row r="4" s="2" customFormat="1" ht="30" customHeight="1" spans="1:13">
      <c r="B4" s="9"/>
      <c r="C4" s="9" t="s">
        <v>60</v>
      </c>
      <c r="D4" s="19" t="s">
        <v>26</v>
      </c>
      <c r="E4" s="16" t="s">
        <v>27</v>
      </c>
      <c r="F4" s="16" t="s">
        <v>28</v>
      </c>
      <c r="G4" s="16" t="s">
        <v>29</v>
      </c>
      <c r="H4" s="16" t="s">
        <v>30</v>
      </c>
      <c r="I4" s="16" t="s">
        <v>101</v>
      </c>
      <c r="J4" s="16" t="s">
        <v>98</v>
      </c>
      <c r="K4" s="16" t="s">
        <v>102</v>
      </c>
      <c r="L4" s="16" t="s">
        <v>97</v>
      </c>
      <c r="M4" s="9"/>
    </row>
    <row r="5" customHeight="1" spans="1:13">
      <c r="D5" s="20"/>
      <c r="E5" s="13"/>
      <c r="F5" s="13"/>
      <c r="G5" s="13"/>
      <c r="H5" s="13"/>
      <c r="I5"/>
    </row>
    <row r="6" customHeight="1" spans="1:13">
      <c r="D6" s="20"/>
    </row>
    <row r="8" customHeight="1" spans="1:13">
      <c r="I8"/>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H9" sqref="H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60</v>
      </c>
      <c r="D4" s="16" t="s">
        <v>26</v>
      </c>
      <c r="E4" s="16" t="s">
        <v>103</v>
      </c>
      <c r="F4" s="16" t="s">
        <v>104</v>
      </c>
      <c r="G4" s="16" t="s">
        <v>105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7" sqref="K7"/>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8">
      <c r="A1" s="7"/>
    </row>
    <row r="2" s="2" customFormat="1" ht="39.95" customHeight="1"/>
    <row r="3" s="2" customFormat="1" customHeight="1" spans="1:8">
      <c r="B3" s="9"/>
      <c r="C3" s="9"/>
      <c r="D3" s="9"/>
      <c r="E3" s="9"/>
      <c r="F3" s="9"/>
      <c r="G3" s="9"/>
      <c r="H3" s="9"/>
    </row>
    <row r="4" s="2" customFormat="1" ht="30" customHeight="1" spans="1:8">
      <c r="B4" s="9"/>
      <c r="C4" s="9" t="s">
        <v>60</v>
      </c>
      <c r="D4" s="16" t="s">
        <v>26</v>
      </c>
      <c r="E4" s="16" t="s">
        <v>106</v>
      </c>
      <c r="F4" s="16" t="s">
        <v>104</v>
      </c>
      <c r="G4" s="16" t="s">
        <v>105</v>
      </c>
      <c r="H4" s="9"/>
    </row>
    <row r="5" s="3" customFormat="1" customHeight="1" spans="1:8">
      <c r="B5" s="4"/>
      <c r="C5" s="4"/>
      <c r="D5" s="13"/>
      <c r="E5" s="13"/>
      <c r="F5" s="13"/>
      <c r="G5" s="17"/>
      <c r="H5" s="4"/>
    </row>
    <row r="6" s="3" customFormat="1" customHeight="1" spans="1:8">
      <c r="B6" s="4"/>
      <c r="C6" s="4"/>
      <c r="D6" s="13"/>
      <c r="E6" s="13"/>
      <c r="F6" s="13"/>
      <c r="G6" s="17"/>
      <c r="H6" s="4"/>
    </row>
    <row r="7" s="3" customFormat="1" customHeight="1" spans="1:8">
      <c r="B7" s="4"/>
      <c r="C7" s="4"/>
      <c r="D7" s="13"/>
      <c r="E7" s="13"/>
      <c r="F7" s="13"/>
      <c r="G7" s="17"/>
      <c r="H7" s="4"/>
    </row>
    <row r="8" s="3" customFormat="1" customHeight="1" spans="1:8">
      <c r="B8" s="4"/>
      <c r="C8" s="4"/>
      <c r="D8" s="13"/>
      <c r="E8" s="13"/>
      <c r="F8" s="13"/>
      <c r="G8" s="17"/>
      <c r="H8" s="4"/>
    </row>
    <row r="9" s="3" customFormat="1" customHeight="1" spans="1:8">
      <c r="B9" s="4"/>
      <c r="C9" s="4"/>
      <c r="D9" s="13"/>
      <c r="E9" s="13"/>
      <c r="F9" s="13"/>
      <c r="G9" s="17"/>
      <c r="H9" s="4"/>
    </row>
    <row r="10" s="3" customFormat="1" customHeight="1" spans="1:8">
      <c r="B10" s="4"/>
      <c r="C10" s="4"/>
      <c r="D10" s="13"/>
      <c r="E10" s="13"/>
      <c r="F10" s="13"/>
      <c r="G10" s="17"/>
      <c r="H10" s="4"/>
    </row>
    <row r="11" s="3" customFormat="1" customHeight="1" spans="1:8">
      <c r="B11" s="4"/>
      <c r="C11" s="4"/>
      <c r="D11" s="13"/>
      <c r="E11" s="13"/>
      <c r="F11" s="13"/>
      <c r="G11" s="17"/>
      <c r="H11" s="4"/>
    </row>
    <row r="12" s="3" customFormat="1" customHeight="1" spans="1:8">
      <c r="B12" s="4"/>
      <c r="C12" s="4"/>
      <c r="D12" s="13"/>
      <c r="E12" s="13"/>
      <c r="F12" s="13"/>
      <c r="G12" s="17"/>
      <c r="H12" s="4"/>
    </row>
    <row r="13" s="3" customFormat="1" customHeight="1" spans="1: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E13"/>
  <sheetViews>
    <sheetView showGridLines="0" workbookViewId="0">
      <pane ySplit="4" topLeftCell="A5" activePane="bottomLeft" state="frozen"/>
      <selection/>
      <selection pane="bottomLeft" activeCell="M13" sqref="M13"/>
    </sheetView>
  </sheetViews>
  <sheetFormatPr defaultColWidth="9" defaultRowHeight="20.1" customHeight="1" outlineLevelCol="4"/>
  <cols>
    <col min="1" max="1" width="4.625" style="3" customWidth="1"/>
    <col min="2" max="2" width="3.625" style="4" customWidth="1"/>
    <col min="3" max="3" width="4" style="4" hidden="1" customWidth="1"/>
    <col min="4" max="4" width="16.875" style="13" customWidth="1"/>
    <col min="5" max="5" width="3.625" style="4" customWidth="1"/>
    <col min="6" max="6" width="6.75" style="3" customWidth="1"/>
    <col min="7" max="10" width="9" style="3"/>
    <col min="11" max="11" width="9" style="3" hidden="1" customWidth="1"/>
    <col min="12" max="15" width="9" style="3"/>
    <col min="16" max="16384" width="9" style="6"/>
  </cols>
  <sheetData>
    <row r="1" s="1" customFormat="1" ht="60" customHeight="1" spans="1:5">
      <c r="A1" s="7"/>
    </row>
    <row r="2" s="2" customFormat="1" ht="39.95" customHeight="1"/>
    <row r="3" s="2" customFormat="1" customHeight="1" spans="1:5">
      <c r="B3" s="9"/>
      <c r="C3" s="9"/>
      <c r="D3" s="9"/>
      <c r="E3" s="9"/>
    </row>
    <row r="4" s="2" customFormat="1" ht="30" customHeight="1" spans="1:5">
      <c r="B4" s="9"/>
      <c r="C4" s="9" t="s">
        <v>60</v>
      </c>
      <c r="D4" s="16" t="s">
        <v>89</v>
      </c>
      <c r="E4" s="9"/>
    </row>
    <row r="5" s="3" customFormat="1" customHeight="1" spans="1:5">
      <c r="B5" s="4"/>
      <c r="C5" s="4">
        <v>17</v>
      </c>
      <c r="D5" s="13" t="s">
        <v>58</v>
      </c>
      <c r="E5" s="4"/>
    </row>
    <row r="6" s="3" customFormat="1" customHeight="1" spans="1:5">
      <c r="B6" s="4"/>
      <c r="C6" s="4">
        <v>16</v>
      </c>
      <c r="D6" s="13" t="s">
        <v>53</v>
      </c>
      <c r="E6" s="4"/>
    </row>
    <row r="7" s="3" customFormat="1" customHeight="1" spans="1:5">
      <c r="B7" s="4"/>
      <c r="C7" s="4"/>
      <c r="D7" s="13"/>
      <c r="E7" s="4"/>
    </row>
    <row r="8" s="3" customFormat="1" customHeight="1" spans="1:5">
      <c r="B8" s="4"/>
      <c r="C8" s="4"/>
      <c r="D8" s="13"/>
      <c r="E8" s="4"/>
    </row>
    <row r="9" s="3" customFormat="1" customHeight="1" spans="1:5">
      <c r="B9" s="4"/>
      <c r="C9" s="4"/>
      <c r="D9" s="13"/>
      <c r="E9" s="4"/>
    </row>
    <row r="10" s="3" customFormat="1" customHeight="1" spans="1:5">
      <c r="B10" s="4"/>
      <c r="C10" s="4"/>
      <c r="D10" s="13"/>
      <c r="E10" s="4"/>
    </row>
    <row r="11" s="3" customFormat="1" customHeight="1" spans="1:5">
      <c r="B11" s="4"/>
      <c r="C11" s="4"/>
      <c r="D11" s="13"/>
      <c r="E11" s="4"/>
    </row>
    <row r="12" s="3" customFormat="1" customHeight="1" spans="1:5">
      <c r="B12" s="4"/>
      <c r="C12" s="4"/>
      <c r="D12" s="13"/>
      <c r="E12" s="4"/>
    </row>
    <row r="13" s="3" customFormat="1" customHeight="1" spans="1:5">
      <c r="B13" s="4"/>
      <c r="C13" s="4"/>
      <c r="D13" s="13"/>
      <c r="E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0">
      <c r="A1" s="7"/>
    </row>
    <row r="2" s="2" customFormat="1" ht="39.95" customHeight="1"/>
    <row r="3" s="2" customFormat="1" customHeight="1" spans="1:10">
      <c r="B3" s="9"/>
      <c r="C3" s="9"/>
      <c r="D3" s="9"/>
      <c r="E3" s="9"/>
      <c r="F3" s="9"/>
      <c r="G3" s="9"/>
      <c r="H3" s="9"/>
      <c r="I3" s="9"/>
      <c r="J3" s="9"/>
    </row>
    <row r="4" s="2" customFormat="1" ht="30" customHeight="1" spans="1:10">
      <c r="B4" s="9"/>
      <c r="C4" s="9" t="s">
        <v>60</v>
      </c>
      <c r="D4" s="16" t="s">
        <v>26</v>
      </c>
      <c r="E4" s="16" t="s">
        <v>28</v>
      </c>
      <c r="F4" s="16" t="s">
        <v>27</v>
      </c>
      <c r="G4" s="16" t="s">
        <v>29</v>
      </c>
      <c r="H4" s="16" t="s">
        <v>30</v>
      </c>
      <c r="I4" s="16" t="s">
        <v>107</v>
      </c>
      <c r="J4" s="9"/>
    </row>
    <row r="5" s="3" customFormat="1" customHeight="1" spans="1:10">
      <c r="B5" s="4"/>
      <c r="C5" s="4"/>
      <c r="D5" s="13"/>
      <c r="E5" s="13"/>
      <c r="F5" s="13"/>
      <c r="G5" s="17"/>
      <c r="H5" s="17"/>
      <c r="I5" s="17"/>
      <c r="J5" s="4"/>
    </row>
    <row r="6" s="3" customFormat="1" customHeight="1" spans="1:10">
      <c r="B6" s="4"/>
      <c r="C6" s="4"/>
      <c r="D6" s="13"/>
      <c r="E6" s="13"/>
      <c r="F6" s="13"/>
      <c r="G6" s="17"/>
      <c r="H6" s="17"/>
      <c r="I6" s="17"/>
      <c r="J6" s="4"/>
    </row>
    <row r="7" s="3" customFormat="1" customHeight="1" spans="1:10">
      <c r="B7" s="4"/>
      <c r="C7" s="4"/>
      <c r="D7" s="13"/>
      <c r="E7" s="13"/>
      <c r="F7" s="13"/>
      <c r="G7" s="17"/>
      <c r="H7" s="17"/>
      <c r="I7" s="17"/>
      <c r="J7" s="4"/>
    </row>
    <row r="8" s="3" customFormat="1" customHeight="1" spans="1:10">
      <c r="B8" s="4"/>
      <c r="C8" s="4"/>
      <c r="D8" s="13"/>
      <c r="E8" s="13"/>
      <c r="F8" s="13"/>
      <c r="G8" s="17"/>
      <c r="H8" s="17"/>
      <c r="I8" s="17"/>
      <c r="J8" s="4"/>
    </row>
    <row r="9" s="3" customFormat="1" customHeight="1" spans="1:10">
      <c r="B9" s="4"/>
      <c r="C9" s="4"/>
      <c r="D9" s="13"/>
      <c r="E9" s="13"/>
      <c r="F9" s="13"/>
      <c r="G9" s="17"/>
      <c r="H9" s="17"/>
      <c r="I9" s="17"/>
      <c r="J9" s="4"/>
    </row>
    <row r="10" s="3" customFormat="1" customHeight="1" spans="1:10">
      <c r="B10" s="4"/>
      <c r="C10" s="4"/>
      <c r="D10" s="13"/>
      <c r="E10" s="13"/>
      <c r="F10" s="13"/>
      <c r="G10" s="17"/>
      <c r="H10" s="17"/>
      <c r="I10" s="17"/>
      <c r="J10" s="4"/>
    </row>
    <row r="11" s="3" customFormat="1" customHeight="1" spans="1:10">
      <c r="B11" s="4"/>
      <c r="C11" s="4"/>
      <c r="D11" s="13"/>
      <c r="E11" s="13"/>
      <c r="F11" s="13"/>
      <c r="G11" s="17"/>
      <c r="H11" s="17"/>
      <c r="I11" s="17"/>
      <c r="J11" s="4"/>
    </row>
    <row r="12" s="3" customFormat="1" customHeight="1" spans="1:10">
      <c r="B12" s="4"/>
      <c r="C12" s="4"/>
      <c r="D12" s="13"/>
      <c r="E12" s="13"/>
      <c r="F12" s="13"/>
      <c r="G12" s="17"/>
      <c r="H12" s="17"/>
      <c r="I12" s="17"/>
      <c r="J12" s="4"/>
    </row>
    <row r="13" s="3" customFormat="1" customHeight="1" spans="1: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D5" sqref="D5"/>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4"/>
      <c r="S1" s="14"/>
      <c r="T1" s="14">
        <v>1</v>
      </c>
    </row>
    <row r="2" s="2" customFormat="1" ht="39.95" customHeight="1"/>
    <row r="3" s="2" customFormat="1" customHeight="1" spans="1:20">
      <c r="B3" s="9"/>
      <c r="C3" s="9"/>
      <c r="D3" s="9"/>
      <c r="E3" s="9"/>
      <c r="F3" s="9"/>
      <c r="G3" s="9"/>
      <c r="H3" s="9"/>
      <c r="I3" s="9"/>
      <c r="J3" s="9"/>
      <c r="K3" s="9"/>
    </row>
    <row r="4" s="2" customFormat="1" ht="30" customHeight="1" spans="1:20">
      <c r="B4" s="9"/>
      <c r="C4" s="15" t="s">
        <v>60</v>
      </c>
      <c r="D4" s="16" t="s">
        <v>108</v>
      </c>
      <c r="E4" s="16" t="s">
        <v>109</v>
      </c>
      <c r="F4" s="16" t="s">
        <v>110</v>
      </c>
      <c r="G4" s="16" t="s">
        <v>111</v>
      </c>
      <c r="H4" s="16" t="s">
        <v>112</v>
      </c>
      <c r="I4" s="16" t="s">
        <v>113</v>
      </c>
      <c r="J4" s="16" t="s">
        <v>114</v>
      </c>
      <c r="K4" s="9"/>
    </row>
    <row r="5" s="3" customFormat="1" customHeight="1" spans="1:20">
      <c r="B5" s="4"/>
      <c r="C5" s="12"/>
      <c r="D5" s="13"/>
      <c r="E5" s="13"/>
      <c r="F5" s="13"/>
      <c r="G5" s="13"/>
      <c r="H5" s="13"/>
      <c r="I5" s="13"/>
      <c r="J5" s="13"/>
      <c r="K5" s="4"/>
    </row>
    <row r="6" s="3" customFormat="1" customHeight="1" spans="1:20">
      <c r="B6" s="4"/>
      <c r="C6" s="12"/>
      <c r="D6" s="13"/>
      <c r="E6" s="13"/>
      <c r="F6" s="13"/>
      <c r="G6" s="13"/>
      <c r="H6" s="13"/>
      <c r="I6" s="13"/>
      <c r="J6" s="13"/>
      <c r="K6" s="4"/>
    </row>
    <row r="7" s="3" customFormat="1" customHeight="1" spans="1:20">
      <c r="B7" s="4"/>
      <c r="C7" s="12"/>
      <c r="D7" s="13"/>
      <c r="E7" s="13"/>
      <c r="F7" s="13"/>
      <c r="G7" s="13"/>
      <c r="H7" s="13"/>
      <c r="I7" s="13"/>
      <c r="J7" s="13"/>
      <c r="K7" s="4"/>
    </row>
    <row r="8" s="3" customFormat="1" customHeight="1" spans="1:20">
      <c r="B8" s="4"/>
      <c r="C8" s="12"/>
      <c r="D8" s="13"/>
      <c r="E8" s="13"/>
      <c r="F8" s="13"/>
      <c r="G8" s="13"/>
      <c r="H8" s="13"/>
      <c r="I8" s="13"/>
      <c r="J8" s="13"/>
      <c r="K8" s="4"/>
    </row>
    <row r="9" s="3" customFormat="1" customHeight="1" spans="1:20">
      <c r="B9" s="4"/>
      <c r="C9" s="12"/>
      <c r="D9" s="13"/>
      <c r="E9" s="13"/>
      <c r="F9" s="13"/>
      <c r="G9" s="13"/>
      <c r="H9" s="13"/>
      <c r="I9" s="13"/>
      <c r="J9" s="13"/>
      <c r="K9" s="4"/>
    </row>
    <row r="10" s="3" customFormat="1" customHeight="1" spans="1:20">
      <c r="B10" s="4"/>
      <c r="C10" s="12"/>
      <c r="D10" s="13"/>
      <c r="E10" s="13"/>
      <c r="F10" s="13"/>
      <c r="G10" s="13"/>
      <c r="H10" s="13"/>
      <c r="I10" s="13"/>
      <c r="J10" s="13"/>
      <c r="K10" s="4"/>
    </row>
    <row r="11" s="3" customFormat="1" customHeight="1" spans="1:20">
      <c r="B11" s="4"/>
      <c r="C11" s="12"/>
      <c r="D11" s="13"/>
      <c r="E11" s="13"/>
      <c r="F11" s="13"/>
      <c r="G11" s="13"/>
      <c r="H11" s="13"/>
      <c r="I11" s="13"/>
      <c r="J11" s="13"/>
      <c r="K11" s="4"/>
    </row>
    <row r="12" s="3" customFormat="1" customHeight="1" spans="1:20">
      <c r="B12" s="4"/>
      <c r="C12" s="12"/>
      <c r="D12" s="13"/>
      <c r="E12" s="13"/>
      <c r="F12" s="13"/>
      <c r="G12" s="13"/>
      <c r="H12" s="13"/>
      <c r="I12" s="13"/>
      <c r="J12" s="13"/>
      <c r="K12" s="4"/>
    </row>
    <row r="13" s="3" customFormat="1" customHeight="1" spans="1:20">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J3" sqref="J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5">
      <c r="A1" s="7"/>
      <c r="D1" s="8"/>
    </row>
    <row r="2" s="2" customFormat="1" ht="39.95" customHeight="1" spans="1:5">
      <c r="D2" s="3"/>
    </row>
    <row r="3" s="2" customFormat="1" customHeight="1" spans="1:5">
      <c r="B3" s="9"/>
      <c r="C3" s="9"/>
      <c r="D3" s="10" t="s">
        <v>115</v>
      </c>
      <c r="E3" s="9"/>
    </row>
    <row r="4" s="3" customFormat="1" customHeight="1" spans="1:5">
      <c r="B4" s="4"/>
      <c r="C4" s="4"/>
      <c r="D4" s="11"/>
      <c r="E4" s="4"/>
    </row>
    <row r="5" s="3" customFormat="1" customHeight="1" spans="1:5">
      <c r="B5" s="4"/>
      <c r="C5" s="4"/>
      <c r="D5" s="11"/>
      <c r="E5" s="4"/>
    </row>
    <row r="6" s="3" customFormat="1" customHeight="1" spans="1:5">
      <c r="B6" s="4"/>
      <c r="C6" s="4"/>
      <c r="D6" s="11"/>
      <c r="E6" s="4"/>
    </row>
    <row r="7" s="3" customFormat="1" customHeight="1" spans="1:5">
      <c r="B7" s="4"/>
      <c r="C7" s="4"/>
      <c r="D7" s="11"/>
      <c r="E7" s="4"/>
    </row>
    <row r="8" s="3" customFormat="1" customHeight="1" spans="1:5">
      <c r="B8" s="4"/>
      <c r="C8" s="4"/>
      <c r="D8" s="5"/>
      <c r="E8" s="4"/>
    </row>
    <row r="9" s="3" customFormat="1" customHeight="1" spans="1:5">
      <c r="B9" s="4"/>
      <c r="C9" s="4"/>
      <c r="D9" s="5"/>
      <c r="E9" s="4"/>
    </row>
    <row r="10" s="3" customFormat="1" customHeight="1" spans="1:5">
      <c r="B10" s="4"/>
      <c r="C10" s="4"/>
      <c r="D10" s="5"/>
      <c r="E10" s="4"/>
    </row>
    <row r="11" s="3" customFormat="1" customHeight="1" spans="1:5">
      <c r="B11" s="4"/>
      <c r="C11" s="4"/>
      <c r="D11" s="5"/>
      <c r="E11" s="4"/>
    </row>
    <row r="12" s="3" customFormat="1" customHeight="1" spans="1:5">
      <c r="B12" s="4"/>
      <c r="C12" s="4"/>
      <c r="D12" s="5"/>
      <c r="E12" s="4"/>
    </row>
  </sheetData>
  <pageMargins left="0.75" right="0.75" top="1" bottom="1" header="0.5" footer="0.5"/>
  <pageSetup paperSize="9"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19" master="" otherUserPermission="visible"/>
  <rangeList sheetStid="20" master="" otherUserPermission="visible"/>
  <rangeList sheetStid="22" master="" otherUserPermission="visible"/>
  <rangeList sheetStid="23" master="" otherUserPermission="visible"/>
  <rangeList sheetStid="25" master="" otherUserPermission="visible"/>
  <rangeList sheetStid="26" master="" otherUserPermission="visible"/>
  <rangeList sheetStid="24" master="" otherUserPermission="visible"/>
  <rangeList sheetStid="5" master="" otherUserPermission="visible"/>
  <rangeList sheetStid="27" master="" otherUserPermission="visible"/>
  <rangeList sheetStid="29" master="" otherUserPermission="visible"/>
  <rangeList sheetStid="30" master="" otherUserPermission="visible"/>
  <rangeList sheetStid="31" master="" otherUserPermission="visible"/>
  <rangeList sheetStid="28"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2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31</vt:i4>
      </vt:variant>
    </vt:vector>
  </HeadingPairs>
  <TitlesOfParts>
    <vt:vector size="31" baseType="lpstr">
      <vt:lpstr>首页</vt:lpstr>
      <vt:lpstr>说明书</vt:lpstr>
      <vt:lpstr>加密</vt:lpstr>
      <vt:lpstr>入库</vt:lpstr>
      <vt:lpstr>入库单</vt:lpstr>
      <vt:lpstr>出库</vt:lpstr>
      <vt:lpstr>出库单</vt:lpstr>
      <vt:lpstr>库存调拨</vt:lpstr>
      <vt:lpstr>库存盘点</vt:lpstr>
      <vt:lpstr>销售退货</vt:lpstr>
      <vt:lpstr>采购退货</vt:lpstr>
      <vt:lpstr>采购单</vt:lpstr>
      <vt:lpstr>采购未入库明细</vt:lpstr>
      <vt:lpstr>单据</vt:lpstr>
      <vt:lpstr>期初数</vt:lpstr>
      <vt:lpstr>期末数</vt:lpstr>
      <vt:lpstr>销售退货统计</vt:lpstr>
      <vt:lpstr>采购退货统计</vt:lpstr>
      <vt:lpstr>进出明细统计</vt:lpstr>
      <vt:lpstr>库存积压统计</vt:lpstr>
      <vt:lpstr>明细</vt:lpstr>
      <vt:lpstr>进销存</vt:lpstr>
      <vt:lpstr>客户|供应商查询</vt:lpstr>
      <vt:lpstr>商品进出查询</vt:lpstr>
      <vt:lpstr>基础资料</vt:lpstr>
      <vt:lpstr>客户资料</vt:lpstr>
      <vt:lpstr>供应商资料</vt:lpstr>
      <vt:lpstr>仓库资料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2026-05-19T01:05:26Z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2052-12.1.0.25865</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y fmtid="{D5CDD505-2E9C-101B-9397-08002B2CF9AE}" pid="5" name="CalculationRule">
    <vt:i4>0</vt:i4>
  </property>
</Properties>
</file>