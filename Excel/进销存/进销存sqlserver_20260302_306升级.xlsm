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库存调拨" sheetId="19" state="veryHidden" r:id="rId8"/>
    <sheet name="库存盘点" sheetId="20" state="veryHidden" r:id="rId9"/>
    <sheet name="销售退货" sheetId="22" state="veryHidden" r:id="rId10"/>
    <sheet name="采购退货" sheetId="23" state="veryHidden" r:id="rId11"/>
    <sheet name="采购单" sheetId="25" state="veryHidden" r:id="rId12"/>
    <sheet name="采购未入库明细" sheetId="26" state="veryHidden" r:id="rId13"/>
    <sheet name="单据" sheetId="24" state="veryHidden" r:id="rId14"/>
    <sheet name="期初数" sheetId="5" state="veryHidden" r:id="rId15"/>
    <sheet name="期末数" sheetId="27" state="veryHidden" r:id="rId16"/>
    <sheet name="销售退货统计" sheetId="29" state="veryHidden" r:id="rId17"/>
    <sheet name="采购退货统计" sheetId="30" state="veryHidden" r:id="rId18"/>
    <sheet name="进出明细统计" sheetId="31" state="veryHidden" r:id="rId19"/>
    <sheet name="库存积压统计" sheetId="28" state="veryHidden" r:id="rId20"/>
    <sheet name="明细" sheetId="6" state="veryHidden" r:id="rId21"/>
    <sheet name="进销存" sheetId="7" state="veryHidden" r:id="rId22"/>
    <sheet name="客户|供应商查询" sheetId="8" state="veryHidden" r:id="rId23"/>
    <sheet name="商品进出查询" sheetId="15" state="veryHidden" r:id="rId24"/>
    <sheet name="基础资料" sheetId="9" state="veryHidden" r:id="rId25"/>
    <sheet name="客户资料" sheetId="10" state="veryHidden" r:id="rId26"/>
    <sheet name="供应商资料" sheetId="11" state="veryHidden" r:id="rId27"/>
    <sheet name="仓库资料" sheetId="21" state="veryHidden" r:id="rId28"/>
    <sheet name="笔记" sheetId="12" state="veryHidden" r:id="rId29"/>
    <sheet name="用户管理" sheetId="13" state="veryHidden" r:id="rId30"/>
    <sheet name="二维码打印" sheetId="18" state="veryHidden" r:id="rId31"/>
  </sheets>
  <externalReferences>
    <externalReference r:id="rId33"/>
  </externalReferences>
  <definedNames>
    <definedName name="_xlnm._FilterDatabase" localSheetId="12" hidden="1">采购未入库明细!$D$4:$K$188</definedName>
    <definedName name="_xlnm._FilterDatabase" localSheetId="20" hidden="1">明细!$D$4:$K$70</definedName>
    <definedName name="_xlnm.Print_Area" localSheetId="6">出库单!$C$4:$H$19</definedName>
    <definedName name="_xlnm.Print_Area" localSheetId="4">入库单!$C$4:$H$19</definedName>
    <definedName name="_xlnm.Print_Area" localSheetId="13">单据!$C$4:$H$20</definedName>
    <definedName name="_xlnm.Print_Area" localSheetId="30">二维码打印!$D$3</definedName>
    <definedName name="_xlnm.Print_Area" localSheetId="22">'客户|供应商查询'!$D$4:$I$9</definedName>
    <definedName name="_xlnm.Print_Area" localSheetId="23">商品进出查询!$D$4:$J$6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<sst xmlns="http://schemas.openxmlformats.org/spreadsheetml/2006/main" count="483" uniqueCount="122">
  <si>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</si>
  <si>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</si>
  <si>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</si>
  <si>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</si>
  <si>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</si>
  <si>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</si>
  <si>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</si>
  <si>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</si>
  <si>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</si>
  <si>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</si>
  <si>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</si>
  <si>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</si>
  <si>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</si>
  <si>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</si>
  <si>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</si>
  <si>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</si>
  <si>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</si>
  <si>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</si>
  <si>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</si>
  <si>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</si>
  <si>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</si>
  <si>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</si>
  <si>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</si>
  <si>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$APP安卓|PC端|EXCEL|小程序$这是备注位置</t>
  </si>
  <si>
    <t>北京登宏科技有限公司</t>
  </si>
  <si>
    <t>选中此处扫描商品二维码</t>
  </si>
  <si>
    <t>序号</t>
  </si>
  <si>
    <t>商品名称</t>
  </si>
  <si>
    <t>商品代码</t>
  </si>
  <si>
    <t>商品类别</t>
  </si>
  <si>
    <t>商品单位</t>
  </si>
  <si>
    <t>数量</t>
  </si>
  <si>
    <t>金额</t>
  </si>
  <si>
    <t>库存数量</t>
  </si>
  <si>
    <t>入库单</t>
  </si>
  <si>
    <t>订单号：</t>
  </si>
  <si>
    <t>DD20231006001</t>
  </si>
  <si>
    <t>供应商：</t>
  </si>
  <si>
    <t>张三</t>
  </si>
  <si>
    <t>入库时间：</t>
  </si>
  <si>
    <t>单价</t>
  </si>
  <si>
    <t>笔记本</t>
  </si>
  <si>
    <t>CS001</t>
  </si>
  <si>
    <t>办公</t>
  </si>
  <si>
    <t>中性笔</t>
  </si>
  <si>
    <t>CS002</t>
  </si>
  <si>
    <t>合计金额(大写):</t>
  </si>
  <si>
    <t>合计金额(小写):</t>
  </si>
  <si>
    <t>选中此处扫描订单二维码</t>
  </si>
  <si>
    <t>出库单</t>
  </si>
  <si>
    <t>客户：</t>
  </si>
  <si>
    <t>大众</t>
  </si>
  <si>
    <t>出库时间：</t>
  </si>
  <si>
    <t>A仓库</t>
  </si>
  <si>
    <t>本</t>
  </si>
  <si>
    <t>支</t>
  </si>
  <si>
    <t>墨汁</t>
  </si>
  <si>
    <t>CS003</t>
  </si>
  <si>
    <t>耗材</t>
  </si>
  <si>
    <t>吨</t>
  </si>
  <si>
    <t>水杯</t>
  </si>
  <si>
    <t>元</t>
  </si>
  <si>
    <t>实际数量</t>
  </si>
  <si>
    <t>双击
勾选</t>
  </si>
  <si>
    <t>id</t>
  </si>
  <si>
    <t>订单号</t>
  </si>
  <si>
    <t>价格</t>
  </si>
  <si>
    <t>类型</t>
  </si>
  <si>
    <t>时间</t>
  </si>
  <si>
    <t>公司名</t>
  </si>
  <si>
    <t>进货方</t>
  </si>
  <si>
    <t>采购</t>
  </si>
  <si>
    <t>李四</t>
  </si>
  <si>
    <t>采购退货</t>
  </si>
  <si>
    <t>订单号:</t>
  </si>
  <si>
    <t>入库时间:</t>
  </si>
  <si>
    <t>供应商:</t>
  </si>
  <si>
    <t>仓库:</t>
  </si>
  <si>
    <t>C仓库</t>
  </si>
  <si>
    <t>合计金额：10342</t>
  </si>
  <si>
    <t>商品售价</t>
  </si>
  <si>
    <t>商品数量</t>
  </si>
  <si>
    <t>开始合计金额：859</t>
  </si>
  <si>
    <t>结束合计金额：857</t>
  </si>
  <si>
    <t>期初数量</t>
  </si>
  <si>
    <t>期初金额</t>
  </si>
  <si>
    <t>期末数量</t>
  </si>
  <si>
    <t>期末金额</t>
  </si>
  <si>
    <t>总退货数量</t>
  </si>
  <si>
    <t>总退货金额</t>
  </si>
  <si>
    <t>平均退货数量</t>
  </si>
  <si>
    <t>涉及商品数</t>
  </si>
  <si>
    <t>类别</t>
  </si>
  <si>
    <t>名称</t>
  </si>
  <si>
    <t>售价</t>
  </si>
  <si>
    <t>仓库</t>
  </si>
  <si>
    <t>库存金额</t>
  </si>
  <si>
    <t>明细类型</t>
  </si>
  <si>
    <t>收/进货方</t>
  </si>
  <si>
    <t>期初</t>
  </si>
  <si>
    <t>入库</t>
  </si>
  <si>
    <t>出库</t>
  </si>
  <si>
    <t>结存</t>
  </si>
  <si>
    <t>边缘存量</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</si>
  <si>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</si>
  <si>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</si>
  <si>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</si>
  <si>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</si>
  <si>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</si>
  <si>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</si>
  <si>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</si>
  <si>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</si>
  <si>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</si>
  <si>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</si>
  <si>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</si>
  <si>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</si>
  <si>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</si>
  <si>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</si>
  <si>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</si>
  <si>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</si>
  <si>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</si>
  <si>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
 时间：2026/2/28 18:47:14</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</si>
</sst>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0.00_);[Red]\(0.00\)"/>
    <numFmt numFmtId="179" formatCode="[DBNum2][$RMB]General;[Red][DBNum2][$RMB]General"/>
    <numFmt numFmtId="180" formatCode="00"/>
  </numFmts>
  <fonts count="54">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2"/>
      <name val="等线"/>
      <charset val="134"/>
    </font>
    <font>
      <b/>
      <sz val="14"/>
      <color theme="0"/>
      <name val="微软雅黑"/>
      <charset val="134"/>
    </font>
    <font>
      <b/>
      <sz val="12"/>
      <name val="微软雅黑"/>
      <charset val="134"/>
    </font>
    <font>
      <sz val="12"/>
      <color theme="4" tint="0.6"/>
      <name val="等线"/>
      <charset val="134"/>
    </font>
    <font>
      <sz val="20"/>
      <name val="微软雅黑"/>
      <charset val="134"/>
    </font>
    <font>
      <sz val="16"/>
      <name val="微软雅黑"/>
      <charset val="134"/>
    </font>
    <font>
      <sz val="11"/>
      <name val="等线"/>
      <charset val="134"/>
    </font>
    <font>
      <b/>
      <sz val="10"/>
      <name val="等线"/>
      <charset val="134"/>
    </font>
    <font>
      <b/>
      <sz val="1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4">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patternFill patternType="solid">
        <fgColor theme="4" tint="0.6"/>
        <bgColor indexed="64"/>
      </patternFill>
    </fill>
    <fill>
      <patternFill patternType="solid">
        <fgColor theme="0" tint="-0.15"/>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theme="2" tint="-0.25"/>
      </left>
      <right style="thin">
        <color theme="2" tint="-0.25"/>
      </right>
      <top style="thin">
        <color theme="2" tint="-0.25"/>
      </top>
      <bottom style="thin">
        <color theme="2" tint="-0.25"/>
      </bottom>
      <diagonal/>
    </border>
    <border>
      <left style="thin">
        <color theme="0" tint="-0.35"/>
      </left>
      <right style="thin">
        <color theme="0" tint="-0.35"/>
      </right>
      <top style="thin">
        <color theme="0" tint="-0.35"/>
      </top>
      <bottom style="thin">
        <color theme="0" tint="-0.35"/>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7" fillId="0" borderId="0" applyFont="0" applyFill="0" applyBorder="0" applyAlignment="0" applyProtection="0">
      <alignment vertical="center"/>
    </xf>
    <xf numFmtId="44" fontId="17" fillId="0" borderId="0" applyFont="0" applyFill="0" applyBorder="0" applyAlignment="0" applyProtection="0">
      <alignment vertical="center"/>
    </xf>
    <xf numFmtId="9" fontId="17" fillId="0" borderId="0" applyFont="0" applyFill="0" applyBorder="0" applyAlignment="0" applyProtection="0">
      <alignment vertical="center"/>
    </xf>
    <xf numFmtId="41" fontId="17" fillId="0" borderId="0" applyFont="0" applyFill="0" applyBorder="0" applyAlignment="0" applyProtection="0">
      <alignment vertical="center"/>
    </xf>
    <xf numFmtId="42" fontId="17"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17" fillId="14" borderId="11"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39" fillId="0" borderId="0" applyNumberFormat="0" applyFill="0" applyBorder="0" applyAlignment="0" applyProtection="0">
      <alignment vertical="center"/>
    </xf>
    <xf numFmtId="0" fontId="40" fillId="15" borderId="14" applyNumberFormat="0" applyAlignment="0" applyProtection="0">
      <alignment vertical="center"/>
    </xf>
    <xf numFmtId="0" fontId="41" fillId="16" borderId="15" applyNumberFormat="0" applyAlignment="0" applyProtection="0">
      <alignment vertical="center"/>
    </xf>
    <xf numFmtId="0" fontId="42" fillId="16" borderId="14" applyNumberFormat="0" applyAlignment="0" applyProtection="0">
      <alignment vertical="center"/>
    </xf>
    <xf numFmtId="0" fontId="43" fillId="17" borderId="16" applyNumberFormat="0" applyAlignment="0" applyProtection="0">
      <alignment vertical="center"/>
    </xf>
    <xf numFmtId="0" fontId="44" fillId="0" borderId="17" applyNumberFormat="0" applyFill="0" applyAlignment="0" applyProtection="0">
      <alignment vertical="center"/>
    </xf>
    <xf numFmtId="0" fontId="45" fillId="0" borderId="18" applyNumberFormat="0" applyFill="0" applyAlignment="0" applyProtection="0">
      <alignment vertical="center"/>
    </xf>
    <xf numFmtId="0" fontId="46" fillId="18" borderId="0" applyNumberFormat="0" applyBorder="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0" fillId="3" borderId="0" applyNumberFormat="0" applyBorder="0" applyAlignment="0" applyProtection="0">
      <alignment vertical="center"/>
    </xf>
    <xf numFmtId="0" fontId="49" fillId="23" borderId="0" applyNumberFormat="0" applyBorder="0" applyAlignment="0" applyProtection="0">
      <alignment vertical="center"/>
    </xf>
    <xf numFmtId="0" fontId="49" fillId="24" borderId="0" applyNumberFormat="0" applyBorder="0" applyAlignment="0" applyProtection="0">
      <alignment vertical="center"/>
    </xf>
    <xf numFmtId="0" fontId="50" fillId="25" borderId="0" applyNumberFormat="0" applyBorder="0" applyAlignment="0" applyProtection="0">
      <alignment vertical="center"/>
    </xf>
    <xf numFmtId="0" fontId="50" fillId="26" borderId="0" applyNumberFormat="0" applyBorder="0" applyAlignment="0" applyProtection="0">
      <alignment vertical="center"/>
    </xf>
    <xf numFmtId="0" fontId="49" fillId="27" borderId="0" applyNumberFormat="0" applyBorder="0" applyAlignment="0" applyProtection="0">
      <alignment vertical="center"/>
    </xf>
    <xf numFmtId="0" fontId="49" fillId="28"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49" fillId="31" borderId="0" applyNumberFormat="0" applyBorder="0" applyAlignment="0" applyProtection="0">
      <alignment vertical="center"/>
    </xf>
    <xf numFmtId="0" fontId="49" fillId="32" borderId="0" applyNumberFormat="0" applyBorder="0" applyAlignment="0" applyProtection="0">
      <alignment vertical="center"/>
    </xf>
    <xf numFmtId="0" fontId="50" fillId="33" borderId="0" applyNumberFormat="0" applyBorder="0" applyAlignment="0" applyProtection="0">
      <alignment vertical="center"/>
    </xf>
    <xf numFmtId="0" fontId="50" fillId="34" borderId="0" applyNumberFormat="0" applyBorder="0" applyAlignment="0" applyProtection="0">
      <alignment vertical="center"/>
    </xf>
    <xf numFmtId="0" fontId="49" fillId="35" borderId="0" applyNumberFormat="0" applyBorder="0" applyAlignment="0" applyProtection="0">
      <alignment vertical="center"/>
    </xf>
    <xf numFmtId="0" fontId="49" fillId="36" borderId="0" applyNumberFormat="0" applyBorder="0" applyAlignment="0" applyProtection="0">
      <alignment vertical="center"/>
    </xf>
    <xf numFmtId="0" fontId="50" fillId="37" borderId="0" applyNumberFormat="0" applyBorder="0" applyAlignment="0" applyProtection="0">
      <alignment vertical="center"/>
    </xf>
    <xf numFmtId="0" fontId="50" fillId="38" borderId="0" applyNumberFormat="0" applyBorder="0" applyAlignment="0" applyProtection="0">
      <alignment vertical="center"/>
    </xf>
    <xf numFmtId="0" fontId="49" fillId="39" borderId="0" applyNumberFormat="0" applyBorder="0" applyAlignment="0" applyProtection="0">
      <alignment vertical="center"/>
    </xf>
    <xf numFmtId="0" fontId="49" fillId="40" borderId="0" applyNumberFormat="0" applyBorder="0" applyAlignment="0" applyProtection="0">
      <alignment vertical="center"/>
    </xf>
    <xf numFmtId="0" fontId="50" fillId="41" borderId="0" applyNumberFormat="0" applyBorder="0" applyAlignment="0" applyProtection="0">
      <alignment vertical="center"/>
    </xf>
    <xf numFmtId="0" fontId="50" fillId="42" borderId="0" applyNumberFormat="0" applyBorder="0" applyAlignment="0" applyProtection="0">
      <alignment vertical="center"/>
    </xf>
    <xf numFmtId="0" fontId="49" fillId="43" borderId="0" applyNumberFormat="0" applyBorder="0" applyAlignment="0" applyProtection="0">
      <alignment vertical="center"/>
    </xf>
  </cellStyleXfs>
  <cellXfs count="10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6"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49" fontId="6"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7" xfId="0" applyFont="1" applyFill="1" applyBorder="1" applyAlignment="1">
      <alignment horizontal="center" vertical="center"/>
    </xf>
    <xf numFmtId="177" fontId="6"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1" xfId="0" applyFont="1" applyFill="1" applyBorder="1" applyAlignment="1">
      <alignment horizontal="center" vertical="center"/>
    </xf>
    <xf numFmtId="0" fontId="0" fillId="7" borderId="0" xfId="0" applyFill="1">
      <alignment vertical="center"/>
    </xf>
    <xf numFmtId="0" fontId="9" fillId="3" borderId="0" xfId="0" applyFont="1" applyFill="1" applyAlignment="1">
      <alignment horizontal="center" vertical="center"/>
    </xf>
    <xf numFmtId="0" fontId="1" fillId="6" borderId="8" xfId="0" applyFont="1" applyFill="1" applyBorder="1" applyAlignment="1">
      <alignment horizontal="center" vertical="center"/>
    </xf>
    <xf numFmtId="0" fontId="7" fillId="8" borderId="9" xfId="0" applyFont="1" applyFill="1" applyBorder="1" applyAlignment="1">
      <alignment horizontal="center" vertical="center"/>
    </xf>
    <xf numFmtId="0" fontId="10" fillId="3" borderId="0" xfId="0" applyFont="1" applyFill="1" applyAlignment="1">
      <alignment horizontal="center" vertical="center"/>
    </xf>
    <xf numFmtId="0" fontId="10" fillId="7" borderId="0" xfId="0" applyFont="1" applyFill="1" applyAlignment="1">
      <alignment horizontal="center" vertical="center"/>
    </xf>
    <xf numFmtId="0" fontId="1" fillId="6" borderId="9" xfId="0" applyFont="1" applyFill="1" applyBorder="1" applyAlignment="1">
      <alignment horizontal="center" vertical="center"/>
    </xf>
    <xf numFmtId="178" fontId="1" fillId="6" borderId="9"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0" fontId="13" fillId="6" borderId="0" xfId="0" applyFont="1" applyFill="1" applyBorder="1" applyAlignment="1">
      <alignment horizontal="center" vertical="center"/>
    </xf>
    <xf numFmtId="22" fontId="13" fillId="6"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6" fillId="5" borderId="10" xfId="0" applyFont="1" applyFill="1" applyBorder="1" applyAlignment="1">
      <alignment horizontal="center" vertical="center"/>
    </xf>
    <xf numFmtId="0" fontId="2" fillId="6" borderId="10" xfId="0" applyFont="1" applyFill="1" applyBorder="1" applyAlignment="1">
      <alignment horizontal="center" vertical="center"/>
    </xf>
    <xf numFmtId="0" fontId="6" fillId="6" borderId="1" xfId="0" applyFont="1" applyFill="1" applyBorder="1" applyAlignment="1">
      <alignment horizontal="center" vertical="center"/>
    </xf>
    <xf numFmtId="179" fontId="6" fillId="6" borderId="1" xfId="0" applyNumberFormat="1" applyFont="1" applyFill="1" applyBorder="1" applyAlignment="1">
      <alignment horizontal="center" vertical="center"/>
    </xf>
    <xf numFmtId="0" fontId="14" fillId="0" borderId="10" xfId="0" applyFont="1" applyFill="1" applyBorder="1" applyAlignment="1">
      <alignment horizontal="center" vertical="center"/>
    </xf>
    <xf numFmtId="0" fontId="5" fillId="2" borderId="0" xfId="0" applyFont="1" applyFill="1" applyAlignment="1">
      <alignment horizontal="center" vertical="center"/>
    </xf>
    <xf numFmtId="0" fontId="7" fillId="0" borderId="10" xfId="0" applyFont="1" applyFill="1" applyBorder="1" applyAlignment="1">
      <alignment horizontal="center" vertical="center" wrapText="1"/>
    </xf>
    <xf numFmtId="0" fontId="15" fillId="9" borderId="0" xfId="0" applyFont="1" applyFill="1" applyAlignment="1">
      <alignment horizontal="center" vertical="center"/>
    </xf>
    <xf numFmtId="14" fontId="13" fillId="6" borderId="0" xfId="0" applyNumberFormat="1" applyFont="1" applyFill="1" applyBorder="1" applyAlignment="1">
      <alignment horizontal="center" vertical="center"/>
    </xf>
    <xf numFmtId="14" fontId="0" fillId="0" borderId="0" xfId="0" applyNumberFormat="1">
      <alignment vertical="center"/>
    </xf>
    <xf numFmtId="0" fontId="16" fillId="10" borderId="0" xfId="0" applyFont="1" applyFill="1" applyAlignment="1" applyProtection="1">
      <alignment horizontal="left" vertical="center"/>
    </xf>
    <xf numFmtId="0" fontId="17" fillId="11" borderId="0" xfId="0" applyFont="1" applyFill="1" applyAlignment="1" applyProtection="1">
      <alignment vertical="center"/>
    </xf>
    <xf numFmtId="0" fontId="18" fillId="11" borderId="0" xfId="0" applyFont="1" applyFill="1" applyAlignment="1" applyProtection="1">
      <alignment horizontal="left" vertical="center"/>
    </xf>
    <xf numFmtId="0" fontId="18" fillId="6" borderId="0" xfId="0" applyFont="1" applyFill="1" applyAlignment="1" applyProtection="1">
      <alignment horizontal="left" vertical="center"/>
    </xf>
    <xf numFmtId="49" fontId="19" fillId="6" borderId="0" xfId="0" applyNumberFormat="1" applyFont="1" applyFill="1" applyAlignment="1" applyProtection="1">
      <alignment horizontal="right" vertical="center"/>
    </xf>
    <xf numFmtId="0" fontId="20" fillId="6" borderId="0" xfId="0" applyFont="1" applyFill="1" applyAlignment="1" applyProtection="1">
      <alignment horizontal="left" vertical="center"/>
    </xf>
    <xf numFmtId="0" fontId="21" fillId="10" borderId="0" xfId="0" applyFont="1" applyFill="1" applyAlignment="1" applyProtection="1">
      <alignment horizontal="center" vertical="center"/>
    </xf>
    <xf numFmtId="49" fontId="22" fillId="10" borderId="0" xfId="0" applyNumberFormat="1" applyFont="1" applyFill="1" applyAlignment="1" applyProtection="1">
      <alignment horizontal="left" vertical="center"/>
    </xf>
    <xf numFmtId="49" fontId="16" fillId="10" borderId="0" xfId="0" applyNumberFormat="1" applyFont="1" applyFill="1" applyAlignment="1" applyProtection="1">
      <alignment horizontal="left" vertical="center"/>
    </xf>
    <xf numFmtId="49" fontId="23" fillId="11" borderId="0" xfId="0" applyNumberFormat="1" applyFont="1" applyFill="1" applyAlignment="1" applyProtection="1">
      <alignment horizontal="right" vertical="center"/>
    </xf>
    <xf numFmtId="49" fontId="23" fillId="6" borderId="0" xfId="0" applyNumberFormat="1" applyFont="1" applyFill="1" applyAlignment="1" applyProtection="1">
      <alignment horizontal="center" vertical="center"/>
    </xf>
    <xf numFmtId="49" fontId="24" fillId="12" borderId="0" xfId="0" applyNumberFormat="1" applyFont="1" applyFill="1" applyAlignment="1" applyProtection="1">
      <alignment horizontal="center" vertical="center" wrapText="1"/>
    </xf>
    <xf numFmtId="0" fontId="25" fillId="12" borderId="0" xfId="0" applyFont="1" applyFill="1" applyAlignment="1" applyProtection="1">
      <alignment horizontal="center" vertical="center" wrapText="1"/>
    </xf>
    <xf numFmtId="180" fontId="26" fillId="12" borderId="0" xfId="0" applyNumberFormat="1" applyFont="1" applyFill="1" applyAlignment="1" applyProtection="1">
      <alignment horizontal="right" vertical="center" indent="1"/>
    </xf>
    <xf numFmtId="0" fontId="27" fillId="12" borderId="0" xfId="0" applyFont="1" applyFill="1" applyAlignment="1" applyProtection="1">
      <alignment horizontal="center" vertical="center" wrapText="1"/>
    </xf>
    <xf numFmtId="49" fontId="25" fillId="12" borderId="0" xfId="0" applyNumberFormat="1" applyFont="1" applyFill="1" applyAlignment="1" applyProtection="1">
      <alignment horizontal="center" vertical="center" wrapText="1"/>
    </xf>
    <xf numFmtId="0" fontId="27" fillId="12" borderId="0" xfId="0" applyFont="1" applyFill="1" applyAlignment="1" applyProtection="1">
      <alignment vertical="center" wrapText="1"/>
    </xf>
    <xf numFmtId="49" fontId="19" fillId="13" borderId="0" xfId="0" applyNumberFormat="1" applyFont="1" applyFill="1" applyAlignment="1" applyProtection="1">
      <alignment horizontal="center" vertical="center" wrapText="1"/>
    </xf>
    <xf numFmtId="0" fontId="28" fillId="13" borderId="0" xfId="0" applyFont="1" applyFill="1" applyAlignment="1" applyProtection="1">
      <alignment horizontal="center" vertical="center" wrapText="1"/>
    </xf>
    <xf numFmtId="0" fontId="20" fillId="13" borderId="0" xfId="0" applyFont="1" applyFill="1" applyAlignment="1" applyProtection="1">
      <alignment horizontal="left" vertical="center"/>
    </xf>
    <xf numFmtId="0" fontId="29" fillId="3" borderId="0" xfId="0" applyFont="1" applyFill="1" applyAlignment="1">
      <alignment vertical="center"/>
    </xf>
    <xf numFmtId="0" fontId="30" fillId="3" borderId="0" xfId="0" applyFont="1" applyFill="1" applyAlignment="1">
      <alignment vertical="center"/>
    </xf>
    <xf numFmtId="0" fontId="31" fillId="3" borderId="0" xfId="0" applyFont="1" applyFill="1" applyAlignment="1">
      <alignment vertical="center"/>
    </xf>
    <xf numFmtId="0" fontId="31"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29"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7" Type="http://schemas.openxmlformats.org/officeDocument/2006/relationships/styles" Target="styles.xml"/><Relationship Id="rId36" Type="http://schemas.microsoft.com/office/2006/relationships/vbaProject" Target="vbaProject.bin"/><Relationship Id="rId35" Type="http://schemas.openxmlformats.org/officeDocument/2006/relationships/sharedStrings" Target="sharedStrings.xml"/><Relationship Id="rId34" Type="http://schemas.openxmlformats.org/officeDocument/2006/relationships/theme" Target="theme/theme1.xml"/><Relationship Id="rId33" Type="http://schemas.openxmlformats.org/officeDocument/2006/relationships/externalLink" Target="externalLinks/externalLink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C仓库</c:v>
                </c:pt>
                <c:pt idx="1">
                  <c:v>A仓库</c:v>
                </c:pt>
              </c:strCache>
            </c:strRef>
          </c:cat>
          <c:val>
            <c:numRef>
              <c:f>销售退货统计!$N$4:$U$4</c:f>
              <c:numCache>
                <c:formatCode>General</c:formatCode>
                <c:ptCount val="8"/>
                <c:pt idx="0">
                  <c:v>7</c:v>
                </c:pt>
                <c:pt idx="1">
                  <c:v>2</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C仓库</c:v>
                </c:pt>
                <c:pt idx="1">
                  <c:v>A仓库</c:v>
                </c:pt>
              </c:strCache>
            </c:strRef>
          </c:cat>
          <c:val>
            <c:numRef>
              <c:f>销售退货统计!$N$4:$U$4</c:f>
              <c:numCache>
                <c:formatCode>General</c:formatCode>
                <c:ptCount val="8"/>
                <c:pt idx="0">
                  <c:v>7</c:v>
                </c:pt>
                <c:pt idx="1">
                  <c:v>2</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C仓库</c:v>
                </c:pt>
                <c:pt idx="1">
                  <c:v>A仓库</c:v>
                </c:pt>
              </c:strCache>
            </c:strRef>
          </c:cat>
          <c:val>
            <c:numRef>
              <c:f>采购退货统计!$N$4:$U$4</c:f>
              <c:numCache>
                <c:formatCode>General</c:formatCode>
                <c:ptCount val="8"/>
                <c:pt idx="0">
                  <c:v>25</c:v>
                </c:pt>
                <c:pt idx="1">
                  <c:v>4</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C仓库</c:v>
                </c:pt>
                <c:pt idx="1">
                  <c:v>A仓库</c:v>
                </c:pt>
              </c:strCache>
            </c:strRef>
          </c:cat>
          <c:val>
            <c:numRef>
              <c:f>采购退货统计!$N$4:$U$4</c:f>
              <c:numCache>
                <c:formatCode>General</c:formatCode>
                <c:ptCount val="8"/>
                <c:pt idx="0">
                  <c:v>25</c:v>
                </c:pt>
                <c:pt idx="1">
                  <c:v>4</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C仓库</c:v>
                </c:pt>
                <c:pt idx="1">
                  <c:v>A仓库</c:v>
                </c:pt>
              </c:strCache>
            </c:strRef>
          </c:cat>
          <c:val>
            <c:numRef>
              <c:f>进出明细统计!$N$4:$U$4</c:f>
              <c:numCache>
                <c:formatCode>General</c:formatCode>
                <c:ptCount val="8"/>
                <c:pt idx="0">
                  <c:v>2</c:v>
                </c:pt>
                <c:pt idx="1">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C仓库</c:v>
                </c:pt>
                <c:pt idx="1">
                  <c:v>A仓库</c:v>
                </c:pt>
              </c:strCache>
            </c:strRef>
          </c:cat>
          <c:val>
            <c:numRef>
              <c:f>进出明细统计!$N$4:$U$4</c:f>
              <c:numCache>
                <c:formatCode>General</c:formatCode>
                <c:ptCount val="8"/>
                <c:pt idx="0">
                  <c:v>2</c:v>
                </c:pt>
                <c:pt idx="1">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38144;&#23384;!A1"/><Relationship Id="rId8" Type="http://schemas.openxmlformats.org/officeDocument/2006/relationships/hyperlink" Target="#&#26126;&#32454;!A1"/><Relationship Id="rId7" Type="http://schemas.openxmlformats.org/officeDocument/2006/relationships/hyperlink" Target="#&#26399;&#21021;&#25968;!A1"/><Relationship Id="rId6" Type="http://schemas.openxmlformats.org/officeDocument/2006/relationships/hyperlink" Target="#&#20837;&#24211;!A1"/><Relationship Id="rId5" Type="http://schemas.openxmlformats.org/officeDocument/2006/relationships/hyperlink" Target="#&#22522;&#30784;&#36164;&#26009;!A1"/><Relationship Id="rId4" Type="http://schemas.openxmlformats.org/officeDocument/2006/relationships/hyperlink" Target="#'&#23458;&#25143;|&#20379;&#24212;&#21830;&#26597;&#35810;'!A1"/><Relationship Id="rId3" Type="http://schemas.openxmlformats.org/officeDocument/2006/relationships/hyperlink" Target="#&#20379;&#24212;&#21830;&#36164;&#26009;!A1"/><Relationship Id="rId26" Type="http://schemas.openxmlformats.org/officeDocument/2006/relationships/hyperlink" Target="#&#20179;&#24211;&#36164;&#26009;!A1"/><Relationship Id="rId25" Type="http://schemas.openxmlformats.org/officeDocument/2006/relationships/hyperlink" Target="#&#26399;&#26411;&#25968;!A1"/><Relationship Id="rId24" Type="http://schemas.openxmlformats.org/officeDocument/2006/relationships/hyperlink" Target="#&#24211;&#23384;&#31215;&#21387;&#32479;&#35745;!A1"/><Relationship Id="rId23" Type="http://schemas.openxmlformats.org/officeDocument/2006/relationships/hyperlink" Target="#&#37319;&#36141;&#26410;&#20837;&#24211;&#26126;&#32454;!A1"/><Relationship Id="rId22" Type="http://schemas.openxmlformats.org/officeDocument/2006/relationships/hyperlink" Target="#&#36827;&#20986;&#26126;&#32454;&#32479;&#35745;!A1"/><Relationship Id="rId21" Type="http://schemas.openxmlformats.org/officeDocument/2006/relationships/hyperlink" Target="#&#37319;&#36141;&#21333;!A1"/><Relationship Id="rId20" Type="http://schemas.openxmlformats.org/officeDocument/2006/relationships/hyperlink" Target="#&#37319;&#36141;&#36864;&#36135;&#32479;&#35745;!A1"/><Relationship Id="rId2" Type="http://schemas.openxmlformats.org/officeDocument/2006/relationships/hyperlink" Target="#&#23458;&#25143;&#36164;&#26009;!A1"/><Relationship Id="rId19" Type="http://schemas.openxmlformats.org/officeDocument/2006/relationships/hyperlink" Target="#&#38144;&#21806;&#36864;&#36135;&#32479;&#35745;!A1"/><Relationship Id="rId18" Type="http://schemas.openxmlformats.org/officeDocument/2006/relationships/hyperlink" Target="#&#37319;&#36141;&#36864;&#36135;!A1"/><Relationship Id="rId17" Type="http://schemas.openxmlformats.org/officeDocument/2006/relationships/hyperlink" Target="#&#38144;&#21806;&#36864;&#36135;!A1"/><Relationship Id="rId16" Type="http://schemas.openxmlformats.org/officeDocument/2006/relationships/hyperlink" Target="#&#24211;&#23384;&#30424;&#28857;!A1"/><Relationship Id="rId15" Type="http://schemas.openxmlformats.org/officeDocument/2006/relationships/hyperlink" Target="#&#24211;&#23384;&#35843;&#25320;!A1"/><Relationship Id="rId14" Type="http://schemas.openxmlformats.org/officeDocument/2006/relationships/hyperlink" Target="#&#21830;&#21697;&#36827;&#20986;&#26597;&#35810;!A1"/><Relationship Id="rId13" Type="http://schemas.openxmlformats.org/officeDocument/2006/relationships/hyperlink" Target="#&#20108;&#32500;&#30721;&#25171;&#21360;!A1"/><Relationship Id="rId12" Type="http://schemas.openxmlformats.org/officeDocument/2006/relationships/hyperlink" Target="#&#20986;&#24211;!A1"/><Relationship Id="rId11" Type="http://schemas.openxmlformats.org/officeDocument/2006/relationships/hyperlink" Target="#&#29992;&#25143;&#31649;&#29702;!A1"/><Relationship Id="rId10" Type="http://schemas.openxmlformats.org/officeDocument/2006/relationships/hyperlink" Target="#&#31508;&#35760;!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8.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257175</xdr:colOff>
      <xdr:row>6</xdr:row>
      <xdr:rowOff>161925</xdr:rowOff>
    </xdr:from>
    <xdr:to>
      <xdr:col>33</xdr:col>
      <xdr:colOff>40005</xdr:colOff>
      <xdr:row>9</xdr:row>
      <xdr:rowOff>180975</xdr:rowOff>
    </xdr:to>
    <xdr:sp macro="[1]!asht10">
      <xdr:nvSpPr>
        <xdr:cNvPr id="7" name="圆角矩形 14">
          <a:hlinkClick xmlns:r="http://schemas.openxmlformats.org/officeDocument/2006/relationships" r:id="rId2"/>
        </xdr:cNvPr>
        <xdr:cNvSpPr/>
      </xdr:nvSpPr>
      <xdr:spPr>
        <a:xfrm>
          <a:off x="77152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6</xdr:row>
      <xdr:rowOff>161925</xdr:rowOff>
    </xdr:from>
    <xdr:to>
      <xdr:col>38</xdr:col>
      <xdr:colOff>268605</xdr:colOff>
      <xdr:row>9</xdr:row>
      <xdr:rowOff>180975</xdr:rowOff>
    </xdr:to>
    <xdr:sp macro="[1]!asht11">
      <xdr:nvSpPr>
        <xdr:cNvPr id="8" name="圆角矩形 16">
          <a:hlinkClick xmlns:r="http://schemas.openxmlformats.org/officeDocument/2006/relationships" r:id="rId3"/>
        </xdr:cNvPr>
        <xdr:cNvSpPr/>
      </xdr:nvSpPr>
      <xdr:spPr>
        <a:xfrm>
          <a:off x="932497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6</xdr:row>
      <xdr:rowOff>161925</xdr:rowOff>
    </xdr:from>
    <xdr:to>
      <xdr:col>16</xdr:col>
      <xdr:colOff>31115</xdr:colOff>
      <xdr:row>9</xdr:row>
      <xdr:rowOff>180975</xdr:rowOff>
    </xdr:to>
    <xdr:sp macro="[1]!asht8">
      <xdr:nvSpPr>
        <xdr:cNvPr id="10" name="圆角矩形 4">
          <a:hlinkClick xmlns:r="http://schemas.openxmlformats.org/officeDocument/2006/relationships" r:id="rId4"/>
        </xdr:cNvPr>
        <xdr:cNvSpPr/>
      </xdr:nvSpPr>
      <xdr:spPr>
        <a:xfrm>
          <a:off x="301053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6</xdr:row>
      <xdr:rowOff>161925</xdr:rowOff>
    </xdr:from>
    <xdr:to>
      <xdr:col>27</xdr:col>
      <xdr:colOff>160655</xdr:colOff>
      <xdr:row>9</xdr:row>
      <xdr:rowOff>180975</xdr:rowOff>
    </xdr:to>
    <xdr:sp macro="[1]!asht9">
      <xdr:nvSpPr>
        <xdr:cNvPr id="11" name="圆角矩形 8">
          <a:hlinkClick xmlns:r="http://schemas.openxmlformats.org/officeDocument/2006/relationships" r:id="rId5"/>
        </xdr:cNvPr>
        <xdr:cNvSpPr/>
      </xdr:nvSpPr>
      <xdr:spPr>
        <a:xfrm>
          <a:off x="61785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3</xdr:row>
      <xdr:rowOff>57785</xdr:rowOff>
    </xdr:from>
    <xdr:to>
      <xdr:col>16</xdr:col>
      <xdr:colOff>31115</xdr:colOff>
      <xdr:row>6</xdr:row>
      <xdr:rowOff>76835</xdr:rowOff>
    </xdr:to>
    <xdr:sp macro="[1]!asht4">
      <xdr:nvSpPr>
        <xdr:cNvPr id="12" name="圆角矩形 3">
          <a:hlinkClick xmlns:r="http://schemas.openxmlformats.org/officeDocument/2006/relationships" r:id="rId6"/>
        </xdr:cNvPr>
        <xdr:cNvSpPr/>
      </xdr:nvSpPr>
      <xdr:spPr>
        <a:xfrm>
          <a:off x="301053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3</xdr:row>
      <xdr:rowOff>57785</xdr:rowOff>
    </xdr:from>
    <xdr:to>
      <xdr:col>27</xdr:col>
      <xdr:colOff>160655</xdr:colOff>
      <xdr:row>6</xdr:row>
      <xdr:rowOff>76835</xdr:rowOff>
    </xdr:to>
    <xdr:sp macro="[1]!asht5">
      <xdr:nvSpPr>
        <xdr:cNvPr id="13" name="圆角矩形 7">
          <a:hlinkClick xmlns:r="http://schemas.openxmlformats.org/officeDocument/2006/relationships" r:id="rId7"/>
        </xdr:cNvPr>
        <xdr:cNvSpPr/>
      </xdr:nvSpPr>
      <xdr:spPr>
        <a:xfrm>
          <a:off x="61785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3</xdr:row>
      <xdr:rowOff>57785</xdr:rowOff>
    </xdr:from>
    <xdr:to>
      <xdr:col>33</xdr:col>
      <xdr:colOff>40005</xdr:colOff>
      <xdr:row>6</xdr:row>
      <xdr:rowOff>76835</xdr:rowOff>
    </xdr:to>
    <xdr:sp macro="[1]!asht6">
      <xdr:nvSpPr>
        <xdr:cNvPr id="14" name="圆角矩形 13">
          <a:hlinkClick xmlns:r="http://schemas.openxmlformats.org/officeDocument/2006/relationships" r:id="rId8"/>
        </xdr:cNvPr>
        <xdr:cNvSpPr/>
      </xdr:nvSpPr>
      <xdr:spPr>
        <a:xfrm>
          <a:off x="77152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3</xdr:row>
      <xdr:rowOff>57785</xdr:rowOff>
    </xdr:from>
    <xdr:to>
      <xdr:col>38</xdr:col>
      <xdr:colOff>268605</xdr:colOff>
      <xdr:row>6</xdr:row>
      <xdr:rowOff>76835</xdr:rowOff>
    </xdr:to>
    <xdr:sp macro="[1]!asht7">
      <xdr:nvSpPr>
        <xdr:cNvPr id="15" name="圆角矩形 15">
          <a:hlinkClick xmlns:r="http://schemas.openxmlformats.org/officeDocument/2006/relationships" r:id="rId9"/>
        </xdr:cNvPr>
        <xdr:cNvSpPr/>
      </xdr:nvSpPr>
      <xdr:spPr>
        <a:xfrm>
          <a:off x="932497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10</xdr:row>
      <xdr:rowOff>60960</xdr:rowOff>
    </xdr:from>
    <xdr:to>
      <xdr:col>16</xdr:col>
      <xdr:colOff>31115</xdr:colOff>
      <xdr:row>13</xdr:row>
      <xdr:rowOff>80010</xdr:rowOff>
    </xdr:to>
    <xdr:sp macro="[1]!asht12">
      <xdr:nvSpPr>
        <xdr:cNvPr id="16" name="圆角矩形 15">
          <a:hlinkClick xmlns:r="http://schemas.openxmlformats.org/officeDocument/2006/relationships" r:id="rId10"/>
        </xdr:cNvPr>
        <xdr:cNvSpPr/>
      </xdr:nvSpPr>
      <xdr:spPr>
        <a:xfrm>
          <a:off x="301053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10</xdr:row>
      <xdr:rowOff>60960</xdr:rowOff>
    </xdr:from>
    <xdr:to>
      <xdr:col>21</xdr:col>
      <xdr:colOff>243205</xdr:colOff>
      <xdr:row>13</xdr:row>
      <xdr:rowOff>80010</xdr:rowOff>
    </xdr:to>
    <xdr:sp macro="[1]!asht13">
      <xdr:nvSpPr>
        <xdr:cNvPr id="17" name="圆角矩形 8">
          <a:hlinkClick xmlns:r="http://schemas.openxmlformats.org/officeDocument/2006/relationships" r:id="rId11"/>
        </xdr:cNvPr>
        <xdr:cNvSpPr/>
      </xdr:nvSpPr>
      <xdr:spPr>
        <a:xfrm>
          <a:off x="46037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3</xdr:row>
      <xdr:rowOff>57785</xdr:rowOff>
    </xdr:from>
    <xdr:to>
      <xdr:col>21</xdr:col>
      <xdr:colOff>243205</xdr:colOff>
      <xdr:row>6</xdr:row>
      <xdr:rowOff>76835</xdr:rowOff>
    </xdr:to>
    <xdr:sp macro="[1]!asht14">
      <xdr:nvSpPr>
        <xdr:cNvPr id="18" name="圆角矩形 3">
          <a:hlinkClick xmlns:r="http://schemas.openxmlformats.org/officeDocument/2006/relationships" r:id="rId12"/>
        </xdr:cNvPr>
        <xdr:cNvSpPr/>
      </xdr:nvSpPr>
      <xdr:spPr>
        <a:xfrm>
          <a:off x="46037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10</xdr:row>
      <xdr:rowOff>60960</xdr:rowOff>
    </xdr:from>
    <xdr:to>
      <xdr:col>27</xdr:col>
      <xdr:colOff>160655</xdr:colOff>
      <xdr:row>13</xdr:row>
      <xdr:rowOff>80010</xdr:rowOff>
    </xdr:to>
    <xdr:sp macro="[1]!asht18">
      <xdr:nvSpPr>
        <xdr:cNvPr id="19" name="圆角矩形 8">
          <a:hlinkClick xmlns:r="http://schemas.openxmlformats.org/officeDocument/2006/relationships" r:id="rId13"/>
        </xdr:cNvPr>
        <xdr:cNvSpPr/>
      </xdr:nvSpPr>
      <xdr:spPr>
        <a:xfrm>
          <a:off x="61785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6</xdr:row>
      <xdr:rowOff>165735</xdr:rowOff>
    </xdr:from>
    <xdr:to>
      <xdr:col>21</xdr:col>
      <xdr:colOff>243205</xdr:colOff>
      <xdr:row>9</xdr:row>
      <xdr:rowOff>184785</xdr:rowOff>
    </xdr:to>
    <xdr:sp macro="[1]!asht15">
      <xdr:nvSpPr>
        <xdr:cNvPr id="20" name="圆角矩形 19">
          <a:hlinkClick xmlns:r="http://schemas.openxmlformats.org/officeDocument/2006/relationships" r:id="rId14"/>
        </xdr:cNvPr>
        <xdr:cNvSpPr/>
      </xdr:nvSpPr>
      <xdr:spPr>
        <a:xfrm>
          <a:off x="4603750" y="1468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10</xdr:row>
      <xdr:rowOff>60960</xdr:rowOff>
    </xdr:from>
    <xdr:to>
      <xdr:col>33</xdr:col>
      <xdr:colOff>40005</xdr:colOff>
      <xdr:row>13</xdr:row>
      <xdr:rowOff>80010</xdr:rowOff>
    </xdr:to>
    <xdr:sp macro="[1]!asht13">
      <xdr:nvSpPr>
        <xdr:cNvPr id="21" name="圆角矩形 8">
          <a:hlinkClick xmlns:r="http://schemas.openxmlformats.org/officeDocument/2006/relationships" r:id="rId15"/>
        </xdr:cNvPr>
        <xdr:cNvSpPr/>
      </xdr:nvSpPr>
      <xdr:spPr>
        <a:xfrm>
          <a:off x="77152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10</xdr:row>
      <xdr:rowOff>60960</xdr:rowOff>
    </xdr:from>
    <xdr:to>
      <xdr:col>38</xdr:col>
      <xdr:colOff>268605</xdr:colOff>
      <xdr:row>13</xdr:row>
      <xdr:rowOff>80010</xdr:rowOff>
    </xdr:to>
    <xdr:sp macro="[1]!asht18">
      <xdr:nvSpPr>
        <xdr:cNvPr id="22" name="圆角矩形 8">
          <a:hlinkClick xmlns:r="http://schemas.openxmlformats.org/officeDocument/2006/relationships" r:id="rId16"/>
        </xdr:cNvPr>
        <xdr:cNvSpPr/>
      </xdr:nvSpPr>
      <xdr:spPr>
        <a:xfrm>
          <a:off x="932497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13</xdr:row>
      <xdr:rowOff>156845</xdr:rowOff>
    </xdr:from>
    <xdr:to>
      <xdr:col>16</xdr:col>
      <xdr:colOff>31115</xdr:colOff>
      <xdr:row>16</xdr:row>
      <xdr:rowOff>175895</xdr:rowOff>
    </xdr:to>
    <xdr:sp macro="[1]!asht13">
      <xdr:nvSpPr>
        <xdr:cNvPr id="24" name="圆角矩形 8">
          <a:hlinkClick xmlns:r="http://schemas.openxmlformats.org/officeDocument/2006/relationships" r:id="rId17"/>
        </xdr:cNvPr>
        <xdr:cNvSpPr/>
      </xdr:nvSpPr>
      <xdr:spPr>
        <a:xfrm>
          <a:off x="301053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184150</xdr:colOff>
      <xdr:row>13</xdr:row>
      <xdr:rowOff>156845</xdr:rowOff>
    </xdr:from>
    <xdr:to>
      <xdr:col>21</xdr:col>
      <xdr:colOff>243205</xdr:colOff>
      <xdr:row>16</xdr:row>
      <xdr:rowOff>175895</xdr:rowOff>
    </xdr:to>
    <xdr:sp macro="[1]!asht18">
      <xdr:nvSpPr>
        <xdr:cNvPr id="26" name="圆角矩形 8">
          <a:hlinkClick xmlns:r="http://schemas.openxmlformats.org/officeDocument/2006/relationships" r:id="rId18"/>
        </xdr:cNvPr>
        <xdr:cNvSpPr/>
      </xdr:nvSpPr>
      <xdr:spPr>
        <a:xfrm>
          <a:off x="46037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13</xdr:row>
      <xdr:rowOff>156845</xdr:rowOff>
    </xdr:from>
    <xdr:to>
      <xdr:col>27</xdr:col>
      <xdr:colOff>160655</xdr:colOff>
      <xdr:row>16</xdr:row>
      <xdr:rowOff>175895</xdr:rowOff>
    </xdr:to>
    <xdr:sp macro="[1]!asht13">
      <xdr:nvSpPr>
        <xdr:cNvPr id="32" name="圆角矩形 8">
          <a:hlinkClick xmlns:r="http://schemas.openxmlformats.org/officeDocument/2006/relationships" r:id="rId19"/>
        </xdr:cNvPr>
        <xdr:cNvSpPr/>
      </xdr:nvSpPr>
      <xdr:spPr>
        <a:xfrm>
          <a:off x="61785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13</xdr:row>
      <xdr:rowOff>156845</xdr:rowOff>
    </xdr:from>
    <xdr:to>
      <xdr:col>33</xdr:col>
      <xdr:colOff>40005</xdr:colOff>
      <xdr:row>16</xdr:row>
      <xdr:rowOff>175895</xdr:rowOff>
    </xdr:to>
    <xdr:sp macro="[1]!asht18">
      <xdr:nvSpPr>
        <xdr:cNvPr id="40" name="圆角矩形 8">
          <a:hlinkClick xmlns:r="http://schemas.openxmlformats.org/officeDocument/2006/relationships" r:id="rId20"/>
        </xdr:cNvPr>
        <xdr:cNvSpPr/>
      </xdr:nvSpPr>
      <xdr:spPr>
        <a:xfrm>
          <a:off x="77152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17</xdr:row>
      <xdr:rowOff>50165</xdr:rowOff>
    </xdr:from>
    <xdr:to>
      <xdr:col>16</xdr:col>
      <xdr:colOff>31115</xdr:colOff>
      <xdr:row>20</xdr:row>
      <xdr:rowOff>69215</xdr:rowOff>
    </xdr:to>
    <xdr:sp macro="[1]!asht13">
      <xdr:nvSpPr>
        <xdr:cNvPr id="41" name="圆角矩形 8">
          <a:hlinkClick xmlns:r="http://schemas.openxmlformats.org/officeDocument/2006/relationships" r:id="rId21"/>
        </xdr:cNvPr>
        <xdr:cNvSpPr/>
      </xdr:nvSpPr>
      <xdr:spPr>
        <a:xfrm>
          <a:off x="301053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13</xdr:row>
      <xdr:rowOff>156845</xdr:rowOff>
    </xdr:from>
    <xdr:to>
      <xdr:col>38</xdr:col>
      <xdr:colOff>268605</xdr:colOff>
      <xdr:row>16</xdr:row>
      <xdr:rowOff>175895</xdr:rowOff>
    </xdr:to>
    <xdr:sp macro="[1]!asht18">
      <xdr:nvSpPr>
        <xdr:cNvPr id="42" name="圆角矩形 8">
          <a:hlinkClick xmlns:r="http://schemas.openxmlformats.org/officeDocument/2006/relationships" r:id="rId22"/>
        </xdr:cNvPr>
        <xdr:cNvSpPr/>
      </xdr:nvSpPr>
      <xdr:spPr>
        <a:xfrm>
          <a:off x="932497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17</xdr:row>
      <xdr:rowOff>50165</xdr:rowOff>
    </xdr:from>
    <xdr:to>
      <xdr:col>21</xdr:col>
      <xdr:colOff>243205</xdr:colOff>
      <xdr:row>20</xdr:row>
      <xdr:rowOff>69215</xdr:rowOff>
    </xdr:to>
    <xdr:sp macro="[1]!asht13">
      <xdr:nvSpPr>
        <xdr:cNvPr id="43" name="圆角矩形 8">
          <a:hlinkClick xmlns:r="http://schemas.openxmlformats.org/officeDocument/2006/relationships" r:id="rId23"/>
        </xdr:cNvPr>
        <xdr:cNvSpPr/>
      </xdr:nvSpPr>
      <xdr:spPr>
        <a:xfrm>
          <a:off x="46037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17</xdr:row>
      <xdr:rowOff>50165</xdr:rowOff>
    </xdr:from>
    <xdr:to>
      <xdr:col>27</xdr:col>
      <xdr:colOff>160655</xdr:colOff>
      <xdr:row>20</xdr:row>
      <xdr:rowOff>69215</xdr:rowOff>
    </xdr:to>
    <xdr:sp macro="[1]!asht18">
      <xdr:nvSpPr>
        <xdr:cNvPr id="44" name="圆角矩形 8">
          <a:hlinkClick xmlns:r="http://schemas.openxmlformats.org/officeDocument/2006/relationships" r:id="rId24"/>
        </xdr:cNvPr>
        <xdr:cNvSpPr/>
      </xdr:nvSpPr>
      <xdr:spPr>
        <a:xfrm>
          <a:off x="61785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17</xdr:row>
      <xdr:rowOff>50165</xdr:rowOff>
    </xdr:from>
    <xdr:to>
      <xdr:col>33</xdr:col>
      <xdr:colOff>40005</xdr:colOff>
      <xdr:row>20</xdr:row>
      <xdr:rowOff>69215</xdr:rowOff>
    </xdr:to>
    <xdr:sp macro="[1]!asht13">
      <xdr:nvSpPr>
        <xdr:cNvPr id="45" name="圆角矩形 8">
          <a:hlinkClick xmlns:r="http://schemas.openxmlformats.org/officeDocument/2006/relationships" r:id="rId25"/>
        </xdr:cNvPr>
        <xdr:cNvSpPr/>
      </xdr:nvSpPr>
      <xdr:spPr>
        <a:xfrm>
          <a:off x="77152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17</xdr:row>
      <xdr:rowOff>50165</xdr:rowOff>
    </xdr:from>
    <xdr:to>
      <xdr:col>38</xdr:col>
      <xdr:colOff>268605</xdr:colOff>
      <xdr:row>20</xdr:row>
      <xdr:rowOff>69215</xdr:rowOff>
    </xdr:to>
    <xdr:sp macro="[1]!asht18">
      <xdr:nvSpPr>
        <xdr:cNvPr id="46" name="圆角矩形 8">
          <a:hlinkClick xmlns:r="http://schemas.openxmlformats.org/officeDocument/2006/relationships" r:id="rId26"/>
        </xdr:cNvPr>
        <xdr:cNvSpPr/>
      </xdr:nvSpPr>
      <xdr:spPr>
        <a:xfrm>
          <a:off x="932497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297815</xdr:colOff>
      <xdr:row>0</xdr:row>
      <xdr:rowOff>85725</xdr:rowOff>
    </xdr:from>
    <xdr:to>
      <xdr:col>7</xdr:col>
      <xdr:colOff>996315</xdr:colOff>
      <xdr:row>0</xdr:row>
      <xdr:rowOff>600710</xdr:rowOff>
    </xdr:to>
    <xdr:sp macro="[0]!up">
      <xdr:nvSpPr>
        <xdr:cNvPr id="3" name="nextPage"/>
        <xdr:cNvSpPr/>
      </xdr:nvSpPr>
      <xdr:spPr>
        <a:xfrm>
          <a:off x="7793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7</xdr:col>
      <xdr:colOff>1183640</xdr:colOff>
      <xdr:row>0</xdr:row>
      <xdr:rowOff>159385</xdr:rowOff>
    </xdr:from>
    <xdr:to>
      <xdr:col>10</xdr:col>
      <xdr:colOff>228600</xdr:colOff>
      <xdr:row>0</xdr:row>
      <xdr:rowOff>565785</xdr:rowOff>
    </xdr:to>
    <xdr:sp macro="[0]!OpenWebPage">
      <xdr:nvSpPr>
        <xdr:cNvPr id="10" name="圆角矩形 13"/>
        <xdr:cNvSpPr/>
      </xdr:nvSpPr>
      <xdr:spPr>
        <a:xfrm>
          <a:off x="8679815" y="159385"/>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使用说明</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19">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4"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1]!asht18">
      <xdr:nvSpPr>
        <xdr:cNvPr id="2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1]!asht18">
      <xdr:nvSpPr>
        <xdr:cNvPr id="2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1]!asht18">
      <xdr:nvSpPr>
        <xdr:cNvPr id="2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1]!asht18">
      <xdr:nvSpPr>
        <xdr:cNvPr id="2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1]!asht18">
      <xdr:nvSpPr>
        <xdr:cNvPr id="2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1]!asht18">
      <xdr:nvSpPr>
        <xdr:cNvPr id="2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1]!asht18">
      <xdr:nvSpPr>
        <xdr:cNvPr id="2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1]!asht18">
      <xdr:nvSpPr>
        <xdr:cNvPr id="3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1]!asht18">
      <xdr:nvSpPr>
        <xdr:cNvPr id="3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1]!asht18">
      <xdr:nvSpPr>
        <xdr:cNvPr id="3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1]!asht18">
      <xdr:nvSpPr>
        <xdr:cNvPr id="3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1]!asht18">
      <xdr:nvSpPr>
        <xdr:cNvPr id="3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1]!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1]!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1]!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1]!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1]!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1]!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1]!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1]!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1]!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1]!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1]!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1]!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1]!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1]!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1]!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1]!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1]!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1]!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1]!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1]!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1]!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1]!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1]!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1]!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1]!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1]!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1]!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1]!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1]!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1]!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1]!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1]!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1]!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1]!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1]!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1]!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1]!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1]!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1]!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1]!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1]!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1]!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1]!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1]!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1]!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1]!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1]!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1]!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6"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1]!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1]!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1]!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1]!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1]!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1]!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1]!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1]!asht6">
      <xdr:nvSpPr>
        <xdr:cNvPr id="14"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1]!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1]!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1]!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1]!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1]!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1]!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1]!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1]!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1]!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5" name="圆角矩形 24"/>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6" name="圆角矩形 25"/>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1]!asht18">
      <xdr:nvSpPr>
        <xdr:cNvPr id="27"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1]!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1]!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1]!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1]!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1]!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1]!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1]!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1]!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1]!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1]!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1]!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133350</xdr:colOff>
      <xdr:row>1</xdr:row>
      <xdr:rowOff>12700</xdr:rowOff>
    </xdr:from>
    <xdr:to>
      <xdr:col>2</xdr:col>
      <xdr:colOff>1200150</xdr:colOff>
      <xdr:row>1</xdr:row>
      <xdr:rowOff>403225</xdr:rowOff>
    </xdr:to>
    <xdr:sp macro="[1]!print_out">
      <xdr:nvSpPr>
        <xdr:cNvPr id="3" name="圆角矩形 2"/>
        <xdr:cNvSpPr/>
      </xdr:nvSpPr>
      <xdr:spPr>
        <a:xfrm>
          <a:off x="742950" y="7747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1]!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1]!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1]!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1]!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1]!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1]!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1]!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1]!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1]!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1]!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1]!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1]!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1]!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1]!asht18">
      <xdr:nvSpPr>
        <xdr:cNvPr id="2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1]!asht18">
      <xdr:nvSpPr>
        <xdr:cNvPr id="2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1]!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1]!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1]!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1]!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1]!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1]!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1]!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1]!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1]!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1]!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3"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3" name="图表 22"/>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1]!asht18">
      <xdr:nvSpPr>
        <xdr:cNvPr id="25"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1]!asht18">
      <xdr:nvSpPr>
        <xdr:cNvPr id="26"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1]!asht18">
      <xdr:nvSpPr>
        <xdr:cNvPr id="27"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1]!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1]!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1]!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1]!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1]!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1]!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1]!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1]!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1]!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1]!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1]!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1]!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1]!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1]!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1]!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1]!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1]!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1]!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1]!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1]!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1]!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1]!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1]!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1]!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1]!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1]!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1]!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1]!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1]!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1]!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1]!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1]!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1]!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1]!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1]!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1]!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1]!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1]!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1]!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1]!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1]!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1]!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1]!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1]!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1]!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1219200</xdr:colOff>
      <xdr:row>1</xdr:row>
      <xdr:rowOff>50800</xdr:rowOff>
    </xdr:from>
    <xdr:to>
      <xdr:col>4</xdr:col>
      <xdr:colOff>1000125</xdr:colOff>
      <xdr:row>1</xdr:row>
      <xdr:rowOff>441325</xdr:rowOff>
    </xdr:to>
    <xdr:sp macro="[0]!print_out1">
      <xdr:nvSpPr>
        <xdr:cNvPr id="21" name="圆角矩形 20"/>
        <xdr:cNvSpPr/>
      </xdr:nvSpPr>
      <xdr:spPr>
        <a:xfrm>
          <a:off x="1828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1158875</xdr:colOff>
      <xdr:row>1</xdr:row>
      <xdr:rowOff>28575</xdr:rowOff>
    </xdr:from>
    <xdr:to>
      <xdr:col>11</xdr:col>
      <xdr:colOff>1082040</xdr:colOff>
      <xdr:row>1</xdr:row>
      <xdr:rowOff>419100</xdr:rowOff>
    </xdr:to>
    <xdr:sp macro="[0]!shanchu_09">
      <xdr:nvSpPr>
        <xdr:cNvPr id="3" name="圆角矩形 2"/>
        <xdr:cNvSpPr/>
      </xdr:nvSpPr>
      <xdr:spPr>
        <a:xfrm>
          <a:off x="10769600" y="790575"/>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1143000</xdr:colOff>
      <xdr:row>1</xdr:row>
      <xdr:rowOff>41275</xdr:rowOff>
    </xdr:from>
    <xdr:to>
      <xdr:col>10</xdr:col>
      <xdr:colOff>1066165</xdr:colOff>
      <xdr:row>1</xdr:row>
      <xdr:rowOff>431800</xdr:rowOff>
    </xdr:to>
    <xdr:sp macro="[0]!shangchuan_09">
      <xdr:nvSpPr>
        <xdr:cNvPr id="4" name="圆角矩形 3"/>
        <xdr:cNvSpPr/>
      </xdr:nvSpPr>
      <xdr:spPr>
        <a:xfrm>
          <a:off x="9467850" y="803275"/>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21">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21">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5"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1]!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1]!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1]!asht4">
      <xdr:nvSpPr>
        <xdr:cNvPr id="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1]!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1]!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1]!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1]!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1]!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1]!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1]!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1]!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1]!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1]!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1]!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1]!asht12">
      <xdr:nvSpPr>
        <xdr:cNvPr id="21"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1]!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1]!asht18">
      <xdr:nvSpPr>
        <xdr:cNvPr id="23"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1]!asht18">
      <xdr:nvSpPr>
        <xdr:cNvPr id="24"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1]!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1]!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1]!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1]!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1]!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1]!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1]!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1]!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1]!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1]!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1]!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20</xdr:col>
      <xdr:colOff>522605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10</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248285</xdr:colOff>
      <xdr:row>0</xdr:row>
      <xdr:rowOff>203200</xdr:rowOff>
    </xdr:from>
    <xdr:to>
      <xdr:col>11</xdr:col>
      <xdr:colOff>549275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588645</xdr:colOff>
      <xdr:row>0</xdr:row>
      <xdr:rowOff>203200</xdr:rowOff>
    </xdr:from>
    <xdr:to>
      <xdr:col>13</xdr:col>
      <xdr:colOff>32385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71755</xdr:colOff>
      <xdr:row>0</xdr:row>
      <xdr:rowOff>203200</xdr:rowOff>
    </xdr:from>
    <xdr:to>
      <xdr:col>14</xdr:col>
      <xdr:colOff>203835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243205</xdr:colOff>
      <xdr:row>0</xdr:row>
      <xdr:rowOff>203200</xdr:rowOff>
    </xdr:from>
    <xdr:to>
      <xdr:col>15</xdr:col>
      <xdr:colOff>375285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414655</xdr:colOff>
      <xdr:row>0</xdr:row>
      <xdr:rowOff>203200</xdr:rowOff>
    </xdr:from>
    <xdr:to>
      <xdr:col>16</xdr:col>
      <xdr:colOff>546735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71755</xdr:colOff>
      <xdr:row>0</xdr:row>
      <xdr:rowOff>203200</xdr:rowOff>
    </xdr:from>
    <xdr:to>
      <xdr:col>19</xdr:col>
      <xdr:colOff>203835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243205</xdr:colOff>
      <xdr:row>0</xdr:row>
      <xdr:rowOff>203200</xdr:rowOff>
    </xdr:from>
    <xdr:to>
      <xdr:col>20</xdr:col>
      <xdr:colOff>375285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19</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16</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671830</xdr:colOff>
      <xdr:row>0</xdr:row>
      <xdr:rowOff>203200</xdr:rowOff>
    </xdr:from>
    <xdr:to>
      <xdr:col>18</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157480</xdr:colOff>
      <xdr:row>0</xdr:row>
      <xdr:rowOff>203200</xdr:rowOff>
    </xdr:from>
    <xdr:to>
      <xdr:col>19</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2"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ministrator.SC-201910250949\AppData\Roaming\kingsoft\office6\backup\&#36827;&#38144;&#23384;&#31995;&#32479;mysql_&#21103;&#2641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首页"/>
      <sheetName val="说明书"/>
      <sheetName val="加密"/>
      <sheetName val="入库"/>
      <sheetName val="出库"/>
      <sheetName val="入库单"/>
      <sheetName val="出库单"/>
      <sheetName val="期初数"/>
      <sheetName val="明细"/>
      <sheetName val="进销存"/>
      <sheetName val="商品进出查询"/>
      <sheetName val="客户|供应商查询"/>
      <sheetName val="基础资料"/>
      <sheetName val="客户资料"/>
      <sheetName val="供应商资料"/>
      <sheetName val="笔记"/>
      <sheetName val="用户管理"/>
      <sheetName val="二维码打印"/>
    </sheetNames>
    <definedNames>
      <definedName name="asht10"/>
      <definedName name="asht11"/>
      <definedName name="asht8"/>
      <definedName name="asht9"/>
      <definedName name="asht4"/>
      <definedName name="asht5"/>
      <definedName name="asht6"/>
      <definedName name="asht7"/>
      <definedName name="asht12"/>
      <definedName name="asht13"/>
      <definedName name="asht14"/>
      <definedName name="asht18"/>
      <definedName name="asht15"/>
      <definedName name="asht1"/>
      <definedName name="asht2"/>
      <definedName name="asht16"/>
      <definedName name="asht17"/>
      <definedName name="print_ou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A4" workbookViewId="0">
      <selection activeCell="AP16" sqref="AP16"/>
    </sheetView>
  </sheetViews>
  <sheetFormatPr defaultColWidth="3.625" defaultRowHeight="17.1" customHeight="1"/>
  <cols>
    <col min="1" max="1" width="3.625" style="95" customWidth="1"/>
    <col min="2" max="16384" width="3.625" style="95"/>
  </cols>
  <sheetData>
    <row r="4" customHeight="1" spans="1:42">
      <c r="A4" s="96"/>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row>
    <row r="5" customHeight="1" spans="1:42">
      <c r="A5" s="96"/>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c r="AF5" s="96"/>
      <c r="AG5" s="96"/>
      <c r="AH5" s="96"/>
      <c r="AI5" s="96"/>
      <c r="AJ5" s="96"/>
      <c r="AK5" s="96"/>
      <c r="AL5" s="96"/>
      <c r="AM5" s="96"/>
      <c r="AN5" s="96"/>
      <c r="AO5" s="96"/>
      <c r="AP5" s="96"/>
    </row>
    <row r="6" customHeight="1" spans="1:42">
      <c r="A6" s="97"/>
      <c r="B6" s="97"/>
      <c r="C6" s="97"/>
      <c r="D6" s="97"/>
      <c r="E6" s="97"/>
      <c r="F6" s="97"/>
      <c r="G6" s="97"/>
      <c r="H6" s="98"/>
      <c r="I6" s="98"/>
      <c r="J6" s="98"/>
      <c r="K6" s="98"/>
      <c r="L6" s="98"/>
      <c r="M6" s="98"/>
      <c r="N6" s="98"/>
      <c r="O6" s="98"/>
      <c r="P6" s="98"/>
      <c r="Q6" s="98"/>
      <c r="R6" s="97"/>
      <c r="S6" s="97"/>
      <c r="T6" s="97"/>
      <c r="U6" s="97"/>
      <c r="V6" s="97"/>
      <c r="W6" s="97"/>
      <c r="X6" s="97"/>
      <c r="Y6" s="97"/>
      <c r="Z6" s="97"/>
      <c r="AA6" s="97"/>
      <c r="AB6" s="97"/>
      <c r="AC6" s="97"/>
      <c r="AD6" s="97"/>
      <c r="AE6" s="97"/>
      <c r="AF6" s="97"/>
      <c r="AG6" s="97"/>
      <c r="AH6" s="97"/>
      <c r="AI6" s="97"/>
      <c r="AJ6" s="97"/>
      <c r="AK6" s="97"/>
      <c r="AL6" s="97"/>
      <c r="AM6" s="97"/>
      <c r="AN6" s="97"/>
      <c r="AO6" s="97"/>
      <c r="AP6" s="97"/>
    </row>
    <row r="7" customHeight="1" spans="1:42">
      <c r="E7" s="99"/>
      <c r="F7" s="99"/>
      <c r="G7" s="99"/>
      <c r="H7" s="100"/>
      <c r="I7" s="100"/>
      <c r="J7" s="100"/>
      <c r="K7" s="100"/>
      <c r="L7" s="100"/>
      <c r="M7" s="100"/>
      <c r="N7" s="101"/>
      <c r="O7" s="101"/>
      <c r="P7" s="101"/>
      <c r="Q7" s="101"/>
      <c r="T7" s="101"/>
      <c r="U7" s="101"/>
      <c r="V7" s="101"/>
      <c r="W7" s="101"/>
    </row>
    <row r="8" customHeight="1" spans="1:42">
      <c r="H8" s="101"/>
      <c r="I8" s="101"/>
      <c r="J8" s="101"/>
      <c r="K8" s="101"/>
      <c r="L8" s="101"/>
      <c r="M8" s="101"/>
      <c r="N8" s="101"/>
      <c r="O8" s="101"/>
      <c r="P8" s="101"/>
      <c r="Q8" s="101"/>
      <c r="T8" s="101"/>
      <c r="U8" s="101"/>
      <c r="V8" s="101"/>
      <c r="W8" s="101"/>
    </row>
    <row r="9" customHeight="1" spans="1:42">
      <c r="H9" s="101"/>
      <c r="I9" s="101"/>
      <c r="J9" s="101"/>
      <c r="K9" s="101"/>
      <c r="L9" s="101"/>
      <c r="M9" s="101"/>
      <c r="N9" s="101"/>
      <c r="O9" s="101"/>
      <c r="P9" s="101"/>
      <c r="Q9" s="101"/>
      <c r="R9" s="101"/>
      <c r="S9" s="101"/>
      <c r="T9" s="101"/>
      <c r="U9" s="101"/>
      <c r="V9" s="101"/>
      <c r="W9" s="101"/>
    </row>
    <row r="10" customHeight="1" spans="1:42">
      <c r="Q10" s="101"/>
      <c r="R10" s="101"/>
      <c r="S10" s="101"/>
      <c r="T10" s="101"/>
      <c r="U10" s="101"/>
      <c r="V10" s="101"/>
      <c r="W10" s="101"/>
    </row>
    <row r="11" customHeight="1" spans="1:42">
      <c r="Q11" s="101"/>
      <c r="R11" s="101"/>
      <c r="S11" s="101"/>
      <c r="T11" s="101"/>
      <c r="U11" s="101"/>
      <c r="V11" s="101"/>
      <c r="W11" s="101"/>
    </row>
    <row r="12" customHeight="1" spans="1:42">
      <c r="Q12" s="101"/>
      <c r="R12" s="101"/>
      <c r="S12" s="101"/>
      <c r="T12" s="101"/>
      <c r="U12" s="101"/>
      <c r="V12" s="101"/>
      <c r="W12" s="101"/>
    </row>
    <row r="13" customHeight="1" spans="1:42">
      <c r="Q13" s="101"/>
      <c r="R13" s="101"/>
      <c r="S13" s="101"/>
      <c r="T13" s="101"/>
      <c r="U13" s="101"/>
      <c r="V13" s="101"/>
      <c r="W13" s="101"/>
    </row>
  </sheetData>
  <sheetProtection algorithmName="SHA-512" hashValue="yTI5aD1kuAKbBHig0wo0/ZZmEOoVnCGRtTB9yc5jmNZarfWsEo3FU1UD41AC6BbmOqOV6fmltHcGhyvApHJk3A==" saltValue="hMVfJHf6WNCYEtvl4onu0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F11" sqref="F11"/>
    </sheetView>
  </sheetViews>
  <sheetFormatPr defaultColWidth="9" defaultRowHeight="21.95" customHeight="1"/>
  <cols>
    <col min="1" max="1" width="1.625" style="77" customWidth="1"/>
    <col min="2" max="2" width="2.625" style="78" customWidth="1"/>
    <col min="3" max="3" width="15.25" style="79" customWidth="1"/>
    <col min="4" max="4" width="19.125" style="80" customWidth="1"/>
    <col min="5" max="5" width="10.5" style="80" customWidth="1"/>
    <col min="6" max="8" width="24.625" style="80" customWidth="1"/>
    <col min="9" max="9" width="2.625" style="78" customWidth="1"/>
    <col min="10" max="10" width="4.25" style="77" customWidth="1"/>
    <col min="11" max="16384" width="9" style="77"/>
  </cols>
  <sheetData>
    <row r="1" s="75" customFormat="1" ht="54.95" customHeight="1" spans="1:10">
      <c r="A1" s="81"/>
      <c r="C1" s="82"/>
      <c r="J1" s="83"/>
    </row>
    <row r="2" ht="15.95" customHeight="1" spans="1:10">
      <c r="B2" s="77"/>
      <c r="C2" s="84"/>
      <c r="D2" s="77"/>
      <c r="E2" s="77"/>
      <c r="F2" s="77"/>
      <c r="G2" s="77"/>
      <c r="H2" s="77"/>
      <c r="I2" s="77"/>
    </row>
    <row r="3" ht="15.95" customHeight="1" spans="1:10">
      <c r="C3" s="85"/>
      <c r="D3" s="78"/>
      <c r="E3" s="78"/>
      <c r="F3" s="78"/>
      <c r="G3" s="78"/>
      <c r="H3" s="78"/>
    </row>
    <row r="4" ht="75.95" customHeight="1" spans="1:10">
      <c r="C4" s="86" t="s">
        <v>0</v>
      </c>
      <c r="D4" s="87"/>
      <c r="E4" s="87"/>
      <c r="F4" s="88">
        <f>D7</f>
        <v>1</v>
      </c>
      <c r="G4" s="89" t="s">
        <v>1</v>
      </c>
      <c r="H4" s="89"/>
    </row>
    <row r="5" ht="6" customHeight="1" spans="1:10">
      <c r="C5" s="90"/>
      <c r="D5" s="87"/>
      <c r="E5" s="87"/>
      <c r="F5" s="91"/>
      <c r="G5" s="91"/>
      <c r="H5" s="91"/>
    </row>
    <row r="6" s="76" customFormat="1" ht="9" customHeight="1" spans="1:10">
      <c r="B6" s="78"/>
      <c r="C6" s="92"/>
      <c r="D6" s="93"/>
      <c r="E6" s="93"/>
      <c r="F6" s="94"/>
      <c r="G6" s="94"/>
      <c r="H6" s="94"/>
      <c r="I6" s="78"/>
    </row>
    <row r="7" hidden="1" customHeight="1" spans="1:10">
      <c r="B7" s="78" t="s">
        <v>2</v>
      </c>
      <c r="D7" s="80">
        <v>1</v>
      </c>
    </row>
    <row r="8" customHeight="1" spans="1:10">
      <c r="C8" s="79" t="s">
        <v>3</v>
      </c>
      <c r="D8" s="80" t="s">
        <v>4</v>
      </c>
    </row>
    <row r="9" customHeight="1" spans="1:10">
      <c r="C9" s="79" t="s">
        <v>5</v>
      </c>
      <c r="D9" s="80" t="s">
        <v>6</v>
      </c>
    </row>
    <row r="18" hidden="1" customHeight="1" spans="3:4">
      <c r="C18" s="79" t="s">
        <v>3</v>
      </c>
      <c r="D18" s="80" t="s">
        <v>7</v>
      </c>
    </row>
    <row r="19" hidden="1" customHeight="1" spans="3:4">
      <c r="C19" s="79" t="s">
        <v>5</v>
      </c>
      <c r="D19" s="80" t="s">
        <v>8</v>
      </c>
    </row>
    <row r="20" hidden="1" customHeight="1" spans="3:4">
      <c r="C20" s="79" t="s">
        <v>9</v>
      </c>
      <c r="D20" s="80" t="s">
        <v>10</v>
      </c>
    </row>
    <row r="21" hidden="1" customHeight="1"/>
    <row r="22" hidden="1" customHeight="1"/>
    <row r="23" hidden="1" customHeight="1"/>
    <row r="24" hidden="1" customHeight="1"/>
    <row r="25" hidden="1" customHeight="1"/>
    <row r="26" hidden="1" customHeight="1"/>
    <row r="27" hidden="1" customHeight="1"/>
    <row r="28" hidden="1" customHeight="1" spans="3:4">
      <c r="C28" s="79" t="s">
        <v>3</v>
      </c>
      <c r="D28" s="80" t="s">
        <v>11</v>
      </c>
    </row>
    <row r="29" hidden="1" customHeight="1" spans="3:4">
      <c r="C29" s="79" t="s">
        <v>5</v>
      </c>
      <c r="D29" s="80" t="s">
        <v>12</v>
      </c>
    </row>
    <row r="30" hidden="1" customHeight="1" spans="3:4">
      <c r="C30" s="79" t="s">
        <v>9</v>
      </c>
      <c r="D30" s="80" t="s">
        <v>10</v>
      </c>
    </row>
    <row r="31" hidden="1" customHeight="1"/>
    <row r="32" hidden="1" customHeight="1"/>
    <row r="33" hidden="1" customHeight="1"/>
    <row r="34" hidden="1" customHeight="1"/>
    <row r="35" hidden="1" customHeight="1"/>
    <row r="36" hidden="1" customHeight="1"/>
    <row r="37" hidden="1" customHeight="1"/>
    <row r="38" hidden="1" customHeight="1" spans="3:4">
      <c r="C38" s="79" t="s">
        <v>3</v>
      </c>
      <c r="D38" s="80" t="s">
        <v>13</v>
      </c>
    </row>
    <row r="39" hidden="1" customHeight="1" spans="3:4">
      <c r="C39" s="79" t="s">
        <v>5</v>
      </c>
      <c r="D39" s="80" t="s">
        <v>14</v>
      </c>
    </row>
    <row r="40" hidden="1" customHeight="1" spans="3:4">
      <c r="C40" s="79" t="s">
        <v>9</v>
      </c>
      <c r="D40" s="80" t="s">
        <v>12</v>
      </c>
    </row>
    <row r="41" hidden="1" customHeight="1"/>
    <row r="42" hidden="1" customHeight="1"/>
    <row r="43" hidden="1" customHeight="1"/>
    <row r="44" hidden="1" customHeight="1"/>
    <row r="45" hidden="1" customHeight="1"/>
    <row r="46" hidden="1" customHeight="1"/>
    <row r="47" hidden="1" customHeight="1"/>
    <row r="48" hidden="1" customHeight="1" spans="3:4">
      <c r="C48" s="79" t="s">
        <v>3</v>
      </c>
      <c r="D48" s="8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79" t="s">
        <v>3</v>
      </c>
      <c r="D58" s="80" t="s">
        <v>16</v>
      </c>
    </row>
    <row r="59" hidden="1" customHeight="1" spans="3:4">
      <c r="D59" s="8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79" t="s">
        <v>3</v>
      </c>
      <c r="D68" s="80" t="s">
        <v>18</v>
      </c>
    </row>
    <row r="69" hidden="1" customHeight="1" spans="3:4">
      <c r="C69" s="79" t="s">
        <v>5</v>
      </c>
      <c r="D69" s="80" t="s">
        <v>19</v>
      </c>
    </row>
    <row r="70" hidden="1" customHeight="1" spans="3:4">
      <c r="C70" s="79" t="s">
        <v>9</v>
      </c>
      <c r="D70" s="80" t="s">
        <v>20</v>
      </c>
    </row>
    <row r="71" hidden="1" customHeight="1" spans="3:4">
      <c r="C71" s="79" t="s">
        <v>21</v>
      </c>
      <c r="D71" s="80" t="s">
        <v>22</v>
      </c>
    </row>
    <row r="72" hidden="1" customHeight="1"/>
    <row r="73" hidden="1" customHeight="1"/>
    <row r="74" hidden="1" customHeight="1"/>
    <row r="75" hidden="1" customHeight="1"/>
    <row r="76" hidden="1" customHeight="1"/>
    <row r="77" hidden="1" customHeight="1"/>
    <row r="78" hidden="1" customHeight="1" spans="3:4">
      <c r="C78" s="7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7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7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sD3k+oXdFS1uYuBARZE1McPXGRHRWhGrdTnfIoD8a3ANN0LaKn4iN8RcLOAxJmMuFJp5M+OIsdkSqOowYok/hg==" saltValue="T1qhJTd0izhYipoHRp3N6A=="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3"/>
  <sheetViews>
    <sheetView workbookViewId="0">
      <selection activeCell="AP16" sqref="AP16"/>
    </sheetView>
  </sheetViews>
  <sheetFormatPr defaultColWidth="9" defaultRowHeight="14.25" outlineLevelRow="2" outlineLevelCol="7"/>
  <cols>
    <col min="1" max="1" width="9.375"/>
    <col min="3" max="3" width="11.875" customWidth="1"/>
  </cols>
  <sheetData>
    <row r="1" spans="1:8">
      <c r="A1" s="74">
        <v>58441</v>
      </c>
      <c r="C1" s="74">
        <v>47848</v>
      </c>
      <c r="D1">
        <v>10000</v>
      </c>
      <c r="E1">
        <v>10</v>
      </c>
      <c r="F1" t="s">
        <v>23</v>
      </c>
      <c r="G1">
        <v>48</v>
      </c>
      <c r="H1">
        <v>920.7392578125</v>
      </c>
    </row>
    <row r="3" spans="1:8">
      <c r="A3" t="s">
        <v>24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H2" s="49"/>
      <c r="I2" s="35" t="s">
        <v>25</v>
      </c>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AP16" sqref="AP16"/>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34</v>
      </c>
      <c r="D4" s="60"/>
      <c r="E4" s="60"/>
      <c r="F4" s="60"/>
      <c r="G4" s="60"/>
      <c r="H4" s="60"/>
      <c r="I4" s="9"/>
    </row>
    <row r="5" s="2" customFormat="1" ht="30" customHeight="1" spans="1:9">
      <c r="B5" s="9"/>
      <c r="C5" s="61" t="s">
        <v>35</v>
      </c>
      <c r="D5" s="62" t="s">
        <v>36</v>
      </c>
      <c r="E5" s="61" t="s">
        <v>37</v>
      </c>
      <c r="F5" s="62" t="s">
        <v>38</v>
      </c>
      <c r="G5" s="61" t="s">
        <v>39</v>
      </c>
      <c r="H5" s="73">
        <v>45205</v>
      </c>
      <c r="I5" s="9"/>
    </row>
    <row r="6" s="2" customFormat="1" ht="30" customHeight="1" spans="1:9">
      <c r="B6" s="9"/>
      <c r="C6" s="65" t="s">
        <v>27</v>
      </c>
      <c r="D6" s="65" t="s">
        <v>28</v>
      </c>
      <c r="E6" s="65" t="s">
        <v>29</v>
      </c>
      <c r="F6" s="65" t="s">
        <v>31</v>
      </c>
      <c r="G6" s="65" t="s">
        <v>40</v>
      </c>
      <c r="H6" s="65" t="s">
        <v>32</v>
      </c>
      <c r="I6" s="9"/>
    </row>
    <row r="7" customHeight="1" spans="1:9">
      <c r="C7" s="66" t="s">
        <v>41</v>
      </c>
      <c r="D7" s="66" t="s">
        <v>42</v>
      </c>
      <c r="E7" s="66" t="s">
        <v>43</v>
      </c>
      <c r="F7" s="66">
        <v>10</v>
      </c>
      <c r="G7" s="66">
        <v>10</v>
      </c>
      <c r="H7" s="66">
        <v>100</v>
      </c>
    </row>
    <row r="8" customHeight="1" spans="1:9">
      <c r="C8" s="66" t="s">
        <v>44</v>
      </c>
      <c r="D8" s="66" t="s">
        <v>45</v>
      </c>
      <c r="E8" s="66" t="s">
        <v>43</v>
      </c>
      <c r="F8" s="66">
        <v>20</v>
      </c>
      <c r="G8" s="66">
        <v>2</v>
      </c>
      <c r="H8" s="66">
        <v>40</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ht="30" customHeight="1" spans="3:8">
      <c r="C19" s="67" t="s">
        <v>46</v>
      </c>
      <c r="D19" s="68">
        <f>G19</f>
        <v>140</v>
      </c>
      <c r="E19" s="68"/>
      <c r="F19" s="67" t="s">
        <v>47</v>
      </c>
      <c r="G19" s="67">
        <f>SUM(H7:H18)</f>
        <v>140</v>
      </c>
      <c r="H19" s="6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I7" sqref="I7"/>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G2" s="35" t="s">
        <v>48</v>
      </c>
      <c r="H2" s="35"/>
      <c r="I2" s="35" t="s">
        <v>25</v>
      </c>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40</v>
      </c>
      <c r="J4" s="44" t="s">
        <v>33</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P16" sqref="AP16"/>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49</v>
      </c>
      <c r="D4" s="60"/>
      <c r="E4" s="60"/>
      <c r="F4" s="60"/>
      <c r="G4" s="60"/>
      <c r="H4" s="60"/>
      <c r="I4" s="9"/>
    </row>
    <row r="5" s="2" customFormat="1" ht="30" customHeight="1" spans="1:9">
      <c r="B5" s="9"/>
      <c r="C5" s="61" t="s">
        <v>35</v>
      </c>
      <c r="D5" s="62">
        <v>123</v>
      </c>
      <c r="E5" s="61" t="s">
        <v>50</v>
      </c>
      <c r="F5" s="62" t="s">
        <v>51</v>
      </c>
      <c r="G5" s="61" t="s">
        <v>52</v>
      </c>
      <c r="H5" s="73">
        <v>45790</v>
      </c>
      <c r="I5" s="9"/>
    </row>
    <row r="6" s="2" customFormat="1" ht="30" customHeight="1" spans="1:9">
      <c r="B6" s="9"/>
      <c r="C6" s="65" t="s">
        <v>27</v>
      </c>
      <c r="D6" s="65" t="s">
        <v>28</v>
      </c>
      <c r="E6" s="65" t="s">
        <v>29</v>
      </c>
      <c r="F6" s="65" t="s">
        <v>31</v>
      </c>
      <c r="G6" s="65" t="s">
        <v>40</v>
      </c>
      <c r="H6" s="65" t="s">
        <v>32</v>
      </c>
      <c r="I6" s="9"/>
    </row>
    <row r="7" s="3" customFormat="1" customHeight="1" spans="1:9">
      <c r="B7" s="4"/>
      <c r="C7" s="66" t="s">
        <v>41</v>
      </c>
      <c r="D7" s="66" t="s">
        <v>42</v>
      </c>
      <c r="E7" s="66" t="s">
        <v>43</v>
      </c>
      <c r="F7" s="66">
        <v>1</v>
      </c>
      <c r="G7" s="66">
        <v>1</v>
      </c>
      <c r="H7" s="66">
        <v>1</v>
      </c>
      <c r="I7" s="4"/>
    </row>
    <row r="8" s="3" customFormat="1" customHeight="1" spans="1:9">
      <c r="B8" s="4"/>
      <c r="C8" s="66"/>
      <c r="D8" s="66"/>
      <c r="E8" s="66"/>
      <c r="F8" s="66"/>
      <c r="G8" s="66"/>
      <c r="H8" s="66"/>
      <c r="I8" s="4"/>
    </row>
    <row r="9" s="3" customFormat="1" customHeight="1" spans="1:9">
      <c r="B9" s="4"/>
      <c r="C9" s="66"/>
      <c r="D9" s="66"/>
      <c r="E9" s="66"/>
      <c r="F9" s="66"/>
      <c r="G9" s="66"/>
      <c r="H9" s="66"/>
      <c r="I9" s="4"/>
    </row>
    <row r="10" s="3" customFormat="1" customHeight="1" spans="1:9">
      <c r="B10" s="4"/>
      <c r="C10" s="66"/>
      <c r="D10" s="66"/>
      <c r="E10" s="66"/>
      <c r="F10" s="66"/>
      <c r="G10" s="66"/>
      <c r="H10" s="66"/>
      <c r="I10" s="4"/>
    </row>
    <row r="11" s="3" customFormat="1" customHeight="1" spans="1:9">
      <c r="B11" s="4"/>
      <c r="C11" s="66"/>
      <c r="D11" s="66"/>
      <c r="E11" s="66"/>
      <c r="F11" s="66"/>
      <c r="G11" s="66"/>
      <c r="H11" s="66"/>
      <c r="I11" s="4"/>
    </row>
    <row r="12" s="3" customFormat="1" customHeight="1" spans="1:9">
      <c r="B12" s="4"/>
      <c r="C12" s="66"/>
      <c r="D12" s="66"/>
      <c r="E12" s="66"/>
      <c r="F12" s="66"/>
      <c r="G12" s="66"/>
      <c r="H12" s="66"/>
      <c r="I12" s="4"/>
    </row>
    <row r="13" s="3" customFormat="1" customHeight="1" spans="1:9">
      <c r="B13" s="4"/>
      <c r="C13" s="66"/>
      <c r="D13" s="66"/>
      <c r="E13" s="66"/>
      <c r="F13" s="66"/>
      <c r="G13" s="66"/>
      <c r="H13" s="66"/>
      <c r="I13" s="4"/>
    </row>
    <row r="14" s="3" customFormat="1" customHeight="1" spans="1:9">
      <c r="B14" s="4"/>
      <c r="C14" s="66"/>
      <c r="D14" s="66"/>
      <c r="E14" s="66"/>
      <c r="F14" s="66"/>
      <c r="G14" s="66"/>
      <c r="H14" s="66"/>
      <c r="I14" s="4"/>
    </row>
    <row r="15" s="3" customFormat="1" customHeight="1" spans="1:9">
      <c r="B15" s="4"/>
      <c r="C15" s="66"/>
      <c r="D15" s="66"/>
      <c r="E15" s="66"/>
      <c r="F15" s="66"/>
      <c r="G15" s="66"/>
      <c r="H15" s="66"/>
      <c r="I15" s="4"/>
    </row>
    <row r="16" s="3" customFormat="1" customHeight="1" spans="1:9">
      <c r="B16" s="4"/>
      <c r="C16" s="66"/>
      <c r="D16" s="66"/>
      <c r="E16" s="66"/>
      <c r="F16" s="66"/>
      <c r="G16" s="66"/>
      <c r="H16" s="66"/>
      <c r="I16" s="4"/>
    </row>
    <row r="17" s="3" customFormat="1" customHeight="1" spans="2:9">
      <c r="B17" s="4"/>
      <c r="C17" s="66"/>
      <c r="D17" s="66"/>
      <c r="E17" s="66"/>
      <c r="F17" s="66"/>
      <c r="G17" s="66"/>
      <c r="H17" s="66"/>
      <c r="I17" s="4"/>
    </row>
    <row r="18" s="3" customFormat="1" customHeight="1" spans="2:9">
      <c r="B18" s="4"/>
      <c r="C18" s="66"/>
      <c r="D18" s="66"/>
      <c r="E18" s="66"/>
      <c r="F18" s="66"/>
      <c r="G18" s="66"/>
      <c r="H18" s="66"/>
      <c r="I18" s="4"/>
    </row>
    <row r="19" s="3" customFormat="1" ht="30" customHeight="1" spans="2:9">
      <c r="B19" s="4"/>
      <c r="C19" s="67" t="s">
        <v>46</v>
      </c>
      <c r="D19" s="68">
        <f>G19</f>
        <v>1</v>
      </c>
      <c r="E19" s="68"/>
      <c r="F19" s="67" t="s">
        <v>47</v>
      </c>
      <c r="G19" s="67">
        <f>SUM(H7:H18)</f>
        <v>1</v>
      </c>
      <c r="H19" s="6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K8"/>
  <sheetViews>
    <sheetView showGridLines="0" workbookViewId="0">
      <pane ySplit="4" topLeftCell="A5" activePane="bottomLeft" state="frozen"/>
      <selection/>
      <selection pane="bottomLeft" activeCell="G7" sqref="G7"/>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41</v>
      </c>
      <c r="E5" s="47" t="s">
        <v>42</v>
      </c>
      <c r="F5" s="47" t="s">
        <v>43</v>
      </c>
      <c r="G5" s="47" t="s">
        <v>54</v>
      </c>
      <c r="J5" s="47">
        <v>3</v>
      </c>
      <c r="K5" s="29"/>
    </row>
    <row r="6" customHeight="1" spans="1:11">
      <c r="C6" s="47">
        <v>2</v>
      </c>
      <c r="D6" s="47" t="s">
        <v>44</v>
      </c>
      <c r="E6" s="47" t="s">
        <v>45</v>
      </c>
      <c r="F6" s="47" t="s">
        <v>43</v>
      </c>
      <c r="G6" s="47" t="s">
        <v>55</v>
      </c>
      <c r="J6" s="47">
        <v>1</v>
      </c>
    </row>
    <row r="7" customHeight="1" spans="1:11">
      <c r="C7" s="47">
        <v>3</v>
      </c>
      <c r="D7" s="47" t="s">
        <v>56</v>
      </c>
      <c r="E7" s="47" t="s">
        <v>57</v>
      </c>
      <c r="F7" s="47" t="s">
        <v>58</v>
      </c>
      <c r="G7" s="47" t="s">
        <v>59</v>
      </c>
      <c r="J7" s="47">
        <v>0</v>
      </c>
    </row>
    <row r="8" customHeight="1" spans="1:11">
      <c r="C8" s="47">
        <v>4</v>
      </c>
      <c r="D8" s="47" t="s">
        <v>60</v>
      </c>
      <c r="E8" s="47">
        <v>2222</v>
      </c>
      <c r="F8" s="47" t="s">
        <v>61</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J8"/>
  <sheetViews>
    <sheetView showGridLines="0" workbookViewId="0">
      <pane ySplit="4" topLeftCell="A5" activePane="bottomLeft" state="frozen"/>
      <selection/>
      <selection pane="bottomLeft" activeCell="H8" sqref="H8"/>
    </sheetView>
  </sheetViews>
  <sheetFormatPr defaultColWidth="9" defaultRowHeight="20.1" customHeight="1" outlineLevelRow="7"/>
  <cols>
    <col min="1" max="1" width="4.625" style="3" customWidth="1"/>
    <col min="2" max="2" width="3.375" style="4" customWidth="1"/>
    <col min="3" max="9" width="16.875" style="47" customWidth="1"/>
    <col min="10" max="10" width="3.375" style="4" customWidth="1"/>
    <col min="11" max="16384" width="9" style="3"/>
  </cols>
  <sheetData>
    <row r="1" s="1" customFormat="1" ht="60" customHeight="1" spans="1:10">
      <c r="A1" s="7"/>
    </row>
    <row r="2" s="2" customFormat="1" ht="39.95" customHeight="1" spans="1:10">
      <c r="C2" s="72" t="s">
        <v>53</v>
      </c>
      <c r="H2" s="49"/>
      <c r="I2" s="35"/>
    </row>
    <row r="3" s="2" customFormat="1" customHeight="1" spans="1:10">
      <c r="B3" s="9"/>
      <c r="C3" s="50"/>
      <c r="D3" s="50"/>
      <c r="E3" s="50"/>
      <c r="F3" s="50"/>
      <c r="G3" s="50"/>
      <c r="H3" s="50"/>
      <c r="I3" s="50"/>
      <c r="J3" s="9"/>
    </row>
    <row r="4" s="2" customFormat="1" ht="30" customHeight="1" spans="1:10">
      <c r="B4" s="9"/>
      <c r="C4" s="44" t="s">
        <v>26</v>
      </c>
      <c r="D4" s="44" t="s">
        <v>27</v>
      </c>
      <c r="E4" s="44" t="s">
        <v>28</v>
      </c>
      <c r="F4" s="44" t="s">
        <v>29</v>
      </c>
      <c r="G4" s="44" t="s">
        <v>30</v>
      </c>
      <c r="H4" s="44" t="s">
        <v>33</v>
      </c>
      <c r="I4" s="44" t="s">
        <v>62</v>
      </c>
      <c r="J4" s="9"/>
    </row>
    <row r="5" customHeight="1" spans="1:10">
      <c r="C5" s="47">
        <v>1</v>
      </c>
      <c r="D5" s="47" t="s">
        <v>41</v>
      </c>
      <c r="E5" s="47" t="s">
        <v>42</v>
      </c>
      <c r="F5" s="47" t="s">
        <v>43</v>
      </c>
      <c r="G5" s="47" t="s">
        <v>54</v>
      </c>
      <c r="H5" s="47">
        <v>2</v>
      </c>
    </row>
    <row r="6" customHeight="1" spans="1:10">
      <c r="C6" s="47">
        <v>2</v>
      </c>
      <c r="D6" s="47" t="s">
        <v>44</v>
      </c>
      <c r="E6" s="47" t="s">
        <v>45</v>
      </c>
      <c r="F6" s="47" t="s">
        <v>43</v>
      </c>
      <c r="G6" s="47" t="s">
        <v>55</v>
      </c>
      <c r="H6" s="47">
        <v>1</v>
      </c>
    </row>
    <row r="7" customHeight="1" spans="1:10">
      <c r="C7" s="47">
        <v>3</v>
      </c>
      <c r="D7" s="47" t="s">
        <v>56</v>
      </c>
      <c r="E7" s="47" t="s">
        <v>57</v>
      </c>
      <c r="F7" s="47" t="s">
        <v>58</v>
      </c>
      <c r="G7" s="47" t="s">
        <v>59</v>
      </c>
      <c r="H7" s="47">
        <v>0</v>
      </c>
    </row>
    <row r="8" customHeight="1" spans="1:10">
      <c r="C8" s="47">
        <v>4</v>
      </c>
      <c r="D8" s="47" t="s">
        <v>60</v>
      </c>
      <c r="E8" s="47">
        <v>2222</v>
      </c>
      <c r="F8" s="47" t="s">
        <v>61</v>
      </c>
      <c r="G8" s="47">
        <v>1</v>
      </c>
      <c r="H8" s="47">
        <v>1</v>
      </c>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8"/>
  <sheetViews>
    <sheetView showGridLines="0" workbookViewId="0">
      <pane ySplit="4" topLeftCell="A5" activePane="bottomLeft" state="frozen"/>
      <selection/>
      <selection pane="bottomLeft" activeCell="I5" sqref="I5"/>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41</v>
      </c>
      <c r="E5" s="47" t="s">
        <v>42</v>
      </c>
      <c r="F5" s="47" t="s">
        <v>43</v>
      </c>
      <c r="G5" s="47" t="s">
        <v>54</v>
      </c>
      <c r="H5" s="47">
        <v>21</v>
      </c>
      <c r="I5" s="47">
        <v>2</v>
      </c>
      <c r="J5" s="47">
        <v>3</v>
      </c>
      <c r="K5" s="29"/>
    </row>
    <row r="6" customHeight="1" spans="1:11">
      <c r="C6" s="47">
        <v>2</v>
      </c>
      <c r="D6" s="47" t="s">
        <v>44</v>
      </c>
      <c r="E6" s="47" t="s">
        <v>45</v>
      </c>
      <c r="F6" s="47" t="s">
        <v>43</v>
      </c>
      <c r="G6" s="47" t="s">
        <v>55</v>
      </c>
      <c r="J6" s="47">
        <v>1</v>
      </c>
    </row>
    <row r="7" customHeight="1" spans="1:11">
      <c r="C7" s="47">
        <v>3</v>
      </c>
      <c r="D7" s="47" t="s">
        <v>56</v>
      </c>
      <c r="E7" s="47" t="s">
        <v>57</v>
      </c>
      <c r="F7" s="47" t="s">
        <v>58</v>
      </c>
      <c r="G7" s="47" t="s">
        <v>59</v>
      </c>
      <c r="J7" s="47">
        <v>0</v>
      </c>
    </row>
    <row r="8" customHeight="1" spans="1:11">
      <c r="C8" s="47">
        <v>4</v>
      </c>
      <c r="D8" s="47" t="s">
        <v>60</v>
      </c>
      <c r="E8" s="47">
        <v>2222</v>
      </c>
      <c r="F8" s="47" t="s">
        <v>61</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8"/>
  <sheetViews>
    <sheetView showGridLines="0" workbookViewId="0">
      <pane ySplit="4" topLeftCell="A5" activePane="bottomLeft" state="frozen"/>
      <selection/>
      <selection pane="bottomLeft" activeCell="I5" sqref="I5"/>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41</v>
      </c>
      <c r="E5" s="47" t="s">
        <v>42</v>
      </c>
      <c r="F5" s="47" t="s">
        <v>43</v>
      </c>
      <c r="G5" s="47" t="s">
        <v>54</v>
      </c>
      <c r="H5" s="47">
        <v>12</v>
      </c>
      <c r="I5" s="47">
        <v>21</v>
      </c>
      <c r="J5" s="47">
        <v>2</v>
      </c>
      <c r="K5" s="29"/>
    </row>
    <row r="6" customHeight="1" spans="1:11">
      <c r="C6" s="47">
        <v>2</v>
      </c>
      <c r="D6" s="47" t="s">
        <v>44</v>
      </c>
      <c r="E6" s="47" t="s">
        <v>45</v>
      </c>
      <c r="F6" s="47" t="s">
        <v>43</v>
      </c>
      <c r="G6" s="47" t="s">
        <v>55</v>
      </c>
      <c r="J6" s="47">
        <v>1</v>
      </c>
    </row>
    <row r="7" customHeight="1" spans="1:11">
      <c r="C7" s="47">
        <v>3</v>
      </c>
      <c r="D7" s="47" t="s">
        <v>56</v>
      </c>
      <c r="E7" s="47" t="s">
        <v>57</v>
      </c>
      <c r="F7" s="47" t="s">
        <v>58</v>
      </c>
      <c r="G7" s="47" t="s">
        <v>59</v>
      </c>
      <c r="J7" s="47">
        <v>0</v>
      </c>
    </row>
    <row r="8" customHeight="1" spans="1:11">
      <c r="C8" s="47">
        <v>4</v>
      </c>
      <c r="D8" s="47" t="s">
        <v>60</v>
      </c>
      <c r="E8" s="47">
        <v>2222</v>
      </c>
      <c r="F8" s="47" t="s">
        <v>61</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8"/>
  <sheetViews>
    <sheetView showGridLines="0" workbookViewId="0">
      <pane ySplit="4" topLeftCell="A5" activePane="bottomLeft" state="frozen"/>
      <selection/>
      <selection pane="bottomLeft" activeCell="I5" sqref="I5"/>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41</v>
      </c>
      <c r="E5" s="47" t="s">
        <v>42</v>
      </c>
      <c r="F5" s="47" t="s">
        <v>43</v>
      </c>
      <c r="G5" s="47" t="s">
        <v>54</v>
      </c>
      <c r="H5" s="47">
        <v>1</v>
      </c>
      <c r="I5" s="47">
        <v>1</v>
      </c>
      <c r="J5" s="47">
        <v>3</v>
      </c>
      <c r="K5" s="29"/>
    </row>
    <row r="6" customHeight="1" spans="1:11">
      <c r="C6" s="47">
        <v>2</v>
      </c>
      <c r="D6" s="47" t="s">
        <v>44</v>
      </c>
      <c r="E6" s="47" t="s">
        <v>45</v>
      </c>
      <c r="F6" s="47" t="s">
        <v>43</v>
      </c>
      <c r="G6" s="47" t="s">
        <v>55</v>
      </c>
      <c r="J6" s="47">
        <v>1</v>
      </c>
    </row>
    <row r="7" customHeight="1" spans="1:11">
      <c r="C7" s="47">
        <v>3</v>
      </c>
      <c r="D7" s="47" t="s">
        <v>56</v>
      </c>
      <c r="E7" s="47" t="s">
        <v>57</v>
      </c>
      <c r="F7" s="47" t="s">
        <v>58</v>
      </c>
      <c r="G7" s="47" t="s">
        <v>59</v>
      </c>
      <c r="J7" s="47">
        <v>0</v>
      </c>
    </row>
    <row r="8" customHeight="1" spans="1:11">
      <c r="C8" s="47">
        <v>4</v>
      </c>
      <c r="D8" s="47" t="s">
        <v>60</v>
      </c>
      <c r="E8" s="47">
        <v>2222</v>
      </c>
      <c r="F8" s="47" t="s">
        <v>61</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H8" sqref="H8"/>
    </sheetView>
  </sheetViews>
  <sheetFormatPr defaultColWidth="9" defaultRowHeight="20.1" customHeight="1"/>
  <cols>
    <col min="1" max="1" width="4.625" style="3" customWidth="1"/>
    <col min="2" max="2" width="5.625" style="69"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0"/>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71" t="s">
        <v>63</v>
      </c>
      <c r="C4" s="9" t="s">
        <v>64</v>
      </c>
      <c r="D4" s="44" t="s">
        <v>26</v>
      </c>
      <c r="E4" s="44" t="s">
        <v>65</v>
      </c>
      <c r="F4" s="44" t="s">
        <v>28</v>
      </c>
      <c r="G4" s="44" t="s">
        <v>27</v>
      </c>
      <c r="H4" s="44" t="s">
        <v>29</v>
      </c>
      <c r="I4" s="44" t="s">
        <v>66</v>
      </c>
      <c r="J4" s="44" t="s">
        <v>31</v>
      </c>
      <c r="K4" s="44" t="s">
        <v>67</v>
      </c>
      <c r="L4" s="45" t="s">
        <v>68</v>
      </c>
      <c r="M4" s="44" t="s">
        <v>69</v>
      </c>
      <c r="N4" s="44" t="s">
        <v>70</v>
      </c>
      <c r="O4" s="9"/>
    </row>
    <row r="5" s="3" customFormat="1" customHeight="1" spans="1:15">
      <c r="B5" s="69"/>
      <c r="C5" s="4">
        <v>16</v>
      </c>
      <c r="D5" s="13">
        <v>1</v>
      </c>
      <c r="E5" s="13">
        <v>2</v>
      </c>
      <c r="F5" s="13" t="s">
        <v>42</v>
      </c>
      <c r="G5" s="13" t="s">
        <v>41</v>
      </c>
      <c r="H5" s="13" t="s">
        <v>43</v>
      </c>
      <c r="I5" s="13">
        <v>2</v>
      </c>
      <c r="J5" s="13">
        <v>1</v>
      </c>
      <c r="K5" s="13" t="s">
        <v>71</v>
      </c>
      <c r="L5" s="40">
        <v>46083.5591087963</v>
      </c>
      <c r="M5" s="13" t="s">
        <v>24</v>
      </c>
      <c r="N5" s="13" t="s">
        <v>72</v>
      </c>
      <c r="O5" s="4"/>
    </row>
    <row r="6" s="3" customFormat="1" customHeight="1" spans="1:15">
      <c r="B6" s="69"/>
      <c r="C6" s="4">
        <v>30</v>
      </c>
      <c r="D6" s="13">
        <v>2</v>
      </c>
      <c r="E6" s="13">
        <v>2</v>
      </c>
      <c r="F6" s="13" t="s">
        <v>42</v>
      </c>
      <c r="G6" s="13" t="s">
        <v>41</v>
      </c>
      <c r="H6" s="13" t="s">
        <v>43</v>
      </c>
      <c r="I6" s="13">
        <v>1</v>
      </c>
      <c r="J6" s="13">
        <v>1</v>
      </c>
      <c r="K6" s="13" t="s">
        <v>71</v>
      </c>
      <c r="L6" s="40">
        <v>46084.3662847222</v>
      </c>
      <c r="M6" s="13" t="s">
        <v>24</v>
      </c>
      <c r="N6" s="13" t="s">
        <v>38</v>
      </c>
      <c r="O6" s="4"/>
    </row>
    <row r="7" s="3" customFormat="1" customHeight="1" spans="1:15">
      <c r="B7" s="69"/>
      <c r="C7" s="4"/>
      <c r="D7" s="13"/>
      <c r="E7" s="13"/>
      <c r="F7" s="13"/>
      <c r="G7" s="13"/>
      <c r="H7" s="13"/>
      <c r="I7" s="13"/>
      <c r="J7" s="13"/>
      <c r="K7" s="13"/>
      <c r="L7" s="40"/>
      <c r="M7" s="13"/>
      <c r="N7" s="13"/>
      <c r="O7" s="4"/>
    </row>
    <row r="8" s="3" customFormat="1" customHeight="1" spans="1:15">
      <c r="B8" s="69"/>
      <c r="C8" s="4"/>
      <c r="D8" s="13"/>
      <c r="E8" s="13"/>
      <c r="F8" s="13"/>
      <c r="G8" s="13"/>
      <c r="H8" s="13"/>
      <c r="I8" s="13"/>
      <c r="J8" s="13"/>
      <c r="K8" s="13"/>
      <c r="L8" s="40"/>
      <c r="M8" s="13"/>
      <c r="N8" s="13"/>
      <c r="O8" s="4"/>
    </row>
    <row r="9" s="3" customFormat="1" customHeight="1" spans="1:15">
      <c r="B9" s="69"/>
      <c r="C9" s="4"/>
      <c r="D9" s="13"/>
      <c r="E9" s="13"/>
      <c r="F9" s="13"/>
      <c r="G9" s="13"/>
      <c r="H9" s="13"/>
      <c r="I9" s="13"/>
      <c r="J9" s="13"/>
      <c r="K9" s="13"/>
      <c r="L9" s="40"/>
      <c r="M9" s="13"/>
      <c r="N9" s="13"/>
      <c r="O9" s="4"/>
    </row>
    <row r="10" s="3" customFormat="1" customHeight="1" spans="1:15">
      <c r="B10" s="69"/>
      <c r="C10" s="4"/>
      <c r="D10" s="13"/>
      <c r="E10" s="13"/>
      <c r="F10" s="13"/>
      <c r="G10" s="13"/>
      <c r="H10" s="13"/>
      <c r="I10" s="13"/>
      <c r="J10" s="13"/>
      <c r="K10" s="13"/>
      <c r="L10" s="40"/>
      <c r="M10" s="13"/>
      <c r="N10" s="13"/>
      <c r="O10" s="4"/>
    </row>
    <row r="11" s="3" customFormat="1" customHeight="1" spans="1:15">
      <c r="B11" s="69"/>
      <c r="C11" s="4"/>
      <c r="D11" s="13"/>
      <c r="E11" s="13"/>
      <c r="F11" s="13"/>
      <c r="G11" s="13"/>
      <c r="H11" s="13"/>
      <c r="I11" s="13"/>
      <c r="J11" s="13"/>
      <c r="K11" s="13"/>
      <c r="L11" s="40"/>
      <c r="M11" s="13"/>
      <c r="N11" s="13"/>
      <c r="O11" s="4"/>
    </row>
    <row r="12" s="3" customFormat="1" customHeight="1" spans="1:15">
      <c r="B12" s="69"/>
      <c r="C12" s="4"/>
      <c r="D12" s="13"/>
      <c r="E12" s="13"/>
      <c r="F12" s="13"/>
      <c r="G12" s="13"/>
      <c r="H12" s="13"/>
      <c r="I12" s="13"/>
      <c r="J12" s="13"/>
      <c r="K12" s="13"/>
      <c r="L12" s="40"/>
      <c r="M12" s="13"/>
      <c r="N12" s="13"/>
      <c r="O12" s="4"/>
    </row>
    <row r="13" s="3" customFormat="1" customHeight="1" spans="1:15">
      <c r="B13" s="69"/>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workbookViewId="0">
      <selection activeCell="G9" sqref="G9"/>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73</v>
      </c>
      <c r="D4" s="60"/>
      <c r="E4" s="60"/>
      <c r="F4" s="60"/>
      <c r="G4" s="60"/>
      <c r="H4" s="60"/>
      <c r="I4" s="9"/>
    </row>
    <row r="5" s="2" customFormat="1" ht="30" customHeight="1" spans="1:9">
      <c r="B5" s="9"/>
      <c r="C5" s="61" t="s">
        <v>74</v>
      </c>
      <c r="D5" s="62">
        <v>212</v>
      </c>
      <c r="E5" s="61"/>
      <c r="F5" s="62"/>
      <c r="G5" s="61" t="s">
        <v>75</v>
      </c>
      <c r="H5" s="63">
        <v>46098</v>
      </c>
      <c r="I5" s="9"/>
    </row>
    <row r="6" s="2" customFormat="1" ht="30" customHeight="1" spans="1:9">
      <c r="B6" s="9"/>
      <c r="C6" s="61" t="s">
        <v>76</v>
      </c>
      <c r="D6" s="62" t="s">
        <v>72</v>
      </c>
      <c r="E6" s="64"/>
      <c r="F6" s="64"/>
      <c r="G6" s="61" t="s">
        <v>77</v>
      </c>
      <c r="H6" s="62" t="s">
        <v>78</v>
      </c>
      <c r="I6" s="9"/>
    </row>
    <row r="7" s="2" customFormat="1" ht="30" customHeight="1" spans="1:9">
      <c r="B7" s="9"/>
      <c r="C7" s="65" t="s">
        <v>27</v>
      </c>
      <c r="D7" s="65" t="s">
        <v>28</v>
      </c>
      <c r="E7" s="65" t="s">
        <v>29</v>
      </c>
      <c r="F7" s="65" t="s">
        <v>31</v>
      </c>
      <c r="G7" s="65" t="s">
        <v>40</v>
      </c>
      <c r="H7" s="65" t="s">
        <v>32</v>
      </c>
      <c r="I7" s="9"/>
    </row>
    <row r="8" customHeight="1" spans="1:9">
      <c r="C8" s="66" t="s">
        <v>41</v>
      </c>
      <c r="D8" s="66" t="s">
        <v>42</v>
      </c>
      <c r="E8" s="66" t="s">
        <v>43</v>
      </c>
      <c r="F8" s="66">
        <v>12</v>
      </c>
      <c r="G8" s="66">
        <v>21</v>
      </c>
      <c r="H8" s="66">
        <v>252</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customHeight="1" spans="3:8">
      <c r="C19" s="66"/>
      <c r="D19" s="66"/>
      <c r="E19" s="66"/>
      <c r="F19" s="66"/>
      <c r="G19" s="66"/>
      <c r="H19" s="66"/>
    </row>
    <row r="20" ht="30" customHeight="1" spans="3:8">
      <c r="C20" s="67" t="s">
        <v>46</v>
      </c>
      <c r="D20" s="68">
        <f>G20</f>
        <v>252</v>
      </c>
      <c r="E20" s="68"/>
      <c r="F20" s="67" t="s">
        <v>47</v>
      </c>
      <c r="G20" s="67">
        <f>SUM(H8:H19)</f>
        <v>252</v>
      </c>
      <c r="H20" s="67"/>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G10" sqref="G10"/>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46" t="s">
        <v>79</v>
      </c>
    </row>
    <row r="3" s="2" customFormat="1" customHeight="1" spans="1:11">
      <c r="B3" s="9"/>
      <c r="C3" s="9"/>
      <c r="D3" s="9"/>
      <c r="E3" s="9"/>
      <c r="F3" s="9"/>
      <c r="G3" s="9"/>
      <c r="H3" s="9"/>
      <c r="I3" s="9"/>
      <c r="J3" s="9"/>
      <c r="K3" s="9"/>
    </row>
    <row r="4" s="2" customFormat="1" ht="30" customHeight="1" spans="1:11">
      <c r="B4" s="9"/>
      <c r="C4" s="9" t="s">
        <v>64</v>
      </c>
      <c r="D4" s="44" t="s">
        <v>26</v>
      </c>
      <c r="E4" s="44" t="s">
        <v>27</v>
      </c>
      <c r="F4" s="44" t="s">
        <v>28</v>
      </c>
      <c r="G4" s="44" t="s">
        <v>29</v>
      </c>
      <c r="H4" s="44" t="s">
        <v>80</v>
      </c>
      <c r="I4" s="44" t="s">
        <v>81</v>
      </c>
      <c r="J4" s="44" t="s">
        <v>32</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8"/>
  <sheetViews>
    <sheetView showGridLines="0" workbookViewId="0">
      <pane ySplit="4" topLeftCell="A5" activePane="bottomLeft" state="frozen"/>
      <selection/>
      <selection pane="bottomLeft" activeCell="G11" sqref="G11"/>
    </sheetView>
  </sheetViews>
  <sheetFormatPr defaultColWidth="9" defaultRowHeight="20.1" customHeight="1" outlineLevelRow="7"/>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46" t="s">
        <v>82</v>
      </c>
      <c r="I2" s="46"/>
      <c r="J2" s="46" t="s">
        <v>83</v>
      </c>
    </row>
    <row r="3" s="2" customFormat="1" customHeight="1" spans="1:11">
      <c r="B3" s="9"/>
      <c r="C3" s="9"/>
      <c r="D3" s="9"/>
      <c r="E3" s="9"/>
      <c r="F3" s="9"/>
      <c r="G3" s="9"/>
      <c r="H3" s="9"/>
      <c r="I3" s="9"/>
      <c r="J3" s="9"/>
      <c r="K3" s="9"/>
    </row>
    <row r="4" s="2" customFormat="1" ht="30" customHeight="1" spans="1:11">
      <c r="B4" s="9"/>
      <c r="C4" s="44" t="s">
        <v>26</v>
      </c>
      <c r="D4" s="44" t="s">
        <v>27</v>
      </c>
      <c r="E4" s="44" t="s">
        <v>28</v>
      </c>
      <c r="F4" s="44" t="s">
        <v>29</v>
      </c>
      <c r="G4" s="44" t="s">
        <v>84</v>
      </c>
      <c r="H4" s="44" t="s">
        <v>85</v>
      </c>
      <c r="I4" s="44" t="s">
        <v>86</v>
      </c>
      <c r="J4" s="44" t="s">
        <v>87</v>
      </c>
      <c r="K4" s="9"/>
    </row>
    <row r="5" customHeight="1" spans="1:11">
      <c r="C5" s="13">
        <v>1</v>
      </c>
      <c r="D5" s="13" t="s">
        <v>41</v>
      </c>
      <c r="E5" s="13" t="s">
        <v>42</v>
      </c>
      <c r="F5" s="13" t="s">
        <v>43</v>
      </c>
      <c r="G5" s="13">
        <v>7</v>
      </c>
      <c r="H5" s="13">
        <v>465</v>
      </c>
      <c r="I5" s="13">
        <v>6</v>
      </c>
      <c r="J5" s="13">
        <v>463</v>
      </c>
    </row>
    <row r="6" customHeight="1" spans="1:11">
      <c r="C6" s="13">
        <v>2</v>
      </c>
      <c r="D6" s="13" t="s">
        <v>44</v>
      </c>
      <c r="E6" s="13" t="s">
        <v>45</v>
      </c>
      <c r="F6" s="13" t="s">
        <v>43</v>
      </c>
      <c r="G6" s="13">
        <v>19</v>
      </c>
      <c r="H6" s="13">
        <v>391</v>
      </c>
      <c r="I6" s="13">
        <v>19</v>
      </c>
      <c r="J6" s="13">
        <v>391</v>
      </c>
    </row>
    <row r="7" customHeight="1" spans="1:11">
      <c r="C7" s="13">
        <v>3</v>
      </c>
      <c r="D7" s="13" t="s">
        <v>56</v>
      </c>
      <c r="E7" s="13" t="s">
        <v>57</v>
      </c>
      <c r="F7" s="13" t="s">
        <v>58</v>
      </c>
      <c r="G7" s="13">
        <v>0</v>
      </c>
      <c r="H7" s="13">
        <v>-1</v>
      </c>
      <c r="I7" s="13">
        <v>-1</v>
      </c>
      <c r="J7" s="13">
        <v>-3</v>
      </c>
    </row>
    <row r="8" customHeight="1" spans="1:11">
      <c r="C8" s="13">
        <v>4</v>
      </c>
      <c r="D8" s="13" t="s">
        <v>60</v>
      </c>
      <c r="E8" s="13">
        <v>2222</v>
      </c>
      <c r="F8" s="13" t="s">
        <v>61</v>
      </c>
      <c r="G8" s="13">
        <v>1</v>
      </c>
      <c r="H8" s="13">
        <v>4</v>
      </c>
      <c r="I8" s="13">
        <v>2</v>
      </c>
      <c r="J8" s="13">
        <v>6</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11"/>
  <sheetViews>
    <sheetView showGridLines="0" workbookViewId="0">
      <pane ySplit="4" topLeftCell="A5" activePane="bottomLeft" state="frozen"/>
      <selection/>
      <selection pane="bottomLeft" activeCell="H10" sqref="H10"/>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88</v>
      </c>
      <c r="K3" s="51" t="s">
        <v>89</v>
      </c>
      <c r="L3" s="51" t="s">
        <v>90</v>
      </c>
      <c r="M3" s="51" t="s">
        <v>91</v>
      </c>
      <c r="N3" s="52" t="s">
        <v>78</v>
      </c>
      <c r="O3" s="52" t="s">
        <v>53</v>
      </c>
      <c r="P3" s="52"/>
      <c r="Q3" s="52"/>
      <c r="R3" s="52"/>
      <c r="S3" s="52"/>
      <c r="T3" s="52"/>
      <c r="U3" s="52"/>
    </row>
    <row r="4" s="2" customFormat="1" ht="30" customHeight="1" spans="1:21">
      <c r="A4" s="9"/>
      <c r="B4" s="44" t="s">
        <v>26</v>
      </c>
      <c r="C4" s="44" t="s">
        <v>92</v>
      </c>
      <c r="D4" s="44" t="s">
        <v>93</v>
      </c>
      <c r="E4" s="44" t="s">
        <v>94</v>
      </c>
      <c r="F4" s="44" t="s">
        <v>31</v>
      </c>
      <c r="G4" s="44" t="s">
        <v>95</v>
      </c>
      <c r="H4" s="9"/>
      <c r="J4" s="54">
        <v>7</v>
      </c>
      <c r="K4" s="54">
        <v>14</v>
      </c>
      <c r="L4" s="55">
        <v>7</v>
      </c>
      <c r="M4" s="54">
        <v>1</v>
      </c>
      <c r="N4" s="52">
        <v>7</v>
      </c>
      <c r="O4" s="52">
        <v>2</v>
      </c>
      <c r="P4" s="52"/>
      <c r="Q4" s="52"/>
      <c r="R4" s="52"/>
      <c r="S4" s="52"/>
      <c r="T4" s="52"/>
      <c r="U4" s="52"/>
    </row>
    <row r="5" customHeight="1" spans="1:21">
      <c r="B5" s="47">
        <v>1</v>
      </c>
      <c r="C5" s="47" t="s">
        <v>43</v>
      </c>
      <c r="D5" s="47" t="s">
        <v>41</v>
      </c>
      <c r="E5" s="47">
        <v>2</v>
      </c>
      <c r="F5" s="47">
        <v>2</v>
      </c>
      <c r="G5" s="47" t="s">
        <v>78</v>
      </c>
    </row>
    <row r="6" customHeight="1" spans="1:21">
      <c r="B6" s="47">
        <v>2</v>
      </c>
      <c r="C6" s="47" t="s">
        <v>43</v>
      </c>
      <c r="D6" s="47" t="s">
        <v>41</v>
      </c>
      <c r="E6" s="47">
        <v>2</v>
      </c>
      <c r="F6" s="47">
        <v>2</v>
      </c>
      <c r="G6" s="47" t="s">
        <v>78</v>
      </c>
    </row>
    <row r="7" customHeight="1" spans="1:21">
      <c r="B7" s="47">
        <v>3</v>
      </c>
      <c r="C7" s="47" t="s">
        <v>43</v>
      </c>
      <c r="D7" s="47" t="s">
        <v>41</v>
      </c>
      <c r="E7" s="47">
        <v>1</v>
      </c>
      <c r="F7" s="47">
        <v>1</v>
      </c>
      <c r="G7" s="47" t="s">
        <v>78</v>
      </c>
    </row>
    <row r="8" customHeight="1" spans="1:21">
      <c r="B8" s="47">
        <v>4</v>
      </c>
      <c r="C8" s="47" t="s">
        <v>43</v>
      </c>
      <c r="D8" s="47" t="s">
        <v>41</v>
      </c>
      <c r="E8" s="47">
        <v>1</v>
      </c>
      <c r="F8" s="47">
        <v>1</v>
      </c>
      <c r="G8" s="47" t="s">
        <v>53</v>
      </c>
    </row>
    <row r="9" customHeight="1" spans="1:21">
      <c r="B9" s="47">
        <v>5</v>
      </c>
      <c r="C9" s="47" t="s">
        <v>43</v>
      </c>
      <c r="D9" s="47" t="s">
        <v>41</v>
      </c>
      <c r="E9" s="47">
        <v>1</v>
      </c>
      <c r="F9" s="47">
        <v>1</v>
      </c>
      <c r="G9" s="47" t="s">
        <v>78</v>
      </c>
    </row>
    <row r="10" customHeight="1" spans="1:21">
      <c r="B10" s="47">
        <v>6</v>
      </c>
      <c r="C10" s="47" t="s">
        <v>43</v>
      </c>
      <c r="D10" s="47" t="s">
        <v>41</v>
      </c>
      <c r="E10" s="47">
        <v>2</v>
      </c>
      <c r="F10" s="47">
        <v>1</v>
      </c>
      <c r="G10" s="47" t="s">
        <v>78</v>
      </c>
    </row>
    <row r="11" customHeight="1" spans="1:21">
      <c r="B11" s="47">
        <v>7</v>
      </c>
      <c r="C11" s="47" t="s">
        <v>43</v>
      </c>
      <c r="D11" s="47" t="s">
        <v>41</v>
      </c>
      <c r="E11" s="47">
        <v>1</v>
      </c>
      <c r="F11" s="47">
        <v>1</v>
      </c>
      <c r="G11" s="47" t="s">
        <v>53</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12"/>
  <sheetViews>
    <sheetView showGridLines="0" workbookViewId="0">
      <pane ySplit="4" topLeftCell="A5" activePane="bottomLeft" state="frozen"/>
      <selection/>
      <selection pane="bottomLeft" activeCell="I8" sqref="I8"/>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88</v>
      </c>
      <c r="K3" s="51" t="s">
        <v>89</v>
      </c>
      <c r="L3" s="51" t="s">
        <v>90</v>
      </c>
      <c r="M3" s="51" t="s">
        <v>91</v>
      </c>
      <c r="N3" s="52" t="s">
        <v>78</v>
      </c>
      <c r="O3" s="52" t="s">
        <v>53</v>
      </c>
      <c r="P3" s="52"/>
      <c r="Q3" s="52"/>
      <c r="R3" s="52"/>
      <c r="S3" s="52"/>
      <c r="T3" s="52"/>
      <c r="U3" s="52"/>
    </row>
    <row r="4" s="2" customFormat="1" ht="30" customHeight="1" spans="1:21">
      <c r="A4" s="9"/>
      <c r="B4" s="44" t="s">
        <v>26</v>
      </c>
      <c r="C4" s="44" t="s">
        <v>92</v>
      </c>
      <c r="D4" s="44" t="s">
        <v>93</v>
      </c>
      <c r="E4" s="44" t="s">
        <v>94</v>
      </c>
      <c r="F4" s="44" t="s">
        <v>31</v>
      </c>
      <c r="G4" s="44" t="s">
        <v>95</v>
      </c>
      <c r="H4" s="9"/>
      <c r="J4" s="54">
        <v>8</v>
      </c>
      <c r="K4" s="54">
        <v>251</v>
      </c>
      <c r="L4" s="55">
        <v>8</v>
      </c>
      <c r="M4" s="54">
        <v>1</v>
      </c>
      <c r="N4" s="52">
        <v>25</v>
      </c>
      <c r="O4" s="52">
        <v>4</v>
      </c>
      <c r="P4" s="52"/>
      <c r="Q4" s="52"/>
      <c r="R4" s="52"/>
      <c r="S4" s="52"/>
      <c r="T4" s="52"/>
      <c r="U4" s="52"/>
    </row>
    <row r="5" customHeight="1" spans="1:21">
      <c r="B5" s="47">
        <v>1</v>
      </c>
      <c r="C5" s="47" t="s">
        <v>43</v>
      </c>
      <c r="D5" s="47" t="s">
        <v>41</v>
      </c>
      <c r="E5" s="47">
        <v>11</v>
      </c>
      <c r="F5" s="47">
        <v>22</v>
      </c>
      <c r="G5" s="47" t="s">
        <v>78</v>
      </c>
    </row>
    <row r="6" customHeight="1" spans="1:21">
      <c r="B6" s="47">
        <v>2</v>
      </c>
      <c r="C6" s="47" t="s">
        <v>43</v>
      </c>
      <c r="D6" s="47" t="s">
        <v>41</v>
      </c>
      <c r="E6" s="47">
        <v>2</v>
      </c>
      <c r="F6" s="47">
        <v>1</v>
      </c>
      <c r="G6" s="47" t="s">
        <v>78</v>
      </c>
    </row>
    <row r="7" customHeight="1" spans="1:21">
      <c r="B7" s="47">
        <v>3</v>
      </c>
      <c r="C7" s="47" t="s">
        <v>43</v>
      </c>
      <c r="D7" s="47" t="s">
        <v>41</v>
      </c>
      <c r="E7" s="47">
        <v>1</v>
      </c>
      <c r="F7" s="47">
        <v>1</v>
      </c>
      <c r="G7" s="47" t="s">
        <v>53</v>
      </c>
    </row>
    <row r="8" customHeight="1" spans="1:21">
      <c r="B8" s="47">
        <v>4</v>
      </c>
      <c r="C8" s="47" t="s">
        <v>43</v>
      </c>
      <c r="D8" s="47" t="s">
        <v>41</v>
      </c>
      <c r="E8" s="47">
        <v>2</v>
      </c>
      <c r="F8" s="47">
        <v>1</v>
      </c>
      <c r="G8" s="47" t="s">
        <v>78</v>
      </c>
    </row>
    <row r="9" customHeight="1" spans="1:21">
      <c r="B9" s="47">
        <v>5</v>
      </c>
      <c r="C9" s="47" t="s">
        <v>43</v>
      </c>
      <c r="D9" s="47" t="s">
        <v>41</v>
      </c>
      <c r="E9" s="47">
        <v>1</v>
      </c>
      <c r="F9" s="47">
        <v>1</v>
      </c>
      <c r="G9" s="47" t="s">
        <v>53</v>
      </c>
    </row>
    <row r="10" customHeight="1" spans="1:21">
      <c r="B10" s="47">
        <v>6</v>
      </c>
      <c r="C10" s="47" t="s">
        <v>43</v>
      </c>
      <c r="D10" s="47" t="s">
        <v>41</v>
      </c>
      <c r="E10" s="47">
        <v>1</v>
      </c>
      <c r="F10" s="47">
        <v>1</v>
      </c>
      <c r="G10" s="47" t="s">
        <v>53</v>
      </c>
    </row>
    <row r="11" customHeight="1" spans="1:21">
      <c r="B11" s="47">
        <v>7</v>
      </c>
      <c r="C11" s="47" t="s">
        <v>43</v>
      </c>
      <c r="D11" s="47" t="s">
        <v>41</v>
      </c>
      <c r="E11" s="47">
        <v>1</v>
      </c>
      <c r="F11" s="47">
        <v>1</v>
      </c>
      <c r="G11" s="47" t="s">
        <v>78</v>
      </c>
    </row>
    <row r="12" customHeight="1" spans="1:21">
      <c r="B12" s="47">
        <v>8</v>
      </c>
      <c r="C12" s="47" t="s">
        <v>43</v>
      </c>
      <c r="D12" s="47" t="s">
        <v>41</v>
      </c>
      <c r="E12" s="47">
        <v>1</v>
      </c>
      <c r="F12" s="47">
        <v>1</v>
      </c>
      <c r="G12" s="47" t="s">
        <v>53</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9"/>
  <sheetViews>
    <sheetView showGridLines="0" workbookViewId="0">
      <pane ySplit="4" topLeftCell="A5" activePane="bottomLeft" state="frozen"/>
      <selection/>
      <selection pane="bottomLeft" activeCell="I9" sqref="I9"/>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48"/>
      <c r="G2" s="49"/>
    </row>
    <row r="3" s="2" customFormat="1" customHeight="1" spans="1:34">
      <c r="A3" s="9"/>
      <c r="B3" s="50"/>
      <c r="C3" s="50"/>
      <c r="D3" s="50"/>
      <c r="E3" s="50"/>
      <c r="F3" s="50"/>
      <c r="G3" s="50"/>
      <c r="H3" s="9"/>
      <c r="J3" s="51" t="s">
        <v>88</v>
      </c>
      <c r="K3" s="51" t="s">
        <v>89</v>
      </c>
      <c r="L3" s="51" t="s">
        <v>90</v>
      </c>
      <c r="M3" s="51" t="s">
        <v>91</v>
      </c>
      <c r="N3" s="52" t="s">
        <v>78</v>
      </c>
      <c r="O3" s="52" t="s">
        <v>53</v>
      </c>
      <c r="P3" s="52"/>
      <c r="Q3" s="52"/>
      <c r="R3" s="52"/>
      <c r="S3" s="52"/>
      <c r="T3" s="52"/>
      <c r="U3" s="52"/>
      <c r="V3" s="53"/>
      <c r="W3" s="53"/>
      <c r="X3" s="53"/>
      <c r="Y3" s="53"/>
      <c r="Z3" s="53"/>
      <c r="AA3" s="53"/>
      <c r="AB3" s="53"/>
      <c r="AC3" s="53"/>
      <c r="AD3" s="53"/>
      <c r="AE3" s="53"/>
      <c r="AF3" s="53"/>
      <c r="AG3" s="53"/>
      <c r="AH3" s="53"/>
    </row>
    <row r="4" s="2" customFormat="1" ht="30" customHeight="1" spans="1:34">
      <c r="A4" s="9"/>
      <c r="B4" s="44" t="s">
        <v>26</v>
      </c>
      <c r="C4" s="44" t="s">
        <v>92</v>
      </c>
      <c r="D4" s="44" t="s">
        <v>93</v>
      </c>
      <c r="E4" s="44" t="s">
        <v>94</v>
      </c>
      <c r="F4" s="44" t="s">
        <v>31</v>
      </c>
      <c r="G4" s="44" t="s">
        <v>95</v>
      </c>
      <c r="H4" s="9"/>
      <c r="J4" s="54">
        <v>5</v>
      </c>
      <c r="K4" s="54">
        <v>491</v>
      </c>
      <c r="L4" s="55">
        <v>5</v>
      </c>
      <c r="M4" s="54">
        <v>1</v>
      </c>
      <c r="N4" s="52">
        <v>2</v>
      </c>
      <c r="O4" s="52">
        <v>1</v>
      </c>
      <c r="P4" s="52"/>
      <c r="Q4" s="52"/>
      <c r="R4" s="52"/>
      <c r="S4" s="52"/>
      <c r="T4" s="52"/>
      <c r="U4" s="52"/>
      <c r="V4" s="53"/>
      <c r="W4" s="53"/>
      <c r="X4" s="53"/>
      <c r="Y4" s="53"/>
      <c r="Z4" s="53"/>
      <c r="AA4" s="53"/>
      <c r="AB4" s="53"/>
      <c r="AC4" s="53"/>
      <c r="AD4" s="53"/>
      <c r="AE4" s="53"/>
      <c r="AF4" s="53"/>
      <c r="AG4" s="53"/>
      <c r="AH4" s="53"/>
    </row>
    <row r="5" customHeight="1" spans="1:34">
      <c r="B5" s="47">
        <v>1</v>
      </c>
      <c r="C5" s="47" t="s">
        <v>43</v>
      </c>
      <c r="D5" s="47" t="s">
        <v>44</v>
      </c>
      <c r="E5" s="47">
        <v>2</v>
      </c>
      <c r="F5" s="47">
        <v>20</v>
      </c>
    </row>
    <row r="6" customHeight="1" spans="1:34">
      <c r="B6" s="47">
        <v>2</v>
      </c>
      <c r="C6" s="47" t="s">
        <v>43</v>
      </c>
      <c r="D6" s="47" t="s">
        <v>44</v>
      </c>
      <c r="E6" s="47">
        <v>12</v>
      </c>
      <c r="F6" s="47">
        <v>4</v>
      </c>
    </row>
    <row r="7" customHeight="1" spans="1:34">
      <c r="B7" s="47">
        <v>3</v>
      </c>
      <c r="C7" s="47" t="s">
        <v>43</v>
      </c>
      <c r="D7" s="47" t="s">
        <v>44</v>
      </c>
      <c r="E7" s="47">
        <v>100</v>
      </c>
      <c r="F7" s="47">
        <v>4</v>
      </c>
    </row>
    <row r="8" customHeight="1" spans="1:34">
      <c r="B8" s="47">
        <v>4</v>
      </c>
      <c r="C8" s="47" t="s">
        <v>43</v>
      </c>
      <c r="D8" s="47" t="s">
        <v>44</v>
      </c>
      <c r="E8" s="47">
        <v>1</v>
      </c>
      <c r="F8" s="47">
        <v>2</v>
      </c>
      <c r="G8" s="47" t="s">
        <v>78</v>
      </c>
    </row>
    <row r="9" customHeight="1" spans="1:34">
      <c r="B9" s="47">
        <v>5</v>
      </c>
      <c r="C9" s="47" t="s">
        <v>43</v>
      </c>
      <c r="D9" s="47" t="s">
        <v>44</v>
      </c>
      <c r="E9" s="47">
        <v>1</v>
      </c>
      <c r="F9" s="47">
        <v>1</v>
      </c>
      <c r="G9" s="47" t="s">
        <v>53</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8"/>
  <sheetViews>
    <sheetView showGridLines="0" workbookViewId="0">
      <pane ySplit="4" topLeftCell="A5" activePane="bottomLeft" state="frozen"/>
      <selection/>
      <selection pane="bottomLeft" activeCell="H11" sqref="H11"/>
    </sheetView>
  </sheetViews>
  <sheetFormatPr defaultColWidth="9" defaultRowHeight="20.1" customHeight="1" outlineLevelRow="7"/>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46"/>
    </row>
    <row r="3" s="2" customFormat="1" customHeight="1" spans="1:9">
      <c r="B3" s="9"/>
      <c r="C3" s="9"/>
      <c r="D3" s="9"/>
      <c r="E3" s="9"/>
      <c r="F3" s="9"/>
      <c r="G3" s="9"/>
      <c r="H3" s="9"/>
      <c r="I3" s="9"/>
    </row>
    <row r="4" s="2" customFormat="1" ht="30" customHeight="1" spans="1:9">
      <c r="B4" s="9"/>
      <c r="C4" s="44" t="s">
        <v>26</v>
      </c>
      <c r="D4" s="44" t="s">
        <v>27</v>
      </c>
      <c r="E4" s="44" t="s">
        <v>28</v>
      </c>
      <c r="F4" s="44" t="s">
        <v>29</v>
      </c>
      <c r="G4" s="44" t="s">
        <v>33</v>
      </c>
      <c r="H4" s="44" t="s">
        <v>96</v>
      </c>
      <c r="I4" s="9"/>
    </row>
    <row r="5" customHeight="1" spans="1:9">
      <c r="C5" s="13">
        <v>1</v>
      </c>
      <c r="D5" s="13" t="s">
        <v>41</v>
      </c>
      <c r="E5" s="13" t="s">
        <v>42</v>
      </c>
      <c r="F5" s="13" t="s">
        <v>43</v>
      </c>
      <c r="G5" s="13">
        <v>6</v>
      </c>
      <c r="H5" s="13">
        <v>463</v>
      </c>
    </row>
    <row r="6" customHeight="1" spans="1:9">
      <c r="C6" s="13">
        <v>2</v>
      </c>
      <c r="D6" s="13" t="s">
        <v>44</v>
      </c>
      <c r="E6" s="13" t="s">
        <v>45</v>
      </c>
      <c r="F6" s="13" t="s">
        <v>43</v>
      </c>
      <c r="G6" s="13">
        <v>19</v>
      </c>
      <c r="H6" s="13">
        <v>391</v>
      </c>
    </row>
    <row r="7" customHeight="1" spans="1:9">
      <c r="C7" s="13">
        <v>3</v>
      </c>
      <c r="D7" s="13" t="s">
        <v>56</v>
      </c>
      <c r="E7" s="13" t="s">
        <v>57</v>
      </c>
      <c r="F7" s="13" t="s">
        <v>58</v>
      </c>
      <c r="G7" s="13">
        <v>-1</v>
      </c>
      <c r="H7" s="13">
        <v>-3</v>
      </c>
    </row>
    <row r="8" customHeight="1" spans="1:9">
      <c r="C8" s="13">
        <v>4</v>
      </c>
      <c r="D8" s="13" t="s">
        <v>60</v>
      </c>
      <c r="E8" s="13">
        <v>2222</v>
      </c>
      <c r="F8" s="13" t="s">
        <v>61</v>
      </c>
      <c r="G8" s="13">
        <v>2</v>
      </c>
      <c r="H8" s="13">
        <v>6</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8" activePane="bottomLeft" state="frozen"/>
      <selection/>
      <selection pane="bottomLeft" activeCell="AP16" sqref="AP16"/>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5">
      <c r="A1" s="7"/>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9"/>
      <c r="C4" s="9" t="s">
        <v>64</v>
      </c>
      <c r="D4" s="44" t="s">
        <v>26</v>
      </c>
      <c r="E4" s="44" t="s">
        <v>65</v>
      </c>
      <c r="F4" s="44" t="s">
        <v>28</v>
      </c>
      <c r="G4" s="44" t="s">
        <v>27</v>
      </c>
      <c r="H4" s="44" t="s">
        <v>29</v>
      </c>
      <c r="I4" s="44" t="s">
        <v>66</v>
      </c>
      <c r="J4" s="44" t="s">
        <v>31</v>
      </c>
      <c r="K4" s="44" t="s">
        <v>97</v>
      </c>
      <c r="L4" s="45" t="s">
        <v>68</v>
      </c>
      <c r="M4" s="44" t="s">
        <v>69</v>
      </c>
      <c r="N4" s="44" t="s">
        <v>98</v>
      </c>
      <c r="O4" s="9"/>
    </row>
    <row r="5" s="3" customFormat="1" customHeight="1" spans="1:15">
      <c r="B5" s="4"/>
      <c r="C5" s="4"/>
      <c r="D5" s="13"/>
      <c r="E5" s="13"/>
      <c r="F5" s="13"/>
      <c r="G5" s="13"/>
      <c r="H5" s="13"/>
      <c r="I5" s="13"/>
      <c r="J5" s="13"/>
      <c r="K5" s="13"/>
      <c r="L5" s="40"/>
      <c r="M5" s="13"/>
      <c r="N5" s="13"/>
      <c r="O5" s="4"/>
    </row>
    <row r="6" s="3" customFormat="1" customHeight="1" spans="1:15">
      <c r="B6" s="4"/>
      <c r="C6" s="4"/>
      <c r="D6" s="13"/>
      <c r="E6" s="13"/>
      <c r="F6" s="13"/>
      <c r="G6" s="13"/>
      <c r="H6" s="13"/>
      <c r="I6" s="13"/>
      <c r="J6" s="13"/>
      <c r="K6" s="13"/>
      <c r="L6" s="40"/>
      <c r="M6" s="13"/>
      <c r="N6" s="13"/>
      <c r="O6" s="4"/>
    </row>
    <row r="7" s="3" customFormat="1" customHeight="1" spans="1:15">
      <c r="B7" s="4"/>
      <c r="C7" s="4"/>
      <c r="D7" s="13"/>
      <c r="E7" s="13"/>
      <c r="F7" s="13"/>
      <c r="G7" s="13"/>
      <c r="H7" s="13"/>
      <c r="I7" s="13"/>
      <c r="J7" s="13"/>
      <c r="K7" s="13"/>
      <c r="L7" s="40"/>
      <c r="M7" s="13"/>
      <c r="N7" s="13"/>
      <c r="O7" s="4"/>
    </row>
    <row r="8" s="3" customFormat="1" customHeight="1" spans="1:15">
      <c r="B8" s="4"/>
      <c r="C8" s="4"/>
      <c r="D8" s="13"/>
      <c r="E8" s="13"/>
      <c r="F8" s="13"/>
      <c r="G8" s="13"/>
      <c r="H8" s="13"/>
      <c r="I8" s="13"/>
      <c r="J8" s="13"/>
      <c r="K8" s="13"/>
      <c r="L8" s="40"/>
      <c r="M8" s="13"/>
      <c r="N8" s="13"/>
      <c r="O8" s="4"/>
    </row>
    <row r="9" s="3" customFormat="1" customHeight="1" spans="1:15">
      <c r="B9" s="4"/>
      <c r="C9" s="4"/>
      <c r="D9" s="13"/>
      <c r="E9" s="13"/>
      <c r="F9" s="13"/>
      <c r="G9" s="13"/>
      <c r="H9" s="13"/>
      <c r="I9" s="13"/>
      <c r="J9" s="13"/>
      <c r="K9" s="13"/>
      <c r="L9" s="40"/>
      <c r="M9" s="13"/>
      <c r="N9" s="13"/>
      <c r="O9" s="4"/>
    </row>
    <row r="10" s="3" customFormat="1" customHeight="1" spans="1:15">
      <c r="B10" s="4"/>
      <c r="C10" s="4"/>
      <c r="D10" s="13"/>
      <c r="E10" s="13"/>
      <c r="F10" s="13"/>
      <c r="G10" s="13"/>
      <c r="H10" s="13"/>
      <c r="I10" s="13"/>
      <c r="J10" s="13"/>
      <c r="K10" s="13"/>
      <c r="L10" s="40"/>
      <c r="M10" s="13"/>
      <c r="N10" s="13"/>
      <c r="O10" s="4"/>
    </row>
    <row r="11" s="3" customFormat="1" customHeight="1" spans="1:15">
      <c r="B11" s="4"/>
      <c r="C11" s="4"/>
      <c r="D11" s="13"/>
      <c r="E11" s="13"/>
      <c r="F11" s="13"/>
      <c r="G11" s="13"/>
      <c r="H11" s="13"/>
      <c r="I11" s="13"/>
      <c r="J11" s="13"/>
      <c r="K11" s="13"/>
      <c r="L11" s="40"/>
      <c r="M11" s="13"/>
      <c r="N11" s="13"/>
      <c r="O11" s="4"/>
    </row>
    <row r="12" s="3" customFormat="1" customHeight="1" spans="1:15">
      <c r="B12" s="4"/>
      <c r="C12" s="4"/>
      <c r="D12" s="13"/>
      <c r="E12" s="13"/>
      <c r="F12" s="13"/>
      <c r="G12" s="13"/>
      <c r="H12" s="13"/>
      <c r="I12" s="13"/>
      <c r="J12" s="13"/>
      <c r="K12" s="13"/>
      <c r="L12" s="40"/>
      <c r="M12" s="13"/>
      <c r="N12" s="13"/>
      <c r="O12" s="4"/>
    </row>
    <row r="13" s="3" customFormat="1" customHeight="1" spans="1: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pageSetup paperSize="9" orientation="portrait"/>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topLeftCell="F1" workbookViewId="0">
      <pane ySplit="5" topLeftCell="A6" activePane="bottomLeft" state="frozen"/>
      <selection/>
      <selection pane="bottomLeft" activeCell="J11" sqref="J11"/>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17">
      <c r="A1" s="32"/>
      <c r="E1" s="33"/>
      <c r="F1" s="33"/>
      <c r="G1" s="33"/>
    </row>
    <row r="2" s="27" customFormat="1" ht="39.95" customHeight="1" spans="1:17">
      <c r="E2" s="34"/>
      <c r="F2" s="34"/>
      <c r="G2" s="34"/>
      <c r="H2" s="35" t="s">
        <v>48</v>
      </c>
      <c r="I2" s="35"/>
    </row>
    <row r="3" s="27" customFormat="1" customHeight="1" spans="1:17">
      <c r="B3" s="36"/>
      <c r="C3" s="36"/>
      <c r="D3" s="36"/>
      <c r="E3" s="37"/>
      <c r="F3" s="37"/>
      <c r="G3" s="37"/>
      <c r="H3" s="36"/>
      <c r="I3" s="36"/>
      <c r="J3" s="36"/>
      <c r="K3" s="36"/>
      <c r="L3" s="36"/>
      <c r="M3" s="36"/>
      <c r="N3" s="36"/>
      <c r="O3" s="36"/>
      <c r="P3" s="36"/>
      <c r="Q3" s="36"/>
    </row>
    <row r="4" s="27" customFormat="1" ht="24.95" customHeight="1" spans="1:17">
      <c r="B4" s="36"/>
      <c r="C4" s="36" t="s">
        <v>64</v>
      </c>
      <c r="D4" s="16" t="s">
        <v>26</v>
      </c>
      <c r="E4" s="38" t="s">
        <v>28</v>
      </c>
      <c r="F4" s="38" t="s">
        <v>27</v>
      </c>
      <c r="G4" s="38" t="s">
        <v>29</v>
      </c>
      <c r="H4" s="16" t="s">
        <v>99</v>
      </c>
      <c r="I4" s="16"/>
      <c r="J4" s="16" t="s">
        <v>100</v>
      </c>
      <c r="K4" s="16"/>
      <c r="L4" s="16" t="s">
        <v>101</v>
      </c>
      <c r="M4" s="16"/>
      <c r="N4" s="16" t="s">
        <v>102</v>
      </c>
      <c r="O4" s="16"/>
      <c r="P4" s="16" t="s">
        <v>103</v>
      </c>
      <c r="Q4" s="36"/>
    </row>
    <row r="5" s="27" customFormat="1" ht="24.95" customHeight="1" spans="1:17">
      <c r="B5" s="36"/>
      <c r="C5" s="36"/>
      <c r="D5" s="24"/>
      <c r="E5" s="39"/>
      <c r="F5" s="39"/>
      <c r="G5" s="39"/>
      <c r="H5" s="24" t="s">
        <v>31</v>
      </c>
      <c r="I5" s="24" t="s">
        <v>32</v>
      </c>
      <c r="J5" s="24" t="s">
        <v>31</v>
      </c>
      <c r="K5" s="24" t="s">
        <v>32</v>
      </c>
      <c r="L5" s="24" t="s">
        <v>31</v>
      </c>
      <c r="M5" s="24" t="s">
        <v>32</v>
      </c>
      <c r="N5" s="24" t="s">
        <v>31</v>
      </c>
      <c r="O5" s="24" t="s">
        <v>32</v>
      </c>
      <c r="P5" s="24"/>
      <c r="Q5" s="36"/>
    </row>
    <row r="6" s="28" customFormat="1" customHeight="1" spans="1:17">
      <c r="B6" s="29"/>
      <c r="C6" s="29"/>
      <c r="D6" s="30"/>
      <c r="E6" s="17"/>
      <c r="F6" s="17"/>
      <c r="G6" s="17"/>
      <c r="H6" s="30"/>
      <c r="I6" s="30"/>
      <c r="J6" s="30"/>
      <c r="K6" s="30"/>
      <c r="L6" s="30"/>
      <c r="M6" s="30"/>
      <c r="N6" s="30"/>
      <c r="O6" s="30"/>
      <c r="P6" s="30"/>
      <c r="Q6" s="29"/>
    </row>
    <row r="7" s="28" customFormat="1" customHeight="1" spans="1:17">
      <c r="B7" s="29"/>
      <c r="C7" s="29"/>
      <c r="D7" s="30"/>
      <c r="E7" s="17"/>
      <c r="F7" s="17"/>
      <c r="G7" s="17"/>
      <c r="H7" s="30"/>
      <c r="I7" s="30"/>
      <c r="J7" s="30"/>
      <c r="K7" s="30"/>
      <c r="L7" s="30"/>
      <c r="M7" s="30"/>
      <c r="N7" s="30"/>
      <c r="O7" s="30"/>
      <c r="P7" s="30"/>
      <c r="Q7" s="29"/>
    </row>
    <row r="8" s="28" customFormat="1" customHeight="1" spans="1:17">
      <c r="B8" s="29"/>
      <c r="C8" s="29"/>
      <c r="D8" s="30"/>
      <c r="E8" s="17"/>
      <c r="F8" s="17"/>
      <c r="G8" s="17"/>
      <c r="H8" s="30"/>
      <c r="I8" s="30"/>
      <c r="J8" s="30"/>
      <c r="K8" s="30"/>
      <c r="L8" s="30"/>
      <c r="M8" s="30"/>
      <c r="N8" s="30"/>
      <c r="O8" s="30"/>
      <c r="P8" s="30"/>
      <c r="Q8" s="29"/>
    </row>
    <row r="9" s="28" customFormat="1" customHeight="1" spans="1:17">
      <c r="B9" s="29"/>
      <c r="C9" s="29"/>
      <c r="D9" s="30"/>
      <c r="E9" s="17"/>
      <c r="F9" s="17"/>
      <c r="G9" s="17"/>
      <c r="H9" s="30"/>
      <c r="I9" s="30"/>
      <c r="J9" s="30"/>
      <c r="K9" s="30"/>
      <c r="L9" s="30"/>
      <c r="M9" s="30"/>
      <c r="N9" s="30"/>
      <c r="O9" s="30"/>
      <c r="P9" s="30"/>
      <c r="Q9" s="29"/>
    </row>
    <row r="10" s="28" customFormat="1" customHeight="1" spans="1:17">
      <c r="B10" s="29"/>
      <c r="C10" s="29"/>
      <c r="D10" s="30"/>
      <c r="E10" s="17"/>
      <c r="F10" s="17"/>
      <c r="G10" s="17"/>
      <c r="H10" s="30"/>
      <c r="I10" s="30"/>
      <c r="J10" s="30"/>
      <c r="K10" s="30"/>
      <c r="L10" s="30"/>
      <c r="M10" s="30"/>
      <c r="N10" s="30"/>
      <c r="O10" s="30"/>
      <c r="P10" s="30"/>
      <c r="Q10" s="29"/>
    </row>
    <row r="11" s="28" customFormat="1" customHeight="1" spans="1:17">
      <c r="B11" s="29"/>
      <c r="C11" s="29"/>
      <c r="D11" s="30"/>
      <c r="E11" s="17"/>
      <c r="F11" s="17"/>
      <c r="G11" s="17"/>
      <c r="H11" s="30"/>
      <c r="I11" s="30"/>
      <c r="J11" s="30"/>
      <c r="K11" s="30"/>
      <c r="L11" s="30"/>
      <c r="M11" s="30"/>
      <c r="N11" s="30"/>
      <c r="O11" s="30"/>
      <c r="P11" s="30"/>
      <c r="Q11" s="29"/>
    </row>
    <row r="12" s="28" customFormat="1" customHeight="1" spans="1:17">
      <c r="B12" s="29"/>
      <c r="C12" s="29"/>
      <c r="D12" s="30"/>
      <c r="E12" s="17"/>
      <c r="F12" s="17"/>
      <c r="G12" s="17"/>
      <c r="H12" s="30"/>
      <c r="I12" s="30"/>
      <c r="J12" s="30"/>
      <c r="K12" s="30"/>
      <c r="L12" s="30"/>
      <c r="M12" s="30"/>
      <c r="N12" s="30"/>
      <c r="O12" s="30"/>
      <c r="P12" s="30"/>
      <c r="Q12" s="29"/>
    </row>
    <row r="13" s="28" customFormat="1" customHeight="1" spans="1:17">
      <c r="B13" s="29"/>
      <c r="C13" s="29"/>
      <c r="D13" s="30"/>
      <c r="E13" s="17"/>
      <c r="F13" s="17"/>
      <c r="G13" s="17"/>
      <c r="H13" s="30"/>
      <c r="I13" s="30"/>
      <c r="J13" s="30"/>
      <c r="K13" s="30"/>
      <c r="L13" s="30"/>
      <c r="M13" s="30"/>
      <c r="N13" s="30"/>
      <c r="O13" s="30"/>
      <c r="P13" s="30"/>
      <c r="Q13" s="29"/>
    </row>
    <row r="14" s="28" customFormat="1" customHeight="1" spans="1: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J5"/>
  <sheetViews>
    <sheetView showGridLines="0" workbookViewId="0">
      <pane ySplit="5" topLeftCell="A6" activePane="bottomLeft" state="frozen"/>
      <selection/>
      <selection pane="bottomLeft" activeCell="D7" sqref="D7"/>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t="s">
        <v>64</v>
      </c>
      <c r="D4" s="16" t="s">
        <v>104</v>
      </c>
      <c r="E4" s="16" t="s">
        <v>28</v>
      </c>
      <c r="F4" s="16" t="s">
        <v>29</v>
      </c>
      <c r="G4" s="16" t="s">
        <v>27</v>
      </c>
      <c r="H4" s="24" t="s">
        <v>105</v>
      </c>
      <c r="I4" s="24" t="s">
        <v>106</v>
      </c>
      <c r="J4" s="9"/>
    </row>
    <row r="5" s="2" customFormat="1" ht="24.95" customHeight="1" spans="1:10">
      <c r="B5" s="9"/>
      <c r="C5" s="9"/>
      <c r="D5" s="16"/>
      <c r="E5" s="16"/>
      <c r="F5" s="16"/>
      <c r="G5" s="16"/>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9" scale="79" orientation="portrait"/>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K20"/>
  <sheetViews>
    <sheetView showGridLines="0" workbookViewId="0">
      <pane ySplit="5" topLeftCell="A6" activePane="bottomLeft" state="frozen"/>
      <selection/>
      <selection pane="bottomLeft" activeCell="H10" sqref="H10"/>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64</v>
      </c>
      <c r="D4" s="16" t="s">
        <v>28</v>
      </c>
      <c r="E4" s="16" t="s">
        <v>27</v>
      </c>
      <c r="F4" s="16" t="s">
        <v>92</v>
      </c>
      <c r="G4" s="22" t="s">
        <v>100</v>
      </c>
      <c r="H4" s="23"/>
      <c r="I4" s="22" t="s">
        <v>101</v>
      </c>
      <c r="J4" s="23"/>
      <c r="K4" s="9"/>
    </row>
    <row r="5" s="2" customFormat="1" ht="24.95" customHeight="1" spans="1:11">
      <c r="B5" s="9"/>
      <c r="C5" s="9"/>
      <c r="D5" s="16"/>
      <c r="E5" s="16"/>
      <c r="F5" s="16"/>
      <c r="G5" s="16" t="s">
        <v>31</v>
      </c>
      <c r="H5" s="16" t="s">
        <v>32</v>
      </c>
      <c r="I5" s="16" t="s">
        <v>31</v>
      </c>
      <c r="J5" s="16" t="s">
        <v>32</v>
      </c>
      <c r="K5" s="9"/>
    </row>
    <row r="6" s="3" customFormat="1" customHeight="1" spans="1:11">
      <c r="B6" s="4"/>
      <c r="C6" s="4"/>
      <c r="D6" s="21" t="s">
        <v>57</v>
      </c>
      <c r="E6" s="13" t="s">
        <v>56</v>
      </c>
      <c r="F6" s="13" t="s">
        <v>58</v>
      </c>
      <c r="G6" s="13">
        <v>1</v>
      </c>
      <c r="H6" s="13">
        <v>1</v>
      </c>
      <c r="I6" s="13">
        <v>2</v>
      </c>
      <c r="J6" s="13">
        <v>4</v>
      </c>
      <c r="K6" s="4"/>
    </row>
    <row r="7" s="3" customFormat="1" customHeight="1" spans="1:11">
      <c r="B7" s="4"/>
      <c r="C7" s="4"/>
      <c r="D7" s="21"/>
      <c r="E7" s="13"/>
      <c r="F7" s="13"/>
      <c r="G7" s="13"/>
      <c r="H7" s="13"/>
      <c r="I7" s="13"/>
      <c r="J7" s="13"/>
      <c r="K7" s="4"/>
    </row>
    <row r="8" s="3" customFormat="1" customHeight="1" spans="1:11">
      <c r="B8" s="4"/>
      <c r="C8" s="4"/>
      <c r="D8" s="21"/>
      <c r="E8" s="13"/>
      <c r="F8" s="13"/>
      <c r="G8" s="13"/>
      <c r="H8" s="13"/>
      <c r="I8" s="13"/>
      <c r="J8" s="13"/>
      <c r="K8" s="4"/>
    </row>
    <row r="9" s="3" customFormat="1" customHeight="1" spans="1:11">
      <c r="B9" s="4"/>
      <c r="C9" s="4"/>
      <c r="D9" s="21"/>
      <c r="E9" s="13"/>
      <c r="F9" s="13"/>
      <c r="G9" s="13"/>
      <c r="H9" s="13"/>
      <c r="I9" s="13"/>
      <c r="J9" s="13"/>
      <c r="K9" s="4"/>
    </row>
    <row r="10" s="3" customFormat="1" customHeight="1" spans="1:11">
      <c r="B10" s="4"/>
      <c r="C10" s="4"/>
      <c r="D10" s="21"/>
      <c r="E10" s="13"/>
      <c r="F10" s="13"/>
      <c r="G10" s="13"/>
      <c r="H10" s="13"/>
      <c r="I10" s="13"/>
      <c r="J10" s="13"/>
      <c r="K10" s="4"/>
    </row>
    <row r="11" s="3" customFormat="1" customHeight="1" spans="1:11">
      <c r="B11" s="4"/>
      <c r="C11" s="4"/>
      <c r="D11" s="21"/>
      <c r="E11" s="13"/>
      <c r="F11" s="13"/>
      <c r="G11" s="13"/>
      <c r="H11" s="13"/>
      <c r="I11" s="13"/>
      <c r="J11" s="13"/>
      <c r="K11" s="4"/>
    </row>
    <row r="12" s="3" customFormat="1" customHeight="1" spans="1:11">
      <c r="B12" s="4"/>
      <c r="C12" s="4"/>
      <c r="D12" s="21"/>
      <c r="E12" s="13"/>
      <c r="F12" s="13"/>
      <c r="G12" s="13"/>
      <c r="H12" s="13"/>
      <c r="I12" s="13"/>
      <c r="J12" s="13"/>
      <c r="K12" s="4"/>
    </row>
    <row r="13" s="3" customFormat="1" customHeight="1" spans="1:11">
      <c r="B13" s="4"/>
      <c r="C13" s="4"/>
      <c r="D13" s="21"/>
      <c r="E13" s="13"/>
      <c r="F13" s="13"/>
      <c r="G13" s="13"/>
      <c r="H13" s="13"/>
      <c r="I13" s="13"/>
      <c r="J13" s="13"/>
      <c r="K13" s="4"/>
    </row>
    <row r="14" s="3" customFormat="1" customHeight="1" spans="1:11">
      <c r="B14" s="4"/>
      <c r="C14" s="4"/>
      <c r="D14" s="21"/>
      <c r="E14" s="13"/>
      <c r="F14" s="13"/>
      <c r="G14" s="13"/>
      <c r="H14" s="13"/>
      <c r="I14" s="13"/>
      <c r="J14" s="13"/>
      <c r="K14" s="4"/>
    </row>
    <row r="15" s="3" customFormat="1" customHeight="1" spans="1:11">
      <c r="B15" s="4"/>
      <c r="C15" s="4"/>
      <c r="D15" s="21"/>
      <c r="E15" s="13"/>
      <c r="F15" s="13"/>
      <c r="G15" s="13"/>
      <c r="H15" s="13"/>
      <c r="I15" s="13"/>
      <c r="J15" s="13"/>
      <c r="K15" s="4"/>
    </row>
    <row r="16" s="3" customFormat="1" customHeight="1" spans="1: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scale="67" orientation="portrait"/>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8"/>
  <sheetViews>
    <sheetView showGridLines="0" workbookViewId="0">
      <pane ySplit="4" topLeftCell="A5" activePane="bottomLeft" state="frozen"/>
      <selection/>
      <selection pane="bottomLeft" activeCell="J11" sqref="J11"/>
    </sheetView>
  </sheetViews>
  <sheetFormatPr defaultColWidth="9" defaultRowHeight="20.1" customHeight="1" outlineLevelRow="7"/>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3">
      <c r="A1" s="7"/>
    </row>
    <row r="2" s="2" customFormat="1" ht="39.95" customHeight="1"/>
    <row r="3" s="2" customFormat="1" customHeight="1" spans="1:13">
      <c r="B3" s="9"/>
      <c r="C3" s="9"/>
      <c r="D3" s="18"/>
      <c r="E3" s="9"/>
      <c r="F3" s="9"/>
      <c r="G3" s="9"/>
      <c r="H3" s="9"/>
      <c r="I3" s="9"/>
      <c r="J3" s="9"/>
      <c r="K3" s="9"/>
      <c r="L3" s="9"/>
      <c r="M3" s="9"/>
    </row>
    <row r="4" s="2" customFormat="1" ht="30" customHeight="1" spans="1:13">
      <c r="B4" s="9"/>
      <c r="C4" s="9" t="s">
        <v>64</v>
      </c>
      <c r="D4" s="19" t="s">
        <v>26</v>
      </c>
      <c r="E4" s="16" t="s">
        <v>27</v>
      </c>
      <c r="F4" s="16" t="s">
        <v>28</v>
      </c>
      <c r="G4" s="16" t="s">
        <v>29</v>
      </c>
      <c r="H4" s="16" t="s">
        <v>30</v>
      </c>
      <c r="I4" s="16" t="s">
        <v>107</v>
      </c>
      <c r="J4" s="16" t="s">
        <v>104</v>
      </c>
      <c r="K4" s="16" t="s">
        <v>108</v>
      </c>
      <c r="L4" s="16" t="s">
        <v>103</v>
      </c>
      <c r="M4" s="9"/>
    </row>
    <row r="5" customHeight="1" spans="1:13">
      <c r="D5" s="20"/>
      <c r="E5" s="13"/>
      <c r="F5" s="13"/>
      <c r="G5" s="13"/>
      <c r="H5" s="13"/>
      <c r="I5"/>
    </row>
    <row r="6" customHeight="1" spans="1:13">
      <c r="D6" s="20"/>
    </row>
    <row r="8" customHeight="1" spans="1:13">
      <c r="I8"/>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F6" sqref="F6"/>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64</v>
      </c>
      <c r="D4" s="16" t="s">
        <v>26</v>
      </c>
      <c r="E4" s="16" t="s">
        <v>109</v>
      </c>
      <c r="F4" s="16" t="s">
        <v>110</v>
      </c>
      <c r="G4" s="16" t="s">
        <v>111</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E8" sqref="E8"/>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64</v>
      </c>
      <c r="D4" s="16" t="s">
        <v>26</v>
      </c>
      <c r="E4" s="16" t="s">
        <v>112</v>
      </c>
      <c r="F4" s="16" t="s">
        <v>110</v>
      </c>
      <c r="G4" s="16" t="s">
        <v>111</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E13"/>
  <sheetViews>
    <sheetView showGridLines="0" workbookViewId="0">
      <pane ySplit="4" topLeftCell="A5" activePane="bottomLeft" state="frozen"/>
      <selection/>
      <selection pane="bottomLeft" activeCell="L7" sqref="L7"/>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64</v>
      </c>
      <c r="D4" s="16" t="s">
        <v>95</v>
      </c>
      <c r="E4" s="9"/>
    </row>
    <row r="5" s="3" customFormat="1" customHeight="1" spans="1:5">
      <c r="B5" s="4"/>
      <c r="C5" s="4">
        <v>1</v>
      </c>
      <c r="D5" s="13" t="s">
        <v>78</v>
      </c>
      <c r="E5" s="4"/>
    </row>
    <row r="6" s="3" customFormat="1" customHeight="1" spans="1:5">
      <c r="B6" s="4"/>
      <c r="C6" s="4">
        <v>2</v>
      </c>
      <c r="D6" s="13" t="s">
        <v>53</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autoPageBreaks="0"/>
  </sheetPr>
  <dimension ref="A1:J13"/>
  <sheetViews>
    <sheetView showGridLines="0" workbookViewId="0">
      <pane ySplit="4" topLeftCell="A5" activePane="bottomLeft" state="frozen"/>
      <selection/>
      <selection pane="bottomLeft" activeCell="F10" sqref="F10"/>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64</v>
      </c>
      <c r="D4" s="16" t="s">
        <v>26</v>
      </c>
      <c r="E4" s="16" t="s">
        <v>28</v>
      </c>
      <c r="F4" s="16" t="s">
        <v>27</v>
      </c>
      <c r="G4" s="16" t="s">
        <v>29</v>
      </c>
      <c r="H4" s="16" t="s">
        <v>30</v>
      </c>
      <c r="I4" s="16" t="s">
        <v>113</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AP16" sqref="AP16"/>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64</v>
      </c>
      <c r="D4" s="16" t="s">
        <v>114</v>
      </c>
      <c r="E4" s="16" t="s">
        <v>115</v>
      </c>
      <c r="F4" s="16" t="s">
        <v>116</v>
      </c>
      <c r="G4" s="16" t="s">
        <v>117</v>
      </c>
      <c r="H4" s="16" t="s">
        <v>118</v>
      </c>
      <c r="I4" s="16" t="s">
        <v>119</v>
      </c>
      <c r="J4" s="16" t="s">
        <v>120</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pageSetUpPr fitToPage="1"/>
  </sheetPr>
  <dimension ref="A1:E12"/>
  <sheetViews>
    <sheetView workbookViewId="0">
      <pane ySplit="2" topLeftCell="A3" activePane="bottomLeft" state="frozen"/>
      <selection/>
      <selection pane="bottomLeft" activeCell="J3" sqref="J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121</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5"/>
      <c r="E8" s="4"/>
    </row>
    <row r="9" s="3" customFormat="1" customHeight="1" spans="1:5">
      <c r="B9" s="4"/>
      <c r="C9" s="4"/>
      <c r="D9" s="5"/>
      <c r="E9" s="4"/>
    </row>
    <row r="10" s="3" customFormat="1" customHeight="1" spans="1:5">
      <c r="B10" s="4"/>
      <c r="C10" s="4"/>
      <c r="D10" s="5"/>
      <c r="E10" s="4"/>
    </row>
    <row r="11" s="3" customFormat="1" customHeight="1" spans="1:5">
      <c r="B11" s="4"/>
      <c r="C11" s="4"/>
      <c r="D11" s="5"/>
      <c r="E11" s="4"/>
    </row>
    <row r="12" s="3" customFormat="1" customHeight="1" spans="1:5">
      <c r="B12" s="4"/>
      <c r="C12" s="4"/>
      <c r="D12" s="5"/>
      <c r="E12" s="4"/>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19" master="" otherUserPermission="visible"/>
  <rangeList sheetStid="20" master="" otherUserPermission="visible"/>
  <rangeList sheetStid="22" master="" otherUserPermission="visible"/>
  <rangeList sheetStid="23" master="" otherUserPermission="visible"/>
  <rangeList sheetStid="25" master="" otherUserPermission="visible"/>
  <rangeList sheetStid="26" master="" otherUserPermission="visible"/>
  <rangeList sheetStid="24" master="" otherUserPermission="visible"/>
  <rangeList sheetStid="5" master="" otherUserPermission="visible"/>
  <rangeList sheetStid="27" master="" otherUserPermission="visible"/>
  <rangeList sheetStid="29" master="" otherUserPermission="visible"/>
  <rangeList sheetStid="30" master="" otherUserPermission="visible"/>
  <rangeList sheetStid="31" master="" otherUserPermission="visible"/>
  <rangeList sheetStid="28"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2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入库单</vt:lpstr>
      <vt:lpstr>出库</vt:lpstr>
      <vt:lpstr>出库单</vt:lpstr>
      <vt:lpstr>库存调拨</vt:lpstr>
      <vt:lpstr>库存盘点</vt:lpstr>
      <vt:lpstr>销售退货</vt:lpstr>
      <vt:lpstr>采购退货</vt:lpstr>
      <vt:lpstr>采购单</vt:lpstr>
      <vt:lpstr>采购未入库明细</vt:lpstr>
      <vt:lpstr>单据</vt:lpstr>
      <vt:lpstr>期初数</vt:lpstr>
      <vt:lpstr>期末数</vt:lpstr>
      <vt:lpstr>销售退货统计</vt:lpstr>
      <vt:lpstr>采购退货统计</vt:lpstr>
      <vt:lpstr>进出明细统计</vt:lpstr>
      <vt:lpstr>库存积压统计</vt:lpstr>
      <vt:lpstr>明细</vt:lpstr>
      <vt:lpstr>进销存</vt:lpstr>
      <vt:lpstr>客户|供应商查询</vt:lpstr>
      <vt:lpstr>商品进出查询</vt:lpstr>
      <vt:lpstr>基础资料</vt:lpstr>
      <vt:lpstr>客户资料</vt:lpstr>
      <vt:lpstr>供应商资料</vt:lpstr>
      <vt:lpstr>仓库资料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2026-03-26T02:08:59Z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