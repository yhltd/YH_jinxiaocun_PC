
<file path=[Content_Types].xml><?xml version="1.0" encoding="utf-8"?>
<Types xmlns="http://schemas.openxmlformats.org/package/2006/content-types">
  <Default Extension="vml" ContentType="application/vnd.openxmlformats-officedocument.vmlDrawin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815" windowHeight="7860" tabRatio="882"/>
  </bookViews>
  <sheets>
    <sheet name="首页" sheetId="1" r:id="rId1"/>
    <sheet name="说明书" sheetId="2" r:id="rId2"/>
    <sheet name="加密" sheetId="3" state="veryHidden" r:id="rId3"/>
    <sheet name="入库" sheetId="4" state="veryHidden" r:id="rId4"/>
    <sheet name="入库单" sheetId="16" state="veryHidden" r:id="rId5"/>
    <sheet name="出库" sheetId="14" state="veryHidden" r:id="rId6"/>
    <sheet name="出库单" sheetId="17" state="veryHidden" r:id="rId7"/>
    <sheet name="期初数" sheetId="5" state="veryHidden" r:id="rId8"/>
    <sheet name="明细" sheetId="6" state="veryHidden" r:id="rId9"/>
    <sheet name="进销存" sheetId="7" state="veryHidden" r:id="rId10"/>
    <sheet name="客户|供应商查询" sheetId="8" state="veryHidden" r:id="rId11"/>
    <sheet name="商品进出查询" sheetId="15" state="veryHidden" r:id="rId12"/>
    <sheet name="基础资料" sheetId="9" state="veryHidden" r:id="rId13"/>
    <sheet name="客户资料" sheetId="10" state="veryHidden" r:id="rId14"/>
    <sheet name="供应商资料" sheetId="11" state="veryHidden" r:id="rId15"/>
    <sheet name="笔记" sheetId="12" state="veryHidden" r:id="rId16"/>
    <sheet name="用户管理" sheetId="13" state="veryHidden" r:id="rId17"/>
  </sheets>
  <definedNames>
    <definedName name="_xlnm._FilterDatabase" localSheetId="8" hidden="1">明细!$D$4:$K$70</definedName>
    <definedName name="_xlnm.Print_Area" localSheetId="6">出库单!$C$4:$H$19</definedName>
    <definedName name="_xlnm.Print_Area" localSheetId="4">入库单!$C$4:$H$19</definedName>
  </definedNames>
  <calcPr calcId="144525"/>
</workbook>
</file>

<file path=xl/comments1.xml><?xml version="1.0" encoding="utf-8"?>
<comments xmlns="http://schemas.openxmlformats.org/spreadsheetml/2006/main">
  <authors>
    <author>Administrator</author>
  </authors>
  <commentList>
    <comment ref="F4" authorId="0">
      <text>
        <r>
          <rPr>
            <sz val="9"/>
            <rFont val="宋体"/>
            <charset val="134"/>
          </rPr>
          <t>双击红角标位置查看信息</t>
        </r>
      </text>
    </comment>
  </commentList>
</comments>
</file>

<file path=xl/comments2.xml><?xml version="1.0" encoding="utf-8"?>
<comments xmlns="http://schemas.openxmlformats.org/spreadsheetml/2006/main">
  <authors>
    <author>Administrator</author>
  </authors>
  <commentList>
    <comment ref="F4" authorId="0">
      <text>
        <r>
          <rPr>
            <sz val="9"/>
            <rFont val="宋体"/>
            <charset val="134"/>
          </rPr>
          <t xml:space="preserve">双击红角标位置查看信息
</t>
        </r>
      </text>
    </comment>
  </commentList>
</comments>
</file>

<file path=xl/comments3.xml><?xml version="1.0" encoding="utf-8"?>
<comments xmlns="http://schemas.openxmlformats.org/spreadsheetml/2006/main">
  <authors>
    <author>Administrator</author>
  </authors>
  <commentList>
    <comment ref="L4" authorId="0">
      <text>
        <r>
          <rPr>
            <sz val="12"/>
            <rFont val="宋体"/>
            <charset val="134"/>
          </rPr>
          <t>双击此列可弹出日期时间选择窗口快速录入</t>
        </r>
      </text>
    </comment>
  </commentList>
</comments>
</file>

<file path=xl/comments4.xml><?xml version="1.0" encoding="utf-8"?>
<comments xmlns="http://schemas.openxmlformats.org/spreadsheetml/2006/main">
  <authors>
    <author>Administrator</author>
  </authors>
  <commentList>
    <comment ref="G4" authorId="0">
      <text>
        <r>
          <rPr>
            <sz val="9"/>
            <rFont val="宋体"/>
            <charset val="134"/>
          </rPr>
          <t xml:space="preserve">双击红角标位置查看信息
</t>
        </r>
      </text>
    </comment>
    <comment ref="P4" authorId="0">
      <text>
        <r>
          <rPr>
            <sz val="12"/>
            <rFont val="宋体"/>
            <charset val="134"/>
          </rPr>
          <t>结存数量小于此列数值时标红提醒</t>
        </r>
      </text>
    </comment>
  </commentList>
</comments>
</file>

<file path=xl/sharedStrings.xml><?xml version="1.0" encoding="utf-8"?>
<sst xmlns="http://schemas.openxmlformats.org/spreadsheetml/2006/main" count="182" uniqueCount="85">
  <si>
    <r>
      <rPr>
        <b/>
        <sz val="24"/>
        <color theme="4" tint="0.79970702230903"/>
        <rFont val="微软雅黑"/>
        <charset val="134"/>
      </rPr>
      <t>使用说明书</t>
    </r>
    <r>
      <rPr>
        <b/>
        <sz val="20"/>
        <color theme="4" tint="0.79970702230903"/>
        <rFont val="微软雅黑"/>
        <charset val="134"/>
      </rPr>
      <t xml:space="preserve">
</t>
    </r>
    <r>
      <rPr>
        <b/>
        <sz val="10"/>
        <color theme="4" tint="0.79970702230903"/>
        <rFont val="微软雅黑"/>
        <charset val="134"/>
      </rPr>
      <t>operating instruction</t>
    </r>
  </si>
  <si>
    <t>出入库</t>
  </si>
  <si>
    <t>当前页:</t>
  </si>
  <si>
    <t>1.</t>
  </si>
  <si>
    <t>点击刷新按钮可以获取到基础资料里面的信息，选择商品代码列下拉框中的商品代码会自动带出其他信息</t>
  </si>
  <si>
    <t>2.</t>
  </si>
  <si>
    <t>在表格中填好数量和单价后，点击入库、出库按钮添加单号和供应商(客户)后点击确定可以进行出库，保存到明细表</t>
  </si>
  <si>
    <t>点击刷新按钮可以看到之前保存过的所有期初数据</t>
  </si>
  <si>
    <t>在表格中直接修改或添加一行数据后点击保存按钮可以保存到云端数据库中</t>
  </si>
  <si>
    <t>3.</t>
  </si>
  <si>
    <t>选中想要删除的行后点击删除按钮可以进行批量删除</t>
  </si>
  <si>
    <t>明细表中保存着所有的出入库数据，点击刷新后可以看到所有数据</t>
  </si>
  <si>
    <t>点击查询按钮可以根据时间范围进行查询</t>
  </si>
  <si>
    <t>进销存页面可以看到所有的出入库、期初以及库存信息</t>
  </si>
  <si>
    <t>点击刷新按钮可以看到全部数据</t>
  </si>
  <si>
    <t>进出查询页面点击商品查询按钮或客户查询按钮可以根据客户或商品进行查询</t>
  </si>
  <si>
    <t>基础资料、客户资料和供应商资料为配置表，和前面表一样具有增删改查功能，数据保存后可以在前面表中</t>
  </si>
  <si>
    <t>下拉选择或将数据带出来</t>
  </si>
  <si>
    <t>整理表为独立的一个表，可以在表上进行增删改查操作，跟其他表无关联</t>
  </si>
  <si>
    <t>用户管理表可添加账号信息，点击新增按钮可以弹出录入窗体，输入信息后点击保存</t>
  </si>
  <si>
    <t>双击用户管理后面的列可以进行修改和删除操作</t>
  </si>
  <si>
    <t>4.</t>
  </si>
  <si>
    <t>上方的文本框是根据用户名查询，可模糊查询</t>
  </si>
  <si>
    <t>序号</t>
  </si>
  <si>
    <t>商品名称</t>
  </si>
  <si>
    <t>商品代码</t>
  </si>
  <si>
    <t>商品类别</t>
  </si>
  <si>
    <t>商品单位</t>
  </si>
  <si>
    <t>数量</t>
  </si>
  <si>
    <t>金额</t>
  </si>
  <si>
    <t>库存数量</t>
  </si>
  <si>
    <t>入库单</t>
  </si>
  <si>
    <t>订单号：</t>
  </si>
  <si>
    <t>DD202107271723</t>
  </si>
  <si>
    <t>供应商：</t>
  </si>
  <si>
    <t>阿里巴巴</t>
  </si>
  <si>
    <t>入库时间：</t>
  </si>
  <si>
    <t>单价</t>
  </si>
  <si>
    <t>无线耳机</t>
  </si>
  <si>
    <t>XP0024</t>
  </si>
  <si>
    <t>外设</t>
  </si>
  <si>
    <t>充电器</t>
  </si>
  <si>
    <t>JP0037</t>
  </si>
  <si>
    <t>电器</t>
  </si>
  <si>
    <t>合计金额(大写):</t>
  </si>
  <si>
    <t>合计金额(小写):</t>
  </si>
  <si>
    <t>出库单</t>
  </si>
  <si>
    <t>dd20220602002</t>
  </si>
  <si>
    <t>客户：</t>
  </si>
  <si>
    <t>腾讯</t>
  </si>
  <si>
    <t>出库时间：</t>
  </si>
  <si>
    <t>JTP0091</t>
  </si>
  <si>
    <t>合计金额：175888</t>
  </si>
  <si>
    <t>id</t>
  </si>
  <si>
    <t>商品售价</t>
  </si>
  <si>
    <t>商品数量</t>
  </si>
  <si>
    <t>订单号</t>
  </si>
  <si>
    <t>价格</t>
  </si>
  <si>
    <t>明细类型</t>
  </si>
  <si>
    <t>时间</t>
  </si>
  <si>
    <t>公司名</t>
  </si>
  <si>
    <t>收/进货方</t>
  </si>
  <si>
    <t>期初</t>
  </si>
  <si>
    <t>入库</t>
  </si>
  <si>
    <t>出库</t>
  </si>
  <si>
    <t>结存</t>
  </si>
  <si>
    <t>边缘存量</t>
  </si>
  <si>
    <t>客户名称</t>
  </si>
  <si>
    <t>入库/出库数量</t>
  </si>
  <si>
    <t>入库/出库金额</t>
  </si>
  <si>
    <t>类别</t>
  </si>
  <si>
    <t>商品图片</t>
  </si>
  <si>
    <t>供应名称</t>
  </si>
  <si>
    <t>客户</t>
  </si>
  <si>
    <t>联系地址</t>
  </si>
  <si>
    <t>联系方式</t>
  </si>
  <si>
    <t>供应商</t>
  </si>
  <si>
    <t>备注</t>
  </si>
  <si>
    <t>用户名</t>
  </si>
  <si>
    <t>密码</t>
  </si>
  <si>
    <t>公司</t>
  </si>
  <si>
    <t>权限</t>
  </si>
  <si>
    <t>账号状态</t>
  </si>
  <si>
    <t>双击修改</t>
  </si>
  <si>
    <t>双击删除</t>
  </si>
</sst>
</file>

<file path=xl/styles.xml><?xml version="1.0" encoding="utf-8"?>
<styleSheet xmlns="http://schemas.openxmlformats.org/spreadsheetml/2006/main">
  <numFmts count="8">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m/d\ hh:mm:ss"/>
    <numFmt numFmtId="178" formatCode="[DBNum2][$RMB]General;[Red][DBNum2][$RMB]General"/>
    <numFmt numFmtId="179" formatCode="00"/>
  </numFmts>
  <fonts count="49">
    <font>
      <sz val="12"/>
      <name val="宋体"/>
      <charset val="134"/>
    </font>
    <font>
      <sz val="12"/>
      <name val="等线"/>
      <charset val="134"/>
    </font>
    <font>
      <sz val="10"/>
      <name val="等线"/>
      <charset val="134"/>
    </font>
    <font>
      <b/>
      <sz val="14"/>
      <color theme="0"/>
      <name val="等线"/>
      <charset val="134"/>
    </font>
    <font>
      <b/>
      <sz val="14"/>
      <name val="等线"/>
      <charset val="134"/>
    </font>
    <font>
      <sz val="14"/>
      <name val="微软雅黑"/>
      <charset val="134"/>
    </font>
    <font>
      <sz val="12"/>
      <color theme="1" tint="0.349986266670736"/>
      <name val="等线"/>
      <charset val="134"/>
    </font>
    <font>
      <b/>
      <sz val="14"/>
      <color theme="0"/>
      <name val="微软雅黑"/>
      <charset val="134"/>
    </font>
    <font>
      <sz val="20"/>
      <name val="微软雅黑"/>
      <charset val="134"/>
    </font>
    <font>
      <sz val="16"/>
      <name val="微软雅黑"/>
      <charset val="134"/>
    </font>
    <font>
      <sz val="11"/>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70702230903"/>
      <name val="微软雅黑"/>
      <charset val="134"/>
    </font>
    <font>
      <b/>
      <sz val="20"/>
      <color theme="4" tint="0.79970702230903"/>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70702230903"/>
      <name val="微软雅黑"/>
      <charset val="134"/>
    </font>
    <font>
      <sz val="9"/>
      <name val="宋体"/>
      <charset val="134"/>
    </font>
    <font>
      <sz val="12"/>
      <name val="宋体"/>
      <charset val="134"/>
    </font>
  </fonts>
  <fills count="41">
    <fill>
      <patternFill patternType="none"/>
    </fill>
    <fill>
      <patternFill patternType="gray125"/>
    </fill>
    <fill>
      <patternFill patternType="solid">
        <fgColor theme="1" tint="0.349986266670736"/>
        <bgColor indexed="64"/>
      </patternFill>
    </fill>
    <fill>
      <patternFill patternType="solid">
        <fgColor theme="4" tint="0.599993896298105"/>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8">
    <border>
      <left/>
      <right/>
      <top/>
      <bottom/>
      <diagonal/>
    </border>
    <border>
      <left style="thin">
        <color theme="0"/>
      </left>
      <right/>
      <top style="thin">
        <color theme="0"/>
      </top>
      <bottom style="thin">
        <color theme="0"/>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style="thin">
        <color theme="0" tint="-0.349986266670736"/>
      </top>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style="thin">
        <color theme="0" tint="-0.349986266670736"/>
      </right>
      <top/>
      <bottom/>
      <diagonal/>
    </border>
    <border>
      <left style="thin">
        <color theme="0" tint="-0.35"/>
      </left>
      <right style="thin">
        <color theme="0" tint="-0.35"/>
      </right>
      <top style="thin">
        <color theme="0" tint="-0.35"/>
      </top>
      <bottom style="thin">
        <color theme="0" tint="-0.35"/>
      </bottom>
      <diagonal/>
    </border>
    <border>
      <left/>
      <right/>
      <top/>
      <bottom style="thin">
        <color theme="0" tint="-0.349986266670736"/>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12" fillId="0" borderId="0" applyFont="0" applyFill="0" applyBorder="0" applyAlignment="0" applyProtection="0">
      <alignment vertical="center"/>
    </xf>
    <xf numFmtId="0" fontId="27" fillId="11" borderId="0" applyNumberFormat="0" applyBorder="0" applyAlignment="0" applyProtection="0">
      <alignment vertical="center"/>
    </xf>
    <xf numFmtId="0" fontId="28" fillId="12" borderId="10" applyNumberFormat="0" applyAlignment="0" applyProtection="0">
      <alignment vertical="center"/>
    </xf>
    <xf numFmtId="44" fontId="12" fillId="0" borderId="0" applyFont="0" applyFill="0" applyBorder="0" applyAlignment="0" applyProtection="0">
      <alignment vertical="center"/>
    </xf>
    <xf numFmtId="41" fontId="12" fillId="0" borderId="0" applyFont="0" applyFill="0" applyBorder="0" applyAlignment="0" applyProtection="0">
      <alignment vertical="center"/>
    </xf>
    <xf numFmtId="0" fontId="27" fillId="13" borderId="0" applyNumberFormat="0" applyBorder="0" applyAlignment="0" applyProtection="0">
      <alignment vertical="center"/>
    </xf>
    <xf numFmtId="0" fontId="29" fillId="14" borderId="0" applyNumberFormat="0" applyBorder="0" applyAlignment="0" applyProtection="0">
      <alignment vertical="center"/>
    </xf>
    <xf numFmtId="43" fontId="12" fillId="0" borderId="0" applyFont="0" applyFill="0" applyBorder="0" applyAlignment="0" applyProtection="0">
      <alignment vertical="center"/>
    </xf>
    <xf numFmtId="0" fontId="30" fillId="15" borderId="0" applyNumberFormat="0" applyBorder="0" applyAlignment="0" applyProtection="0">
      <alignment vertical="center"/>
    </xf>
    <xf numFmtId="0" fontId="31" fillId="0" borderId="0" applyNumberFormat="0" applyFill="0" applyBorder="0" applyAlignment="0" applyProtection="0">
      <alignment vertical="center"/>
    </xf>
    <xf numFmtId="9" fontId="12" fillId="0" borderId="0" applyFont="0" applyFill="0" applyBorder="0" applyAlignment="0" applyProtection="0">
      <alignment vertical="center"/>
    </xf>
    <xf numFmtId="0" fontId="32" fillId="0" borderId="0" applyNumberFormat="0" applyFill="0" applyBorder="0" applyAlignment="0" applyProtection="0">
      <alignment vertical="center"/>
    </xf>
    <xf numFmtId="0" fontId="12" fillId="16" borderId="11" applyNumberFormat="0" applyFont="0" applyAlignment="0" applyProtection="0">
      <alignment vertical="center"/>
    </xf>
    <xf numFmtId="0" fontId="30" fillId="17" borderId="0" applyNumberFormat="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12" applyNumberFormat="0" applyFill="0" applyAlignment="0" applyProtection="0">
      <alignment vertical="center"/>
    </xf>
    <xf numFmtId="0" fontId="38" fillId="0" borderId="12" applyNumberFormat="0" applyFill="0" applyAlignment="0" applyProtection="0">
      <alignment vertical="center"/>
    </xf>
    <xf numFmtId="0" fontId="30" fillId="18" borderId="0" applyNumberFormat="0" applyBorder="0" applyAlignment="0" applyProtection="0">
      <alignment vertical="center"/>
    </xf>
    <xf numFmtId="0" fontId="33" fillId="0" borderId="13" applyNumberFormat="0" applyFill="0" applyAlignment="0" applyProtection="0">
      <alignment vertical="center"/>
    </xf>
    <xf numFmtId="0" fontId="30" fillId="19" borderId="0" applyNumberFormat="0" applyBorder="0" applyAlignment="0" applyProtection="0">
      <alignment vertical="center"/>
    </xf>
    <xf numFmtId="0" fontId="39" fillId="20" borderId="14" applyNumberFormat="0" applyAlignment="0" applyProtection="0">
      <alignment vertical="center"/>
    </xf>
    <xf numFmtId="0" fontId="40" fillId="20" borderId="10" applyNumberFormat="0" applyAlignment="0" applyProtection="0">
      <alignment vertical="center"/>
    </xf>
    <xf numFmtId="0" fontId="41" fillId="21" borderId="15" applyNumberFormat="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42" fillId="0" borderId="16" applyNumberFormat="0" applyFill="0" applyAlignment="0" applyProtection="0">
      <alignment vertical="center"/>
    </xf>
    <xf numFmtId="0" fontId="43" fillId="0" borderId="17" applyNumberFormat="0" applyFill="0" applyAlignment="0" applyProtection="0">
      <alignment vertical="center"/>
    </xf>
    <xf numFmtId="0" fontId="44" fillId="24" borderId="0" applyNumberFormat="0" applyBorder="0" applyAlignment="0" applyProtection="0">
      <alignment vertical="center"/>
    </xf>
    <xf numFmtId="0" fontId="45" fillId="25" borderId="0" applyNumberFormat="0" applyBorder="0" applyAlignment="0" applyProtection="0">
      <alignment vertical="center"/>
    </xf>
    <xf numFmtId="0" fontId="27" fillId="26" borderId="0" applyNumberFormat="0" applyBorder="0" applyAlignment="0" applyProtection="0">
      <alignment vertical="center"/>
    </xf>
    <xf numFmtId="0" fontId="30" fillId="27" borderId="0" applyNumberFormat="0" applyBorder="0" applyAlignment="0" applyProtection="0">
      <alignment vertical="center"/>
    </xf>
    <xf numFmtId="0" fontId="27" fillId="28" borderId="0" applyNumberFormat="0" applyBorder="0" applyAlignment="0" applyProtection="0">
      <alignment vertical="center"/>
    </xf>
    <xf numFmtId="0" fontId="27" fillId="3"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30" fillId="31" borderId="0" applyNumberFormat="0" applyBorder="0" applyAlignment="0" applyProtection="0">
      <alignment vertical="center"/>
    </xf>
    <xf numFmtId="0" fontId="30" fillId="32" borderId="0" applyNumberFormat="0" applyBorder="0" applyAlignment="0" applyProtection="0">
      <alignment vertical="center"/>
    </xf>
    <xf numFmtId="0" fontId="27" fillId="33" borderId="0" applyNumberFormat="0" applyBorder="0" applyAlignment="0" applyProtection="0">
      <alignment vertical="center"/>
    </xf>
    <xf numFmtId="0" fontId="27" fillId="34" borderId="0" applyNumberFormat="0" applyBorder="0" applyAlignment="0" applyProtection="0">
      <alignment vertical="center"/>
    </xf>
    <xf numFmtId="0" fontId="30" fillId="35" borderId="0" applyNumberFormat="0" applyBorder="0" applyAlignment="0" applyProtection="0">
      <alignment vertical="center"/>
    </xf>
    <xf numFmtId="0" fontId="27" fillId="36" borderId="0" applyNumberFormat="0" applyBorder="0" applyAlignment="0" applyProtection="0">
      <alignment vertical="center"/>
    </xf>
    <xf numFmtId="0" fontId="30" fillId="37" borderId="0" applyNumberFormat="0" applyBorder="0" applyAlignment="0" applyProtection="0">
      <alignment vertical="center"/>
    </xf>
    <xf numFmtId="0" fontId="30" fillId="38" borderId="0" applyNumberFormat="0" applyBorder="0" applyAlignment="0" applyProtection="0">
      <alignment vertical="center"/>
    </xf>
    <xf numFmtId="0" fontId="27" fillId="39" borderId="0" applyNumberFormat="0" applyBorder="0" applyAlignment="0" applyProtection="0">
      <alignment vertical="center"/>
    </xf>
    <xf numFmtId="0" fontId="30" fillId="40" borderId="0" applyNumberFormat="0" applyBorder="0" applyAlignment="0" applyProtection="0">
      <alignment vertical="center"/>
    </xf>
  </cellStyleXfs>
  <cellXfs count="80">
    <xf numFmtId="0" fontId="0" fillId="0" borderId="0" xfId="0">
      <alignment vertical="center"/>
    </xf>
    <xf numFmtId="0" fontId="1" fillId="2" borderId="0" xfId="0" applyFont="1" applyFill="1" applyAlignment="1">
      <alignment horizontal="center" vertical="center"/>
    </xf>
    <xf numFmtId="0" fontId="1" fillId="3"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Fill="1" applyAlignment="1">
      <alignment horizontal="center" vertical="center"/>
    </xf>
    <xf numFmtId="0" fontId="2" fillId="4"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3" borderId="0" xfId="0" applyFill="1">
      <alignment vertical="center"/>
    </xf>
    <xf numFmtId="0" fontId="3" fillId="2" borderId="0" xfId="0" applyFont="1" applyFill="1" applyAlignment="1">
      <alignment horizontal="center" vertical="center"/>
    </xf>
    <xf numFmtId="0" fontId="1" fillId="0" borderId="0" xfId="0" applyFont="1" applyFill="1" applyAlignment="1">
      <alignment horizontal="center" vertical="center"/>
    </xf>
    <xf numFmtId="0" fontId="4" fillId="0" borderId="0" xfId="0" applyFont="1" applyFill="1" applyAlignment="1">
      <alignment horizontal="center" vertical="center"/>
    </xf>
    <xf numFmtId="0" fontId="5" fillId="5" borderId="2" xfId="0" applyFont="1" applyFill="1" applyBorder="1" applyAlignment="1">
      <alignment horizontal="center" vertical="center"/>
    </xf>
    <xf numFmtId="0" fontId="6" fillId="2" borderId="0" xfId="0" applyFont="1" applyFill="1" applyAlignment="1">
      <alignment horizontal="center" vertical="center"/>
    </xf>
    <xf numFmtId="49" fontId="2" fillId="0" borderId="2" xfId="0" applyNumberFormat="1" applyFont="1" applyFill="1" applyBorder="1" applyAlignment="1">
      <alignment horizontal="center" vertical="center"/>
    </xf>
    <xf numFmtId="176" fontId="2" fillId="0" borderId="2" xfId="0" applyNumberFormat="1" applyFont="1" applyFill="1" applyBorder="1" applyAlignment="1">
      <alignment horizontal="center" vertical="center"/>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5" fillId="5" borderId="5" xfId="0" applyFont="1" applyFill="1" applyBorder="1" applyAlignment="1">
      <alignment horizontal="center" vertical="center"/>
    </xf>
    <xf numFmtId="0" fontId="5" fillId="5" borderId="6" xfId="0" applyFont="1" applyFill="1" applyBorder="1" applyAlignment="1">
      <alignment horizontal="center" vertical="center"/>
    </xf>
    <xf numFmtId="0" fontId="1" fillId="2"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2" fillId="3" borderId="0" xfId="0" applyNumberFormat="1" applyFont="1" applyFill="1" applyAlignment="1">
      <alignment horizontal="center" vertical="center"/>
    </xf>
    <xf numFmtId="0" fontId="2" fillId="0" borderId="0" xfId="0" applyNumberFormat="1" applyFont="1" applyFill="1" applyAlignment="1">
      <alignment horizontal="center" vertical="center"/>
    </xf>
    <xf numFmtId="0" fontId="2" fillId="0" borderId="2" xfId="0" applyNumberFormat="1" applyFont="1" applyFill="1" applyBorder="1" applyAlignment="1">
      <alignment horizontal="center" vertical="center"/>
    </xf>
    <xf numFmtId="0" fontId="0" fillId="3" borderId="0" xfId="0" applyNumberFormat="1" applyFill="1">
      <alignment vertical="center"/>
    </xf>
    <xf numFmtId="0" fontId="3"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1" fillId="3" borderId="0" xfId="0" applyNumberFormat="1" applyFont="1" applyFill="1" applyAlignment="1">
      <alignment horizontal="center" vertical="center"/>
    </xf>
    <xf numFmtId="0" fontId="1" fillId="0" borderId="0" xfId="0" applyNumberFormat="1" applyFont="1" applyFill="1" applyAlignment="1">
      <alignment horizontal="center" vertical="center"/>
    </xf>
    <xf numFmtId="49" fontId="1" fillId="0" borderId="0" xfId="0" applyNumberFormat="1" applyFont="1" applyFill="1" applyAlignment="1">
      <alignment horizontal="center" vertical="center"/>
    </xf>
    <xf numFmtId="49" fontId="5" fillId="5" borderId="2" xfId="0" applyNumberFormat="1" applyFont="1" applyFill="1" applyBorder="1" applyAlignment="1">
      <alignment horizontal="center" vertical="center"/>
    </xf>
    <xf numFmtId="49" fontId="5" fillId="5" borderId="5" xfId="0" applyNumberFormat="1" applyFont="1" applyFill="1" applyBorder="1" applyAlignment="1">
      <alignment horizontal="center" vertical="center"/>
    </xf>
    <xf numFmtId="177" fontId="2" fillId="0" borderId="2" xfId="0" applyNumberFormat="1" applyFont="1" applyFill="1" applyBorder="1" applyAlignment="1">
      <alignment horizontal="center" vertical="center"/>
    </xf>
    <xf numFmtId="0" fontId="5" fillId="5" borderId="7" xfId="0" applyFont="1" applyFill="1" applyBorder="1" applyAlignment="1">
      <alignment horizontal="center" vertical="center"/>
    </xf>
    <xf numFmtId="177" fontId="1" fillId="2" borderId="0" xfId="0" applyNumberFormat="1" applyFont="1" applyFill="1" applyAlignment="1">
      <alignment horizontal="center" vertical="center"/>
    </xf>
    <xf numFmtId="177" fontId="1" fillId="3" borderId="0" xfId="0" applyNumberFormat="1" applyFont="1" applyFill="1" applyAlignment="1">
      <alignment horizontal="center" vertical="center"/>
    </xf>
    <xf numFmtId="177" fontId="1" fillId="0" borderId="0" xfId="0" applyNumberFormat="1" applyFont="1" applyFill="1" applyAlignment="1">
      <alignment horizontal="center" vertical="center"/>
    </xf>
    <xf numFmtId="177" fontId="5" fillId="5" borderId="7" xfId="0" applyNumberFormat="1" applyFont="1" applyFill="1" applyBorder="1" applyAlignment="1">
      <alignment horizontal="center" vertical="center"/>
    </xf>
    <xf numFmtId="0" fontId="7" fillId="3" borderId="0" xfId="0" applyFont="1" applyFill="1" applyAlignment="1">
      <alignment horizontal="center" vertical="center"/>
    </xf>
    <xf numFmtId="0" fontId="2" fillId="6" borderId="0"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6" borderId="0" xfId="0" applyFont="1" applyFill="1" applyBorder="1" applyAlignment="1">
      <alignment horizontal="center" vertical="center"/>
    </xf>
    <xf numFmtId="0" fontId="8" fillId="6" borderId="0" xfId="0" applyFont="1" applyFill="1" applyBorder="1" applyAlignment="1">
      <alignment horizontal="center" vertical="center"/>
    </xf>
    <xf numFmtId="0" fontId="9" fillId="6" borderId="0" xfId="0" applyFont="1" applyFill="1" applyBorder="1" applyAlignment="1">
      <alignment horizontal="center" vertical="center"/>
    </xf>
    <xf numFmtId="0" fontId="10" fillId="6" borderId="0" xfId="0" applyFont="1" applyFill="1" applyBorder="1" applyAlignment="1">
      <alignment horizontal="center" vertical="center"/>
    </xf>
    <xf numFmtId="22" fontId="10" fillId="6" borderId="0" xfId="0" applyNumberFormat="1" applyFont="1" applyFill="1" applyBorder="1" applyAlignment="1">
      <alignment horizontal="center" vertical="center"/>
    </xf>
    <xf numFmtId="0" fontId="5" fillId="5" borderId="8" xfId="0" applyFont="1" applyFill="1" applyBorder="1" applyAlignment="1">
      <alignment horizontal="center" vertical="center"/>
    </xf>
    <xf numFmtId="0" fontId="2" fillId="6" borderId="8" xfId="0" applyFont="1" applyFill="1" applyBorder="1" applyAlignment="1">
      <alignment horizontal="center" vertical="center"/>
    </xf>
    <xf numFmtId="0" fontId="5" fillId="6" borderId="2" xfId="0" applyFont="1" applyFill="1" applyBorder="1" applyAlignment="1">
      <alignment horizontal="center" vertical="center"/>
    </xf>
    <xf numFmtId="178" fontId="5" fillId="6" borderId="2" xfId="0" applyNumberFormat="1" applyFont="1" applyFill="1" applyBorder="1" applyAlignment="1">
      <alignment horizontal="center" vertical="center"/>
    </xf>
    <xf numFmtId="0" fontId="2" fillId="6" borderId="2" xfId="0" applyFont="1" applyFill="1" applyBorder="1" applyAlignment="1">
      <alignment horizontal="center" vertical="center"/>
    </xf>
    <xf numFmtId="0" fontId="1" fillId="6" borderId="9" xfId="0" applyFont="1" applyFill="1" applyBorder="1" applyAlignment="1">
      <alignment horizontal="center" vertical="center"/>
    </xf>
    <xf numFmtId="0" fontId="11" fillId="7" borderId="0" xfId="0" applyFont="1" applyFill="1" applyAlignment="1" applyProtection="1">
      <alignment horizontal="left" vertical="center"/>
    </xf>
    <xf numFmtId="0" fontId="12" fillId="8" borderId="0" xfId="0" applyFont="1" applyFill="1" applyAlignment="1" applyProtection="1">
      <alignment vertical="center"/>
    </xf>
    <xf numFmtId="0" fontId="13" fillId="8" borderId="0" xfId="0" applyFont="1" applyFill="1" applyAlignment="1" applyProtection="1">
      <alignment horizontal="left" vertical="center"/>
    </xf>
    <xf numFmtId="0" fontId="13" fillId="6" borderId="0" xfId="0" applyFont="1" applyFill="1" applyAlignment="1" applyProtection="1">
      <alignment horizontal="left" vertical="center"/>
    </xf>
    <xf numFmtId="49" fontId="14" fillId="6" borderId="0" xfId="0" applyNumberFormat="1" applyFont="1" applyFill="1" applyAlignment="1" applyProtection="1">
      <alignment horizontal="right" vertical="center"/>
    </xf>
    <xf numFmtId="0" fontId="15" fillId="6" borderId="0" xfId="0" applyFont="1" applyFill="1" applyAlignment="1" applyProtection="1">
      <alignment horizontal="left" vertical="center"/>
    </xf>
    <xf numFmtId="0" fontId="16" fillId="7" borderId="0" xfId="0" applyFont="1" applyFill="1" applyAlignment="1" applyProtection="1">
      <alignment horizontal="center" vertical="center"/>
    </xf>
    <xf numFmtId="49" fontId="17" fillId="7" borderId="0" xfId="0" applyNumberFormat="1" applyFont="1" applyFill="1" applyAlignment="1" applyProtection="1">
      <alignment horizontal="left" vertical="center"/>
    </xf>
    <xf numFmtId="49" fontId="18" fillId="8" borderId="0" xfId="0" applyNumberFormat="1" applyFont="1" applyFill="1" applyAlignment="1" applyProtection="1">
      <alignment horizontal="right" vertical="center"/>
    </xf>
    <xf numFmtId="49" fontId="18" fillId="6" borderId="0" xfId="0" applyNumberFormat="1" applyFont="1" applyFill="1" applyAlignment="1" applyProtection="1">
      <alignment horizontal="center" vertical="center"/>
    </xf>
    <xf numFmtId="49" fontId="19" fillId="9" borderId="0" xfId="0" applyNumberFormat="1" applyFont="1" applyFill="1" applyAlignment="1" applyProtection="1">
      <alignment horizontal="center" vertical="center" wrapText="1"/>
    </xf>
    <xf numFmtId="0" fontId="20" fillId="9" borderId="0" xfId="0" applyFont="1" applyFill="1" applyAlignment="1" applyProtection="1">
      <alignment horizontal="center" vertical="center" wrapText="1"/>
    </xf>
    <xf numFmtId="179" fontId="21" fillId="9" borderId="0" xfId="0" applyNumberFormat="1" applyFont="1" applyFill="1" applyAlignment="1" applyProtection="1">
      <alignment horizontal="right" vertical="center" indent="1"/>
    </xf>
    <xf numFmtId="0" fontId="22" fillId="9" borderId="0" xfId="0" applyFont="1" applyFill="1" applyAlignment="1" applyProtection="1">
      <alignment horizontal="center" vertical="center" wrapText="1"/>
    </xf>
    <xf numFmtId="49" fontId="20" fillId="9" borderId="0" xfId="0" applyNumberFormat="1" applyFont="1" applyFill="1" applyAlignment="1" applyProtection="1">
      <alignment horizontal="center" vertical="center" wrapText="1"/>
    </xf>
    <xf numFmtId="0" fontId="22" fillId="9" borderId="0" xfId="0" applyFont="1" applyFill="1" applyAlignment="1" applyProtection="1">
      <alignment vertical="center" wrapText="1"/>
    </xf>
    <xf numFmtId="49" fontId="14" fillId="10" borderId="0" xfId="0" applyNumberFormat="1" applyFont="1" applyFill="1" applyAlignment="1" applyProtection="1">
      <alignment horizontal="center" vertical="center" wrapText="1"/>
    </xf>
    <xf numFmtId="0" fontId="23" fillId="10" borderId="0" xfId="0" applyFont="1" applyFill="1" applyAlignment="1" applyProtection="1">
      <alignment horizontal="center" vertical="center" wrapText="1"/>
    </xf>
    <xf numFmtId="0" fontId="15" fillId="10" borderId="0" xfId="0" applyFont="1" applyFill="1" applyAlignment="1" applyProtection="1">
      <alignment horizontal="left" vertical="center"/>
    </xf>
    <xf numFmtId="49" fontId="11" fillId="7" borderId="0" xfId="0" applyNumberFormat="1" applyFont="1" applyFill="1" applyAlignment="1" applyProtection="1">
      <alignment horizontal="left" vertical="center"/>
    </xf>
    <xf numFmtId="0" fontId="24" fillId="3" borderId="0" xfId="0" applyFont="1" applyFill="1" applyAlignment="1">
      <alignment vertical="center"/>
    </xf>
    <xf numFmtId="0" fontId="25" fillId="3" borderId="0" xfId="0" applyFont="1" applyFill="1" applyAlignment="1">
      <alignment vertical="center"/>
    </xf>
    <xf numFmtId="0" fontId="26" fillId="3" borderId="0" xfId="0" applyFont="1" applyFill="1" applyAlignment="1">
      <alignment vertical="center"/>
    </xf>
    <xf numFmtId="0" fontId="26" fillId="3" borderId="0" xfId="0" applyFont="1" applyFill="1" applyBorder="1" applyAlignment="1">
      <alignment vertical="center"/>
    </xf>
    <xf numFmtId="0" fontId="5" fillId="3" borderId="0" xfId="0" applyFont="1" applyFill="1" applyAlignment="1">
      <alignment vertical="center"/>
    </xf>
    <xf numFmtId="0" fontId="5" fillId="3" borderId="0" xfId="0" applyFont="1" applyFill="1" applyBorder="1" applyAlignment="1">
      <alignment vertical="center"/>
    </xf>
    <xf numFmtId="0" fontId="24" fillId="3"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ill>
        <patternFill patternType="solid">
          <bgColor theme="5" tint="0.8"/>
        </patternFill>
      </fill>
    </dxf>
    <dxf>
      <fill>
        <patternFill patternType="solid">
          <bgColor theme="7" tint="0.5999938962981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styles" Target="styles.xml"/><Relationship Id="rId18" Type="http://schemas.openxmlformats.org/officeDocument/2006/relationships/theme" Target="theme/theme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vmlDrawing5.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9</xdr:col>
      <xdr:colOff>266065</xdr:colOff>
      <xdr:row>0</xdr:row>
      <xdr:rowOff>0</xdr:rowOff>
    </xdr:from>
    <xdr:to>
      <xdr:col>40</xdr:col>
      <xdr:colOff>133350</xdr:colOff>
      <xdr:row>23</xdr:row>
      <xdr:rowOff>77470</xdr:rowOff>
    </xdr:to>
    <xdr:sp>
      <xdr:nvSpPr>
        <xdr:cNvPr id="9" name="同侧圆角矩形 30"/>
        <xdr:cNvSpPr/>
      </xdr:nvSpPr>
      <xdr:spPr>
        <a:xfrm rot="5400000" flipH="1">
          <a:off x="4431030" y="-1678940"/>
          <a:ext cx="5072380" cy="843026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4445</xdr:colOff>
      <xdr:row>0</xdr:row>
      <xdr:rowOff>0</xdr:rowOff>
    </xdr:from>
    <xdr:to>
      <xdr:col>9</xdr:col>
      <xdr:colOff>257175</xdr:colOff>
      <xdr:row>23</xdr:row>
      <xdr:rowOff>76835</xdr:rowOff>
    </xdr:to>
    <xdr:sp>
      <xdr:nvSpPr>
        <xdr:cNvPr id="25" name="同侧圆角矩形 32"/>
        <xdr:cNvSpPr/>
      </xdr:nvSpPr>
      <xdr:spPr>
        <a:xfrm rot="16200000">
          <a:off x="-1162050" y="1166495"/>
          <a:ext cx="5071745" cy="2738755"/>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32</xdr:col>
      <xdr:colOff>135061</xdr:colOff>
      <xdr:row>9</xdr:row>
      <xdr:rowOff>93980</xdr:rowOff>
    </xdr:from>
    <xdr:to>
      <xdr:col>38</xdr:col>
      <xdr:colOff>107315</xdr:colOff>
      <xdr:row>13</xdr:row>
      <xdr:rowOff>26670</xdr:rowOff>
    </xdr:to>
    <xdr:sp macro="[0]!asht10">
      <xdr:nvSpPr>
        <xdr:cNvPr id="27" name="圆角矩形 14"/>
        <xdr:cNvSpPr/>
      </xdr:nvSpPr>
      <xdr:spPr>
        <a:xfrm>
          <a:off x="8973820" y="2048510"/>
          <a:ext cx="1630045"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客户资料</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14</xdr:row>
      <xdr:rowOff>170180</xdr:rowOff>
    </xdr:from>
    <xdr:to>
      <xdr:col>16</xdr:col>
      <xdr:colOff>259274</xdr:colOff>
      <xdr:row>18</xdr:row>
      <xdr:rowOff>102870</xdr:rowOff>
    </xdr:to>
    <xdr:sp macro="[0]!asht11">
      <xdr:nvSpPr>
        <xdr:cNvPr id="28" name="圆角矩形 16"/>
        <xdr:cNvSpPr/>
      </xdr:nvSpPr>
      <xdr:spPr>
        <a:xfrm>
          <a:off x="304927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供应商资料</a:t>
          </a:r>
          <a:endParaRPr lang="zh-CN" altLang="en-US" sz="1600" b="1">
            <a:latin typeface="微软雅黑" panose="020B0503020204020204" charset="-122"/>
            <a:ea typeface="微软雅黑" panose="020B0503020204020204" charset="-122"/>
          </a:endParaRPr>
        </a:p>
      </xdr:txBody>
    </xdr:sp>
    <xdr:clientData/>
  </xdr:twoCellAnchor>
  <xdr:twoCellAnchor>
    <xdr:from>
      <xdr:col>18</xdr:col>
      <xdr:colOff>52217</xdr:colOff>
      <xdr:row>9</xdr:row>
      <xdr:rowOff>93980</xdr:rowOff>
    </xdr:from>
    <xdr:to>
      <xdr:col>24</xdr:col>
      <xdr:colOff>24471</xdr:colOff>
      <xdr:row>13</xdr:row>
      <xdr:rowOff>26670</xdr:rowOff>
    </xdr:to>
    <xdr:sp macro="[0]!asht8">
      <xdr:nvSpPr>
        <xdr:cNvPr id="29" name="圆角矩形 4"/>
        <xdr:cNvSpPr/>
      </xdr:nvSpPr>
      <xdr:spPr>
        <a:xfrm>
          <a:off x="502412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进出查询</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9</xdr:row>
      <xdr:rowOff>93980</xdr:rowOff>
    </xdr:from>
    <xdr:to>
      <xdr:col>31</xdr:col>
      <xdr:colOff>65893</xdr:colOff>
      <xdr:row>13</xdr:row>
      <xdr:rowOff>26670</xdr:rowOff>
    </xdr:to>
    <xdr:sp macro="[0]!asht9">
      <xdr:nvSpPr>
        <xdr:cNvPr id="30" name="圆角矩形 8"/>
        <xdr:cNvSpPr/>
      </xdr:nvSpPr>
      <xdr:spPr>
        <a:xfrm>
          <a:off x="699897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基础资料</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142875</xdr:colOff>
      <xdr:row>20</xdr:row>
      <xdr:rowOff>172085</xdr:rowOff>
    </xdr:from>
    <xdr:to>
      <xdr:col>39</xdr:col>
      <xdr:colOff>218440</xdr:colOff>
      <xdr:row>22</xdr:row>
      <xdr:rowOff>189865</xdr:rowOff>
    </xdr:to>
    <xdr:sp>
      <xdr:nvSpPr>
        <xdr:cNvPr id="31" name="圆角矩形 24">
          <a:hlinkClick xmlns:r="http://schemas.openxmlformats.org/officeDocument/2006/relationships" r:id="rId1"/>
        </xdr:cNvPr>
        <xdr:cNvSpPr/>
      </xdr:nvSpPr>
      <xdr:spPr>
        <a:xfrm>
          <a:off x="953452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10795</xdr:colOff>
      <xdr:row>4</xdr:row>
      <xdr:rowOff>19050</xdr:rowOff>
    </xdr:from>
    <xdr:to>
      <xdr:col>16</xdr:col>
      <xdr:colOff>259274</xdr:colOff>
      <xdr:row>7</xdr:row>
      <xdr:rowOff>140970</xdr:rowOff>
    </xdr:to>
    <xdr:sp macro="[0]!asht4">
      <xdr:nvSpPr>
        <xdr:cNvPr id="33" name="圆角矩形 3"/>
        <xdr:cNvSpPr/>
      </xdr:nvSpPr>
      <xdr:spPr>
        <a:xfrm>
          <a:off x="30492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入库</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4</xdr:row>
      <xdr:rowOff>19050</xdr:rowOff>
    </xdr:from>
    <xdr:to>
      <xdr:col>31</xdr:col>
      <xdr:colOff>65893</xdr:colOff>
      <xdr:row>7</xdr:row>
      <xdr:rowOff>140970</xdr:rowOff>
    </xdr:to>
    <xdr:sp macro="[0]!asht5">
      <xdr:nvSpPr>
        <xdr:cNvPr id="34" name="圆角矩形 7"/>
        <xdr:cNvSpPr/>
      </xdr:nvSpPr>
      <xdr:spPr>
        <a:xfrm>
          <a:off x="69989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期初数</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135061</xdr:colOff>
      <xdr:row>4</xdr:row>
      <xdr:rowOff>19050</xdr:rowOff>
    </xdr:from>
    <xdr:to>
      <xdr:col>38</xdr:col>
      <xdr:colOff>107315</xdr:colOff>
      <xdr:row>7</xdr:row>
      <xdr:rowOff>140970</xdr:rowOff>
    </xdr:to>
    <xdr:sp macro="[0]!asht6">
      <xdr:nvSpPr>
        <xdr:cNvPr id="35" name="圆角矩形 13"/>
        <xdr:cNvSpPr/>
      </xdr:nvSpPr>
      <xdr:spPr>
        <a:xfrm>
          <a:off x="8973820" y="887730"/>
          <a:ext cx="1630045"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明细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9</xdr:row>
      <xdr:rowOff>93980</xdr:rowOff>
    </xdr:from>
    <xdr:to>
      <xdr:col>16</xdr:col>
      <xdr:colOff>259274</xdr:colOff>
      <xdr:row>13</xdr:row>
      <xdr:rowOff>6350</xdr:rowOff>
    </xdr:to>
    <xdr:sp macro="[0]!asht7">
      <xdr:nvSpPr>
        <xdr:cNvPr id="36" name="圆角矩形 15"/>
        <xdr:cNvSpPr/>
      </xdr:nvSpPr>
      <xdr:spPr>
        <a:xfrm>
          <a:off x="3049270" y="2048510"/>
          <a:ext cx="1629410" cy="78105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进销存</a:t>
          </a:r>
          <a:endParaRPr lang="zh-CN" altLang="en-US" sz="1600" b="1">
            <a:latin typeface="微软雅黑" panose="020B0503020204020204" charset="-122"/>
            <a:ea typeface="微软雅黑" panose="020B0503020204020204" charset="-122"/>
          </a:endParaRPr>
        </a:p>
      </xdr:txBody>
    </xdr:sp>
    <xdr:clientData/>
  </xdr:twoCellAnchor>
  <xdr:twoCellAnchor>
    <xdr:from>
      <xdr:col>2</xdr:col>
      <xdr:colOff>28575</xdr:colOff>
      <xdr:row>0</xdr:row>
      <xdr:rowOff>21590</xdr:rowOff>
    </xdr:from>
    <xdr:to>
      <xdr:col>9</xdr:col>
      <xdr:colOff>93980</xdr:colOff>
      <xdr:row>23</xdr:row>
      <xdr:rowOff>73660</xdr:rowOff>
    </xdr:to>
    <xdr:sp>
      <xdr:nvSpPr>
        <xdr:cNvPr id="37" name="文本框 35"/>
        <xdr:cNvSpPr txBox="1"/>
      </xdr:nvSpPr>
      <xdr:spPr>
        <a:xfrm>
          <a:off x="581025" y="21590"/>
          <a:ext cx="1998980" cy="504698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进销存系统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0</xdr:col>
      <xdr:colOff>210185</xdr:colOff>
      <xdr:row>2</xdr:row>
      <xdr:rowOff>145415</xdr:rowOff>
    </xdr:from>
    <xdr:to>
      <xdr:col>2</xdr:col>
      <xdr:colOff>116840</xdr:colOff>
      <xdr:row>21</xdr:row>
      <xdr:rowOff>71120</xdr:rowOff>
    </xdr:to>
    <xdr:sp>
      <xdr:nvSpPr>
        <xdr:cNvPr id="38" name="文本框 37"/>
        <xdr:cNvSpPr txBox="1"/>
      </xdr:nvSpPr>
      <xdr:spPr>
        <a:xfrm>
          <a:off x="210185" y="579755"/>
          <a:ext cx="459105" cy="405193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Purchase-sale-storage System</a:t>
          </a:r>
          <a:endParaRPr lang="en-US" altLang="zh-CN" sz="2000">
            <a:solidFill>
              <a:schemeClr val="bg1"/>
            </a:solidFill>
            <a:latin typeface="微软雅黑" panose="020B0503020204020204" charset="-122"/>
            <a:ea typeface="微软雅黑" panose="020B0503020204020204" charset="-122"/>
          </a:endParaRPr>
        </a:p>
      </xdr:txBody>
    </xdr:sp>
    <xdr:clientData/>
  </xdr:twoCellAnchor>
  <xdr:twoCellAnchor>
    <xdr:from>
      <xdr:col>33</xdr:col>
      <xdr:colOff>96520</xdr:colOff>
      <xdr:row>0</xdr:row>
      <xdr:rowOff>106680</xdr:rowOff>
    </xdr:from>
    <xdr:to>
      <xdr:col>39</xdr:col>
      <xdr:colOff>46990</xdr:colOff>
      <xdr:row>2</xdr:row>
      <xdr:rowOff>127000</xdr:rowOff>
    </xdr:to>
    <xdr:sp>
      <xdr:nvSpPr>
        <xdr:cNvPr id="39" name="矩形 65"/>
        <xdr:cNvSpPr/>
      </xdr:nvSpPr>
      <xdr:spPr>
        <a:xfrm>
          <a:off x="9211945" y="106680"/>
          <a:ext cx="1607820" cy="45466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twoCellAnchor>
    <xdr:from>
      <xdr:col>18</xdr:col>
      <xdr:colOff>52261</xdr:colOff>
      <xdr:row>14</xdr:row>
      <xdr:rowOff>170180</xdr:rowOff>
    </xdr:from>
    <xdr:to>
      <xdr:col>24</xdr:col>
      <xdr:colOff>24427</xdr:colOff>
      <xdr:row>18</xdr:row>
      <xdr:rowOff>102870</xdr:rowOff>
    </xdr:to>
    <xdr:sp macro="[0]!asht12">
      <xdr:nvSpPr>
        <xdr:cNvPr id="5" name="圆角矩形 4"/>
        <xdr:cNvSpPr/>
      </xdr:nvSpPr>
      <xdr:spPr>
        <a:xfrm>
          <a:off x="502412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笔记</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14</xdr:row>
      <xdr:rowOff>170180</xdr:rowOff>
    </xdr:from>
    <xdr:to>
      <xdr:col>31</xdr:col>
      <xdr:colOff>65805</xdr:colOff>
      <xdr:row>18</xdr:row>
      <xdr:rowOff>102870</xdr:rowOff>
    </xdr:to>
    <xdr:sp macro="[0]!asht13">
      <xdr:nvSpPr>
        <xdr:cNvPr id="6" name="圆角矩形 8"/>
        <xdr:cNvSpPr/>
      </xdr:nvSpPr>
      <xdr:spPr>
        <a:xfrm>
          <a:off x="699897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115570</xdr:colOff>
      <xdr:row>20</xdr:row>
      <xdr:rowOff>172085</xdr:rowOff>
    </xdr:from>
    <xdr:to>
      <xdr:col>16</xdr:col>
      <xdr:colOff>190500</xdr:colOff>
      <xdr:row>22</xdr:row>
      <xdr:rowOff>189865</xdr:rowOff>
    </xdr:to>
    <xdr:sp macro="[0]!denglu_show">
      <xdr:nvSpPr>
        <xdr:cNvPr id="3" name="圆角矩形 24"/>
        <xdr:cNvSpPr/>
      </xdr:nvSpPr>
      <xdr:spPr>
        <a:xfrm>
          <a:off x="3154045" y="4515485"/>
          <a:ext cx="1456055"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107315</xdr:colOff>
      <xdr:row>20</xdr:row>
      <xdr:rowOff>172085</xdr:rowOff>
    </xdr:from>
    <xdr:to>
      <xdr:col>23</xdr:col>
      <xdr:colOff>182880</xdr:colOff>
      <xdr:row>22</xdr:row>
      <xdr:rowOff>189865</xdr:rowOff>
    </xdr:to>
    <xdr:sp macro="[0]!xiugaimima_show">
      <xdr:nvSpPr>
        <xdr:cNvPr id="4" name="圆角矩形 24"/>
        <xdr:cNvSpPr/>
      </xdr:nvSpPr>
      <xdr:spPr>
        <a:xfrm>
          <a:off x="507936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修改密码</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52217</xdr:colOff>
      <xdr:row>4</xdr:row>
      <xdr:rowOff>19050</xdr:rowOff>
    </xdr:from>
    <xdr:to>
      <xdr:col>24</xdr:col>
      <xdr:colOff>24471</xdr:colOff>
      <xdr:row>7</xdr:row>
      <xdr:rowOff>140970</xdr:rowOff>
    </xdr:to>
    <xdr:sp macro="[0]!asht14">
      <xdr:nvSpPr>
        <xdr:cNvPr id="23" name="圆角矩形 3"/>
        <xdr:cNvSpPr/>
      </xdr:nvSpPr>
      <xdr:spPr>
        <a:xfrm>
          <a:off x="502412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219710</xdr:rowOff>
    </xdr:to>
    <xdr:sp>
      <xdr:nvSpPr>
        <xdr:cNvPr id="4" name="文本框 3">
          <a:hlinkClick xmlns:r="http://schemas.openxmlformats.org/officeDocument/2006/relationships" r:id="rId1"/>
        </xdr:cNvPr>
        <xdr:cNvSpPr txBox="1"/>
      </xdr:nvSpPr>
      <xdr:spPr>
        <a:xfrm>
          <a:off x="9772650" y="912495"/>
          <a:ext cx="2181225" cy="435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11</xdr:col>
      <xdr:colOff>171450</xdr:colOff>
      <xdr:row>0</xdr:row>
      <xdr:rowOff>180975</xdr:rowOff>
    </xdr:from>
    <xdr:to>
      <xdr:col>11</xdr:col>
      <xdr:colOff>466725</xdr:colOff>
      <xdr:row>0</xdr:row>
      <xdr:rowOff>659765</xdr:rowOff>
    </xdr:to>
    <xdr:sp>
      <xdr:nvSpPr>
        <xdr:cNvPr id="7" name="下箭头 6"/>
        <xdr:cNvSpPr/>
      </xdr:nvSpPr>
      <xdr:spPr>
        <a:xfrm>
          <a:off x="10753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11</xdr:col>
      <xdr:colOff>581025</xdr:colOff>
      <xdr:row>0</xdr:row>
      <xdr:rowOff>180975</xdr:rowOff>
    </xdr:from>
    <xdr:to>
      <xdr:col>12</xdr:col>
      <xdr:colOff>190500</xdr:colOff>
      <xdr:row>0</xdr:row>
      <xdr:rowOff>659765</xdr:rowOff>
    </xdr:to>
    <xdr:sp>
      <xdr:nvSpPr>
        <xdr:cNvPr id="8" name="下箭头 7"/>
        <xdr:cNvSpPr/>
      </xdr:nvSpPr>
      <xdr:spPr>
        <a:xfrm>
          <a:off x="11163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10</xdr:col>
      <xdr:colOff>447675</xdr:colOff>
      <xdr:row>0</xdr:row>
      <xdr:rowOff>180975</xdr:rowOff>
    </xdr:from>
    <xdr:to>
      <xdr:col>11</xdr:col>
      <xdr:colOff>57150</xdr:colOff>
      <xdr:row>0</xdr:row>
      <xdr:rowOff>659765</xdr:rowOff>
    </xdr:to>
    <xdr:sp>
      <xdr:nvSpPr>
        <xdr:cNvPr id="9" name="下箭头 8"/>
        <xdr:cNvSpPr/>
      </xdr:nvSpPr>
      <xdr:spPr>
        <a:xfrm>
          <a:off x="10344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508635</xdr:colOff>
      <xdr:row>0</xdr:row>
      <xdr:rowOff>114300</xdr:rowOff>
    </xdr:from>
    <xdr:to>
      <xdr:col>16</xdr:col>
      <xdr:colOff>398780</xdr:colOff>
      <xdr:row>0</xdr:row>
      <xdr:rowOff>611505</xdr:rowOff>
    </xdr:to>
    <xdr:sp>
      <xdr:nvSpPr>
        <xdr:cNvPr id="33" name="圆角矩形 14"/>
        <xdr:cNvSpPr/>
      </xdr:nvSpPr>
      <xdr:spPr>
        <a:xfrm>
          <a:off x="1118235" y="1143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190500</xdr:rowOff>
    </xdr:from>
    <xdr:to>
      <xdr:col>3</xdr:col>
      <xdr:colOff>95250</xdr:colOff>
      <xdr:row>0</xdr:row>
      <xdr:rowOff>544830</xdr:rowOff>
    </xdr:to>
    <xdr:sp macro="[0]!asht1">
      <xdr:nvSpPr>
        <xdr:cNvPr id="34" name="1"/>
        <xdr:cNvSpPr/>
      </xdr:nvSpPr>
      <xdr:spPr>
        <a:xfrm>
          <a:off x="1175385"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136525</xdr:colOff>
      <xdr:row>0</xdr:row>
      <xdr:rowOff>190500</xdr:rowOff>
    </xdr:from>
    <xdr:to>
      <xdr:col>3</xdr:col>
      <xdr:colOff>951865</xdr:colOff>
      <xdr:row>0</xdr:row>
      <xdr:rowOff>544830</xdr:rowOff>
    </xdr:to>
    <xdr:sp macro="[0]!asht2">
      <xdr:nvSpPr>
        <xdr:cNvPr id="35" name="2"/>
        <xdr:cNvSpPr/>
      </xdr:nvSpPr>
      <xdr:spPr>
        <a:xfrm>
          <a:off x="2032000"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993140</xdr:colOff>
      <xdr:row>0</xdr:row>
      <xdr:rowOff>190500</xdr:rowOff>
    </xdr:from>
    <xdr:to>
      <xdr:col>4</xdr:col>
      <xdr:colOff>522605</xdr:colOff>
      <xdr:row>0</xdr:row>
      <xdr:rowOff>544830</xdr:rowOff>
    </xdr:to>
    <xdr:sp macro="[0]!asht4">
      <xdr:nvSpPr>
        <xdr:cNvPr id="36" name="3"/>
        <xdr:cNvSpPr/>
      </xdr:nvSpPr>
      <xdr:spPr>
        <a:xfrm>
          <a:off x="2888615" y="1905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563880</xdr:colOff>
      <xdr:row>0</xdr:row>
      <xdr:rowOff>190500</xdr:rowOff>
    </xdr:from>
    <xdr:to>
      <xdr:col>5</xdr:col>
      <xdr:colOff>93345</xdr:colOff>
      <xdr:row>0</xdr:row>
      <xdr:rowOff>544830</xdr:rowOff>
    </xdr:to>
    <xdr:sp macro="[0]!asht16">
      <xdr:nvSpPr>
        <xdr:cNvPr id="37" name="4"/>
        <xdr:cNvSpPr/>
      </xdr:nvSpPr>
      <xdr:spPr>
        <a:xfrm>
          <a:off x="3745230"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134620</xdr:colOff>
      <xdr:row>0</xdr:row>
      <xdr:rowOff>190500</xdr:rowOff>
    </xdr:from>
    <xdr:to>
      <xdr:col>5</xdr:col>
      <xdr:colOff>950595</xdr:colOff>
      <xdr:row>0</xdr:row>
      <xdr:rowOff>544830</xdr:rowOff>
    </xdr:to>
    <xdr:sp macro="[0]!asht14">
      <xdr:nvSpPr>
        <xdr:cNvPr id="38" name="5"/>
        <xdr:cNvSpPr/>
      </xdr:nvSpPr>
      <xdr:spPr>
        <a:xfrm>
          <a:off x="4601845" y="1905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991870</xdr:colOff>
      <xdr:row>0</xdr:row>
      <xdr:rowOff>190500</xdr:rowOff>
    </xdr:from>
    <xdr:to>
      <xdr:col>6</xdr:col>
      <xdr:colOff>520700</xdr:colOff>
      <xdr:row>0</xdr:row>
      <xdr:rowOff>544830</xdr:rowOff>
    </xdr:to>
    <xdr:sp macro="[0]!asht17">
      <xdr:nvSpPr>
        <xdr:cNvPr id="39" name="6"/>
        <xdr:cNvSpPr/>
      </xdr:nvSpPr>
      <xdr:spPr>
        <a:xfrm>
          <a:off x="5459095" y="1905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561975</xdr:colOff>
      <xdr:row>0</xdr:row>
      <xdr:rowOff>190500</xdr:rowOff>
    </xdr:from>
    <xdr:to>
      <xdr:col>7</xdr:col>
      <xdr:colOff>91440</xdr:colOff>
      <xdr:row>0</xdr:row>
      <xdr:rowOff>544830</xdr:rowOff>
    </xdr:to>
    <xdr:sp macro="[0]!asht5">
      <xdr:nvSpPr>
        <xdr:cNvPr id="40" name="7"/>
        <xdr:cNvSpPr/>
      </xdr:nvSpPr>
      <xdr:spPr>
        <a:xfrm>
          <a:off x="6315075"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132715</xdr:colOff>
      <xdr:row>0</xdr:row>
      <xdr:rowOff>190500</xdr:rowOff>
    </xdr:from>
    <xdr:to>
      <xdr:col>7</xdr:col>
      <xdr:colOff>948055</xdr:colOff>
      <xdr:row>0</xdr:row>
      <xdr:rowOff>544830</xdr:rowOff>
    </xdr:to>
    <xdr:sp macro="[0]!asht6">
      <xdr:nvSpPr>
        <xdr:cNvPr id="41" name="8"/>
        <xdr:cNvSpPr/>
      </xdr:nvSpPr>
      <xdr:spPr>
        <a:xfrm>
          <a:off x="7171690"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989330</xdr:colOff>
      <xdr:row>0</xdr:row>
      <xdr:rowOff>190500</xdr:rowOff>
    </xdr:from>
    <xdr:to>
      <xdr:col>8</xdr:col>
      <xdr:colOff>519430</xdr:colOff>
      <xdr:row>0</xdr:row>
      <xdr:rowOff>544830</xdr:rowOff>
    </xdr:to>
    <xdr:sp macro="[0]!asht7">
      <xdr:nvSpPr>
        <xdr:cNvPr id="42" name="9"/>
        <xdr:cNvSpPr/>
      </xdr:nvSpPr>
      <xdr:spPr>
        <a:xfrm>
          <a:off x="8028305" y="1905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560705</xdr:colOff>
      <xdr:row>0</xdr:row>
      <xdr:rowOff>190500</xdr:rowOff>
    </xdr:from>
    <xdr:to>
      <xdr:col>9</xdr:col>
      <xdr:colOff>90170</xdr:colOff>
      <xdr:row>0</xdr:row>
      <xdr:rowOff>544830</xdr:rowOff>
    </xdr:to>
    <xdr:sp macro="[0]!asht8">
      <xdr:nvSpPr>
        <xdr:cNvPr id="43" name="10"/>
        <xdr:cNvSpPr/>
      </xdr:nvSpPr>
      <xdr:spPr>
        <a:xfrm>
          <a:off x="8885555"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131445</xdr:colOff>
      <xdr:row>0</xdr:row>
      <xdr:rowOff>190500</xdr:rowOff>
    </xdr:from>
    <xdr:to>
      <xdr:col>9</xdr:col>
      <xdr:colOff>946785</xdr:colOff>
      <xdr:row>0</xdr:row>
      <xdr:rowOff>544830</xdr:rowOff>
    </xdr:to>
    <xdr:sp macro="[0]!asht15">
      <xdr:nvSpPr>
        <xdr:cNvPr id="44" name="11"/>
        <xdr:cNvSpPr/>
      </xdr:nvSpPr>
      <xdr:spPr>
        <a:xfrm>
          <a:off x="9742170" y="1905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988060</xdr:colOff>
      <xdr:row>0</xdr:row>
      <xdr:rowOff>190500</xdr:rowOff>
    </xdr:from>
    <xdr:to>
      <xdr:col>11</xdr:col>
      <xdr:colOff>262890</xdr:colOff>
      <xdr:row>0</xdr:row>
      <xdr:rowOff>544830</xdr:rowOff>
    </xdr:to>
    <xdr:sp macro="[0]!asht9">
      <xdr:nvSpPr>
        <xdr:cNvPr id="45" name="12"/>
        <xdr:cNvSpPr/>
      </xdr:nvSpPr>
      <xdr:spPr>
        <a:xfrm>
          <a:off x="10598785"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140970</xdr:rowOff>
    </xdr:from>
    <xdr:to>
      <xdr:col>2</xdr:col>
      <xdr:colOff>471170</xdr:colOff>
      <xdr:row>0</xdr:row>
      <xdr:rowOff>594360</xdr:rowOff>
    </xdr:to>
    <xdr:sp>
      <xdr:nvSpPr>
        <xdr:cNvPr id="46" name="文本框 45"/>
        <xdr:cNvSpPr txBox="1"/>
      </xdr:nvSpPr>
      <xdr:spPr>
        <a:xfrm>
          <a:off x="0" y="1409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304165</xdr:colOff>
      <xdr:row>0</xdr:row>
      <xdr:rowOff>190500</xdr:rowOff>
    </xdr:from>
    <xdr:to>
      <xdr:col>12</xdr:col>
      <xdr:colOff>436245</xdr:colOff>
      <xdr:row>0</xdr:row>
      <xdr:rowOff>544830</xdr:rowOff>
    </xdr:to>
    <xdr:sp macro="[0]!asht10">
      <xdr:nvSpPr>
        <xdr:cNvPr id="19" name="12"/>
        <xdr:cNvSpPr/>
      </xdr:nvSpPr>
      <xdr:spPr>
        <a:xfrm>
          <a:off x="11457940"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477520</xdr:colOff>
      <xdr:row>0</xdr:row>
      <xdr:rowOff>190500</xdr:rowOff>
    </xdr:from>
    <xdr:to>
      <xdr:col>13</xdr:col>
      <xdr:colOff>609600</xdr:colOff>
      <xdr:row>0</xdr:row>
      <xdr:rowOff>544830</xdr:rowOff>
    </xdr:to>
    <xdr:sp macro="[0]!asht11">
      <xdr:nvSpPr>
        <xdr:cNvPr id="2" name="12"/>
        <xdr:cNvSpPr/>
      </xdr:nvSpPr>
      <xdr:spPr>
        <a:xfrm>
          <a:off x="12317095"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650875</xdr:colOff>
      <xdr:row>0</xdr:row>
      <xdr:rowOff>190500</xdr:rowOff>
    </xdr:from>
    <xdr:to>
      <xdr:col>15</xdr:col>
      <xdr:colOff>97155</xdr:colOff>
      <xdr:row>0</xdr:row>
      <xdr:rowOff>544830</xdr:rowOff>
    </xdr:to>
    <xdr:sp macro="[0]!asht12">
      <xdr:nvSpPr>
        <xdr:cNvPr id="3" name="12"/>
        <xdr:cNvSpPr/>
      </xdr:nvSpPr>
      <xdr:spPr>
        <a:xfrm>
          <a:off x="13176250"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138430</xdr:colOff>
      <xdr:row>0</xdr:row>
      <xdr:rowOff>190500</xdr:rowOff>
    </xdr:from>
    <xdr:to>
      <xdr:col>16</xdr:col>
      <xdr:colOff>270510</xdr:colOff>
      <xdr:row>0</xdr:row>
      <xdr:rowOff>544830</xdr:rowOff>
    </xdr:to>
    <xdr:sp macro="[0]!asht13">
      <xdr:nvSpPr>
        <xdr:cNvPr id="4" name="12"/>
        <xdr:cNvSpPr/>
      </xdr:nvSpPr>
      <xdr:spPr>
        <a:xfrm>
          <a:off x="14035405"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2</xdr:col>
      <xdr:colOff>1066800</xdr:colOff>
      <xdr:row>1</xdr:row>
      <xdr:rowOff>441325</xdr:rowOff>
    </xdr:to>
    <xdr:sp macro="[0]!select04">
      <xdr:nvSpPr>
        <xdr:cNvPr id="9" name="圆角矩形 8"/>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ruku">
      <xdr:nvSpPr>
        <xdr:cNvPr id="10" name="圆角矩形 9"/>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04_show">
      <xdr:nvSpPr>
        <xdr:cNvPr id="5" name="圆角矩形 4"/>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508635</xdr:colOff>
      <xdr:row>0</xdr:row>
      <xdr:rowOff>127000</xdr:rowOff>
    </xdr:from>
    <xdr:to>
      <xdr:col>15</xdr:col>
      <xdr:colOff>570230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1422400</xdr:colOff>
      <xdr:row>0</xdr:row>
      <xdr:rowOff>203200</xdr:rowOff>
    </xdr:from>
    <xdr:to>
      <xdr:col>3</xdr:col>
      <xdr:colOff>666115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707390</xdr:colOff>
      <xdr:row>0</xdr:row>
      <xdr:rowOff>203200</xdr:rowOff>
    </xdr:from>
    <xdr:to>
      <xdr:col>3</xdr:col>
      <xdr:colOff>1522730</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1564005</xdr:colOff>
      <xdr:row>0</xdr:row>
      <xdr:rowOff>203200</xdr:rowOff>
    </xdr:from>
    <xdr:to>
      <xdr:col>4</xdr:col>
      <xdr:colOff>807720</xdr:colOff>
      <xdr:row>0</xdr:row>
      <xdr:rowOff>557530</xdr:rowOff>
    </xdr:to>
    <xdr:sp macro="[0]!asht16">
      <xdr:nvSpPr>
        <xdr:cNvPr id="6" name="4"/>
        <xdr:cNvSpPr/>
      </xdr:nvSpPr>
      <xdr:spPr>
        <a:xfrm>
          <a:off x="374523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848995</xdr:colOff>
      <xdr:row>0</xdr:row>
      <xdr:rowOff>203200</xdr:rowOff>
    </xdr:from>
    <xdr:to>
      <xdr:col>5</xdr:col>
      <xdr:colOff>93345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134620</xdr:colOff>
      <xdr:row>0</xdr:row>
      <xdr:rowOff>203200</xdr:rowOff>
    </xdr:from>
    <xdr:to>
      <xdr:col>5</xdr:col>
      <xdr:colOff>949325</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990600</xdr:colOff>
      <xdr:row>0</xdr:row>
      <xdr:rowOff>203200</xdr:rowOff>
    </xdr:from>
    <xdr:to>
      <xdr:col>6</xdr:col>
      <xdr:colOff>234315</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275590</xdr:colOff>
      <xdr:row>0</xdr:row>
      <xdr:rowOff>203200</xdr:rowOff>
    </xdr:from>
    <xdr:to>
      <xdr:col>6</xdr:col>
      <xdr:colOff>1090930</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1132205</xdr:colOff>
      <xdr:row>0</xdr:row>
      <xdr:rowOff>203200</xdr:rowOff>
    </xdr:from>
    <xdr:to>
      <xdr:col>7</xdr:col>
      <xdr:colOff>376555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417830</xdr:colOff>
      <xdr:row>0</xdr:row>
      <xdr:rowOff>203200</xdr:rowOff>
    </xdr:from>
    <xdr:to>
      <xdr:col>7</xdr:col>
      <xdr:colOff>1233170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1274445</xdr:colOff>
      <xdr:row>0</xdr:row>
      <xdr:rowOff>203200</xdr:rowOff>
    </xdr:from>
    <xdr:to>
      <xdr:col>9</xdr:col>
      <xdr:colOff>260985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302260</xdr:colOff>
      <xdr:row>0</xdr:row>
      <xdr:rowOff>203200</xdr:rowOff>
    </xdr:from>
    <xdr:to>
      <xdr:col>10</xdr:col>
      <xdr:colOff>434340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475615</xdr:colOff>
      <xdr:row>0</xdr:row>
      <xdr:rowOff>203200</xdr:rowOff>
    </xdr:from>
    <xdr:to>
      <xdr:col>11</xdr:col>
      <xdr:colOff>607695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648970</xdr:colOff>
      <xdr:row>0</xdr:row>
      <xdr:rowOff>203200</xdr:rowOff>
    </xdr:from>
    <xdr:to>
      <xdr:col>13</xdr:col>
      <xdr:colOff>95250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136525</xdr:colOff>
      <xdr:row>0</xdr:row>
      <xdr:rowOff>203200</xdr:rowOff>
    </xdr:from>
    <xdr:to>
      <xdr:col>14</xdr:col>
      <xdr:colOff>268605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309880</xdr:colOff>
      <xdr:row>0</xdr:row>
      <xdr:rowOff>203200</xdr:rowOff>
    </xdr:from>
    <xdr:to>
      <xdr:col>15</xdr:col>
      <xdr:colOff>441960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2</xdr:col>
      <xdr:colOff>1066800</xdr:colOff>
      <xdr:row>1</xdr:row>
      <xdr:rowOff>441325</xdr:rowOff>
    </xdr:to>
    <xdr:sp macro="[0]!r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508635</xdr:colOff>
      <xdr:row>0</xdr:row>
      <xdr:rowOff>127000</xdr:rowOff>
    </xdr:from>
    <xdr:to>
      <xdr:col>16</xdr:col>
      <xdr:colOff>398780</xdr:colOff>
      <xdr:row>0</xdr:row>
      <xdr:rowOff>624205</xdr:rowOff>
    </xdr:to>
    <xdr:sp>
      <xdr:nvSpPr>
        <xdr:cNvPr id="4"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136525</xdr:colOff>
      <xdr:row>0</xdr:row>
      <xdr:rowOff>203200</xdr:rowOff>
    </xdr:from>
    <xdr:to>
      <xdr:col>3</xdr:col>
      <xdr:colOff>951865</xdr:colOff>
      <xdr:row>0</xdr:row>
      <xdr:rowOff>557530</xdr:rowOff>
    </xdr:to>
    <xdr:sp macro="[0]!asht2">
      <xdr:nvSpPr>
        <xdr:cNvPr id="6"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993140</xdr:colOff>
      <xdr:row>0</xdr:row>
      <xdr:rowOff>203200</xdr:rowOff>
    </xdr:from>
    <xdr:to>
      <xdr:col>4</xdr:col>
      <xdr:colOff>522605</xdr:colOff>
      <xdr:row>0</xdr:row>
      <xdr:rowOff>557530</xdr:rowOff>
    </xdr:to>
    <xdr:sp macro="[0]!asht4">
      <xdr:nvSpPr>
        <xdr:cNvPr id="7"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563880</xdr:colOff>
      <xdr:row>0</xdr:row>
      <xdr:rowOff>203200</xdr:rowOff>
    </xdr:from>
    <xdr:to>
      <xdr:col>5</xdr:col>
      <xdr:colOff>93345</xdr:colOff>
      <xdr:row>0</xdr:row>
      <xdr:rowOff>557530</xdr:rowOff>
    </xdr:to>
    <xdr:sp macro="[0]!asht16">
      <xdr:nvSpPr>
        <xdr:cNvPr id="8"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134620</xdr:colOff>
      <xdr:row>0</xdr:row>
      <xdr:rowOff>203200</xdr:rowOff>
    </xdr:from>
    <xdr:to>
      <xdr:col>5</xdr:col>
      <xdr:colOff>950595</xdr:colOff>
      <xdr:row>0</xdr:row>
      <xdr:rowOff>557530</xdr:rowOff>
    </xdr:to>
    <xdr:sp macro="[0]!asht14">
      <xdr:nvSpPr>
        <xdr:cNvPr id="9" name="5"/>
        <xdr:cNvSpPr/>
      </xdr:nvSpPr>
      <xdr:spPr>
        <a:xfrm>
          <a:off x="460184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991870</xdr:colOff>
      <xdr:row>0</xdr:row>
      <xdr:rowOff>203200</xdr:rowOff>
    </xdr:from>
    <xdr:to>
      <xdr:col>6</xdr:col>
      <xdr:colOff>520700</xdr:colOff>
      <xdr:row>0</xdr:row>
      <xdr:rowOff>557530</xdr:rowOff>
    </xdr:to>
    <xdr:sp macro="[0]!asht17">
      <xdr:nvSpPr>
        <xdr:cNvPr id="10"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561975</xdr:colOff>
      <xdr:row>0</xdr:row>
      <xdr:rowOff>203200</xdr:rowOff>
    </xdr:from>
    <xdr:to>
      <xdr:col>7</xdr:col>
      <xdr:colOff>91440</xdr:colOff>
      <xdr:row>0</xdr:row>
      <xdr:rowOff>557530</xdr:rowOff>
    </xdr:to>
    <xdr:sp macro="[0]!asht5">
      <xdr:nvSpPr>
        <xdr:cNvPr id="11"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132715</xdr:colOff>
      <xdr:row>0</xdr:row>
      <xdr:rowOff>203200</xdr:rowOff>
    </xdr:from>
    <xdr:to>
      <xdr:col>7</xdr:col>
      <xdr:colOff>948055</xdr:colOff>
      <xdr:row>0</xdr:row>
      <xdr:rowOff>557530</xdr:rowOff>
    </xdr:to>
    <xdr:sp macro="[0]!asht6">
      <xdr:nvSpPr>
        <xdr:cNvPr id="12"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989330</xdr:colOff>
      <xdr:row>0</xdr:row>
      <xdr:rowOff>203200</xdr:rowOff>
    </xdr:from>
    <xdr:to>
      <xdr:col>8</xdr:col>
      <xdr:colOff>519430</xdr:colOff>
      <xdr:row>0</xdr:row>
      <xdr:rowOff>557530</xdr:rowOff>
    </xdr:to>
    <xdr:sp macro="[0]!asht7">
      <xdr:nvSpPr>
        <xdr:cNvPr id="13"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560705</xdr:colOff>
      <xdr:row>0</xdr:row>
      <xdr:rowOff>203200</xdr:rowOff>
    </xdr:from>
    <xdr:to>
      <xdr:col>9</xdr:col>
      <xdr:colOff>90170</xdr:colOff>
      <xdr:row>0</xdr:row>
      <xdr:rowOff>557530</xdr:rowOff>
    </xdr:to>
    <xdr:sp macro="[0]!asht8">
      <xdr:nvSpPr>
        <xdr:cNvPr id="14"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131445</xdr:colOff>
      <xdr:row>0</xdr:row>
      <xdr:rowOff>203200</xdr:rowOff>
    </xdr:from>
    <xdr:to>
      <xdr:col>9</xdr:col>
      <xdr:colOff>946785</xdr:colOff>
      <xdr:row>0</xdr:row>
      <xdr:rowOff>557530</xdr:rowOff>
    </xdr:to>
    <xdr:sp macro="[0]!asht15">
      <xdr:nvSpPr>
        <xdr:cNvPr id="15"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988060</xdr:colOff>
      <xdr:row>0</xdr:row>
      <xdr:rowOff>203200</xdr:rowOff>
    </xdr:from>
    <xdr:to>
      <xdr:col>11</xdr:col>
      <xdr:colOff>262890</xdr:colOff>
      <xdr:row>0</xdr:row>
      <xdr:rowOff>557530</xdr:rowOff>
    </xdr:to>
    <xdr:sp macro="[0]!asht9">
      <xdr:nvSpPr>
        <xdr:cNvPr id="16"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304165</xdr:colOff>
      <xdr:row>0</xdr:row>
      <xdr:rowOff>203200</xdr:rowOff>
    </xdr:from>
    <xdr:to>
      <xdr:col>12</xdr:col>
      <xdr:colOff>436245</xdr:colOff>
      <xdr:row>0</xdr:row>
      <xdr:rowOff>557530</xdr:rowOff>
    </xdr:to>
    <xdr:sp macro="[0]!asht10">
      <xdr:nvSpPr>
        <xdr:cNvPr id="18"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477520</xdr:colOff>
      <xdr:row>0</xdr:row>
      <xdr:rowOff>203200</xdr:rowOff>
    </xdr:from>
    <xdr:to>
      <xdr:col>13</xdr:col>
      <xdr:colOff>609600</xdr:colOff>
      <xdr:row>0</xdr:row>
      <xdr:rowOff>557530</xdr:rowOff>
    </xdr:to>
    <xdr:sp macro="[0]!asht11">
      <xdr:nvSpPr>
        <xdr:cNvPr id="19"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650875</xdr:colOff>
      <xdr:row>0</xdr:row>
      <xdr:rowOff>203200</xdr:rowOff>
    </xdr:from>
    <xdr:to>
      <xdr:col>15</xdr:col>
      <xdr:colOff>97155</xdr:colOff>
      <xdr:row>0</xdr:row>
      <xdr:rowOff>557530</xdr:rowOff>
    </xdr:to>
    <xdr:sp macro="[0]!asht12">
      <xdr:nvSpPr>
        <xdr:cNvPr id="20"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138430</xdr:colOff>
      <xdr:row>0</xdr:row>
      <xdr:rowOff>203200</xdr:rowOff>
    </xdr:from>
    <xdr:to>
      <xdr:col>16</xdr:col>
      <xdr:colOff>270510</xdr:colOff>
      <xdr:row>0</xdr:row>
      <xdr:rowOff>557530</xdr:rowOff>
    </xdr:to>
    <xdr:sp macro="[0]!asht13">
      <xdr:nvSpPr>
        <xdr:cNvPr id="21"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2</xdr:col>
      <xdr:colOff>1066800</xdr:colOff>
      <xdr:row>1</xdr:row>
      <xdr:rowOff>441325</xdr:rowOff>
    </xdr:to>
    <xdr:sp macro="[0]!select14">
      <xdr:nvSpPr>
        <xdr:cNvPr id="22" name="圆角矩形 2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chuku">
      <xdr:nvSpPr>
        <xdr:cNvPr id="23" name="圆角矩形 2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14_show">
      <xdr:nvSpPr>
        <xdr:cNvPr id="2" name="圆角矩形 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508635</xdr:colOff>
      <xdr:row>0</xdr:row>
      <xdr:rowOff>127000</xdr:rowOff>
    </xdr:from>
    <xdr:to>
      <xdr:col>15</xdr:col>
      <xdr:colOff>570230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1422400</xdr:colOff>
      <xdr:row>0</xdr:row>
      <xdr:rowOff>203200</xdr:rowOff>
    </xdr:from>
    <xdr:to>
      <xdr:col>3</xdr:col>
      <xdr:colOff>666115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707390</xdr:colOff>
      <xdr:row>0</xdr:row>
      <xdr:rowOff>203200</xdr:rowOff>
    </xdr:from>
    <xdr:to>
      <xdr:col>3</xdr:col>
      <xdr:colOff>1522730</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1564005</xdr:colOff>
      <xdr:row>0</xdr:row>
      <xdr:rowOff>203200</xdr:rowOff>
    </xdr:from>
    <xdr:to>
      <xdr:col>4</xdr:col>
      <xdr:colOff>807720</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848995</xdr:colOff>
      <xdr:row>0</xdr:row>
      <xdr:rowOff>203200</xdr:rowOff>
    </xdr:from>
    <xdr:to>
      <xdr:col>5</xdr:col>
      <xdr:colOff>93345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134620</xdr:colOff>
      <xdr:row>0</xdr:row>
      <xdr:rowOff>203200</xdr:rowOff>
    </xdr:from>
    <xdr:to>
      <xdr:col>5</xdr:col>
      <xdr:colOff>949325</xdr:colOff>
      <xdr:row>0</xdr:row>
      <xdr:rowOff>557530</xdr:rowOff>
    </xdr:to>
    <xdr:sp macro="[0]!asht17">
      <xdr:nvSpPr>
        <xdr:cNvPr id="8" name="6"/>
        <xdr:cNvSpPr/>
      </xdr:nvSpPr>
      <xdr:spPr>
        <a:xfrm>
          <a:off x="5459095" y="203200"/>
          <a:ext cx="81470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990600</xdr:colOff>
      <xdr:row>0</xdr:row>
      <xdr:rowOff>203200</xdr:rowOff>
    </xdr:from>
    <xdr:to>
      <xdr:col>6</xdr:col>
      <xdr:colOff>234315</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275590</xdr:colOff>
      <xdr:row>0</xdr:row>
      <xdr:rowOff>203200</xdr:rowOff>
    </xdr:from>
    <xdr:to>
      <xdr:col>6</xdr:col>
      <xdr:colOff>1090930</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1132205</xdr:colOff>
      <xdr:row>0</xdr:row>
      <xdr:rowOff>203200</xdr:rowOff>
    </xdr:from>
    <xdr:to>
      <xdr:col>7</xdr:col>
      <xdr:colOff>376555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417830</xdr:colOff>
      <xdr:row>0</xdr:row>
      <xdr:rowOff>203200</xdr:rowOff>
    </xdr:from>
    <xdr:to>
      <xdr:col>7</xdr:col>
      <xdr:colOff>1233170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1274445</xdr:colOff>
      <xdr:row>0</xdr:row>
      <xdr:rowOff>203200</xdr:rowOff>
    </xdr:from>
    <xdr:to>
      <xdr:col>9</xdr:col>
      <xdr:colOff>260985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302260</xdr:colOff>
      <xdr:row>0</xdr:row>
      <xdr:rowOff>203200</xdr:rowOff>
    </xdr:from>
    <xdr:to>
      <xdr:col>10</xdr:col>
      <xdr:colOff>434340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475615</xdr:colOff>
      <xdr:row>0</xdr:row>
      <xdr:rowOff>203200</xdr:rowOff>
    </xdr:from>
    <xdr:to>
      <xdr:col>11</xdr:col>
      <xdr:colOff>607695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648970</xdr:colOff>
      <xdr:row>0</xdr:row>
      <xdr:rowOff>203200</xdr:rowOff>
    </xdr:from>
    <xdr:to>
      <xdr:col>13</xdr:col>
      <xdr:colOff>95250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136525</xdr:colOff>
      <xdr:row>0</xdr:row>
      <xdr:rowOff>203200</xdr:rowOff>
    </xdr:from>
    <xdr:to>
      <xdr:col>14</xdr:col>
      <xdr:colOff>268605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309880</xdr:colOff>
      <xdr:row>0</xdr:row>
      <xdr:rowOff>203200</xdr:rowOff>
    </xdr:from>
    <xdr:to>
      <xdr:col>15</xdr:col>
      <xdr:colOff>441960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2</xdr:col>
      <xdr:colOff>1066800</xdr:colOff>
      <xdr:row>1</xdr:row>
      <xdr:rowOff>441325</xdr:rowOff>
    </xdr:to>
    <xdr:sp macro="[0]!ch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19</xdr:col>
      <xdr:colOff>313055</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9" name="7"/>
        <xdr:cNvSpPr/>
      </xdr:nvSpPr>
      <xdr:spPr>
        <a:xfrm>
          <a:off x="631507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期初数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9</xdr:col>
      <xdr:colOff>519430</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560705</xdr:colOff>
      <xdr:row>0</xdr:row>
      <xdr:rowOff>203200</xdr:rowOff>
    </xdr:from>
    <xdr:to>
      <xdr:col>10</xdr:col>
      <xdr:colOff>90170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131445</xdr:colOff>
      <xdr:row>0</xdr:row>
      <xdr:rowOff>203200</xdr:rowOff>
    </xdr:from>
    <xdr:to>
      <xdr:col>13</xdr:col>
      <xdr:colOff>3810</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45085</xdr:colOff>
      <xdr:row>0</xdr:row>
      <xdr:rowOff>203200</xdr:rowOff>
    </xdr:from>
    <xdr:to>
      <xdr:col>14</xdr:col>
      <xdr:colOff>177165</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期初数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218440</xdr:colOff>
      <xdr:row>0</xdr:row>
      <xdr:rowOff>203200</xdr:rowOff>
    </xdr:from>
    <xdr:to>
      <xdr:col>15</xdr:col>
      <xdr:colOff>350520</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391795</xdr:colOff>
      <xdr:row>0</xdr:row>
      <xdr:rowOff>203200</xdr:rowOff>
    </xdr:from>
    <xdr:to>
      <xdr:col>16</xdr:col>
      <xdr:colOff>523875</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565150</xdr:colOff>
      <xdr:row>0</xdr:row>
      <xdr:rowOff>203200</xdr:rowOff>
    </xdr:from>
    <xdr:to>
      <xdr:col>18</xdr:col>
      <xdr:colOff>11430</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52705</xdr:colOff>
      <xdr:row>0</xdr:row>
      <xdr:rowOff>203200</xdr:rowOff>
    </xdr:from>
    <xdr:to>
      <xdr:col>19</xdr:col>
      <xdr:colOff>184785</xdr:colOff>
      <xdr:row>0</xdr:row>
      <xdr:rowOff>557530</xdr:rowOff>
    </xdr:to>
    <xdr:sp macro="[0]!asht13">
      <xdr:nvSpPr>
        <xdr:cNvPr id="34"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xdr:col>
      <xdr:colOff>219075</xdr:colOff>
      <xdr:row>1</xdr:row>
      <xdr:rowOff>50800</xdr:rowOff>
    </xdr:from>
    <xdr:to>
      <xdr:col>3</xdr:col>
      <xdr:colOff>1028700</xdr:colOff>
      <xdr:row>1</xdr:row>
      <xdr:rowOff>441325</xdr:rowOff>
    </xdr:to>
    <xdr:sp macro="[0]!select05">
      <xdr:nvSpPr>
        <xdr:cNvPr id="35" name="圆角矩形 34"/>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139700</xdr:colOff>
      <xdr:row>1</xdr:row>
      <xdr:rowOff>50800</xdr:rowOff>
    </xdr:from>
    <xdr:to>
      <xdr:col>4</xdr:col>
      <xdr:colOff>1206500</xdr:colOff>
      <xdr:row>1</xdr:row>
      <xdr:rowOff>441325</xdr:rowOff>
    </xdr:to>
    <xdr:sp macro="[0]!save05">
      <xdr:nvSpPr>
        <xdr:cNvPr id="36" name="圆角矩形 35"/>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xdr:twoCellAnchor>
  <xdr:twoCellAnchor editAs="absolute">
    <xdr:from>
      <xdr:col>5</xdr:col>
      <xdr:colOff>279400</xdr:colOff>
      <xdr:row>1</xdr:row>
      <xdr:rowOff>50800</xdr:rowOff>
    </xdr:from>
    <xdr:to>
      <xdr:col>6</xdr:col>
      <xdr:colOff>60325</xdr:colOff>
      <xdr:row>1</xdr:row>
      <xdr:rowOff>441325</xdr:rowOff>
    </xdr:to>
    <xdr:sp macro="[0]!PLSC_id">
      <xdr:nvSpPr>
        <xdr:cNvPr id="37" name="圆角矩形 36"/>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xdr:twoCellAnchor>
  <xdr:twoCellAnchor editAs="absolute">
    <xdr:from>
      <xdr:col>6</xdr:col>
      <xdr:colOff>381000</xdr:colOff>
      <xdr:row>1</xdr:row>
      <xdr:rowOff>50800</xdr:rowOff>
    </xdr:from>
    <xdr:to>
      <xdr:col>7</xdr:col>
      <xdr:colOff>161925</xdr:colOff>
      <xdr:row>1</xdr:row>
      <xdr:rowOff>441325</xdr:rowOff>
    </xdr:to>
    <xdr:sp macro="[0]!query_05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156210</xdr:colOff>
      <xdr:row>0</xdr:row>
      <xdr:rowOff>127000</xdr:rowOff>
    </xdr:from>
    <xdr:to>
      <xdr:col>13</xdr:col>
      <xdr:colOff>1160780</xdr:colOff>
      <xdr:row>0</xdr:row>
      <xdr:rowOff>624205</xdr:rowOff>
    </xdr:to>
    <xdr:sp>
      <xdr:nvSpPr>
        <xdr:cNvPr id="3"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213360</xdr:colOff>
      <xdr:row>0</xdr:row>
      <xdr:rowOff>203200</xdr:rowOff>
    </xdr:from>
    <xdr:to>
      <xdr:col>3</xdr:col>
      <xdr:colOff>1028700</xdr:colOff>
      <xdr:row>0</xdr:row>
      <xdr:rowOff>557530</xdr:rowOff>
    </xdr:to>
    <xdr:sp macro="[0]!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1069975</xdr:colOff>
      <xdr:row>0</xdr:row>
      <xdr:rowOff>203200</xdr:rowOff>
    </xdr:from>
    <xdr:to>
      <xdr:col>4</xdr:col>
      <xdr:colOff>599440</xdr:colOff>
      <xdr:row>0</xdr:row>
      <xdr:rowOff>557530</xdr:rowOff>
    </xdr:to>
    <xdr:sp macro="[0]!asht2">
      <xdr:nvSpPr>
        <xdr:cNvPr id="5"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640715</xdr:colOff>
      <xdr:row>0</xdr:row>
      <xdr:rowOff>203200</xdr:rowOff>
    </xdr:from>
    <xdr:to>
      <xdr:col>5</xdr:col>
      <xdr:colOff>170180</xdr:colOff>
      <xdr:row>0</xdr:row>
      <xdr:rowOff>557530</xdr:rowOff>
    </xdr:to>
    <xdr:sp macro="[0]!asht4">
      <xdr:nvSpPr>
        <xdr:cNvPr id="6"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211455</xdr:colOff>
      <xdr:row>0</xdr:row>
      <xdr:rowOff>203200</xdr:rowOff>
    </xdr:from>
    <xdr:to>
      <xdr:col>5</xdr:col>
      <xdr:colOff>1026795</xdr:colOff>
      <xdr:row>0</xdr:row>
      <xdr:rowOff>557530</xdr:rowOff>
    </xdr:to>
    <xdr:sp macro="[0]!asht16">
      <xdr:nvSpPr>
        <xdr:cNvPr id="7"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1068070</xdr:colOff>
      <xdr:row>0</xdr:row>
      <xdr:rowOff>203200</xdr:rowOff>
    </xdr:from>
    <xdr:to>
      <xdr:col>6</xdr:col>
      <xdr:colOff>598170</xdr:colOff>
      <xdr:row>0</xdr:row>
      <xdr:rowOff>557530</xdr:rowOff>
    </xdr:to>
    <xdr:sp macro="[0]!asht14">
      <xdr:nvSpPr>
        <xdr:cNvPr id="8"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639445</xdr:colOff>
      <xdr:row>0</xdr:row>
      <xdr:rowOff>203200</xdr:rowOff>
    </xdr:from>
    <xdr:to>
      <xdr:col>7</xdr:col>
      <xdr:colOff>168275</xdr:colOff>
      <xdr:row>0</xdr:row>
      <xdr:rowOff>557530</xdr:rowOff>
    </xdr:to>
    <xdr:sp macro="[0]!asht17">
      <xdr:nvSpPr>
        <xdr:cNvPr id="9"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209550</xdr:colOff>
      <xdr:row>0</xdr:row>
      <xdr:rowOff>203200</xdr:rowOff>
    </xdr:from>
    <xdr:to>
      <xdr:col>7</xdr:col>
      <xdr:colOff>1024890</xdr:colOff>
      <xdr:row>0</xdr:row>
      <xdr:rowOff>557530</xdr:rowOff>
    </xdr:to>
    <xdr:sp macro="[0]!asht5">
      <xdr:nvSpPr>
        <xdr:cNvPr id="10"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1066165</xdr:colOff>
      <xdr:row>0</xdr:row>
      <xdr:rowOff>203200</xdr:rowOff>
    </xdr:from>
    <xdr:to>
      <xdr:col>8</xdr:col>
      <xdr:colOff>595630</xdr:colOff>
      <xdr:row>0</xdr:row>
      <xdr:rowOff>557530</xdr:rowOff>
    </xdr:to>
    <xdr:sp macro="[0]!asht6">
      <xdr:nvSpPr>
        <xdr:cNvPr id="11" name="8"/>
        <xdr:cNvSpPr/>
      </xdr:nvSpPr>
      <xdr:spPr>
        <a:xfrm>
          <a:off x="717169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明细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636905</xdr:colOff>
      <xdr:row>0</xdr:row>
      <xdr:rowOff>203200</xdr:rowOff>
    </xdr:from>
    <xdr:to>
      <xdr:col>9</xdr:col>
      <xdr:colOff>167005</xdr:colOff>
      <xdr:row>0</xdr:row>
      <xdr:rowOff>557530</xdr:rowOff>
    </xdr:to>
    <xdr:sp macro="[0]!asht7">
      <xdr:nvSpPr>
        <xdr:cNvPr id="12"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208280</xdr:colOff>
      <xdr:row>0</xdr:row>
      <xdr:rowOff>203200</xdr:rowOff>
    </xdr:from>
    <xdr:to>
      <xdr:col>9</xdr:col>
      <xdr:colOff>1023620</xdr:colOff>
      <xdr:row>0</xdr:row>
      <xdr:rowOff>557530</xdr:rowOff>
    </xdr:to>
    <xdr:sp macro="[0]!asht8">
      <xdr:nvSpPr>
        <xdr:cNvPr id="13"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1064895</xdr:colOff>
      <xdr:row>0</xdr:row>
      <xdr:rowOff>203200</xdr:rowOff>
    </xdr:from>
    <xdr:to>
      <xdr:col>10</xdr:col>
      <xdr:colOff>594360</xdr:colOff>
      <xdr:row>0</xdr:row>
      <xdr:rowOff>557530</xdr:rowOff>
    </xdr:to>
    <xdr:sp macro="[0]!asht15">
      <xdr:nvSpPr>
        <xdr:cNvPr id="14"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635635</xdr:colOff>
      <xdr:row>0</xdr:row>
      <xdr:rowOff>203200</xdr:rowOff>
    </xdr:from>
    <xdr:to>
      <xdr:col>11</xdr:col>
      <xdr:colOff>167640</xdr:colOff>
      <xdr:row>0</xdr:row>
      <xdr:rowOff>557530</xdr:rowOff>
    </xdr:to>
    <xdr:sp macro="[0]!asht9">
      <xdr:nvSpPr>
        <xdr:cNvPr id="15"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118745</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明细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208915</xdr:colOff>
      <xdr:row>0</xdr:row>
      <xdr:rowOff>203200</xdr:rowOff>
    </xdr:from>
    <xdr:to>
      <xdr:col>11</xdr:col>
      <xdr:colOff>1026795</xdr:colOff>
      <xdr:row>0</xdr:row>
      <xdr:rowOff>557530</xdr:rowOff>
    </xdr:to>
    <xdr:sp macro="[0]!asht10">
      <xdr:nvSpPr>
        <xdr:cNvPr id="17"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1068070</xdr:colOff>
      <xdr:row>0</xdr:row>
      <xdr:rowOff>203200</xdr:rowOff>
    </xdr:from>
    <xdr:to>
      <xdr:col>12</xdr:col>
      <xdr:colOff>600075</xdr:colOff>
      <xdr:row>0</xdr:row>
      <xdr:rowOff>557530</xdr:rowOff>
    </xdr:to>
    <xdr:sp macro="[0]!asht11">
      <xdr:nvSpPr>
        <xdr:cNvPr id="18"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641350</xdr:colOff>
      <xdr:row>0</xdr:row>
      <xdr:rowOff>203200</xdr:rowOff>
    </xdr:from>
    <xdr:to>
      <xdr:col>13</xdr:col>
      <xdr:colOff>173355</xdr:colOff>
      <xdr:row>0</xdr:row>
      <xdr:rowOff>557530</xdr:rowOff>
    </xdr:to>
    <xdr:sp macro="[0]!asht12">
      <xdr:nvSpPr>
        <xdr:cNvPr id="19"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214630</xdr:colOff>
      <xdr:row>0</xdr:row>
      <xdr:rowOff>203200</xdr:rowOff>
    </xdr:from>
    <xdr:to>
      <xdr:col>13</xdr:col>
      <xdr:colOff>1032510</xdr:colOff>
      <xdr:row>0</xdr:row>
      <xdr:rowOff>557530</xdr:rowOff>
    </xdr:to>
    <xdr:sp macro="[0]!asht13">
      <xdr:nvSpPr>
        <xdr:cNvPr id="20"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714375</xdr:colOff>
      <xdr:row>1</xdr:row>
      <xdr:rowOff>441325</xdr:rowOff>
    </xdr:to>
    <xdr:sp macro="[0]!select06">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1064260</xdr:colOff>
      <xdr:row>1</xdr:row>
      <xdr:rowOff>50800</xdr:rowOff>
    </xdr:from>
    <xdr:to>
      <xdr:col>4</xdr:col>
      <xdr:colOff>845185</xdr:colOff>
      <xdr:row>1</xdr:row>
      <xdr:rowOff>441325</xdr:rowOff>
    </xdr:to>
    <xdr:sp macro="[0]!PLSC_id">
      <xdr:nvSpPr>
        <xdr:cNvPr id="22" name="圆角矩形 21"/>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1195070</xdr:colOff>
      <xdr:row>1</xdr:row>
      <xdr:rowOff>50800</xdr:rowOff>
    </xdr:from>
    <xdr:to>
      <xdr:col>5</xdr:col>
      <xdr:colOff>975995</xdr:colOff>
      <xdr:row>1</xdr:row>
      <xdr:rowOff>441325</xdr:rowOff>
    </xdr:to>
    <xdr:sp macro="[0]!select06_query">
      <xdr:nvSpPr>
        <xdr:cNvPr id="23" name="圆角矩形 22"/>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40005</xdr:colOff>
      <xdr:row>1</xdr:row>
      <xdr:rowOff>50800</xdr:rowOff>
    </xdr:from>
    <xdr:to>
      <xdr:col>6</xdr:col>
      <xdr:colOff>1106805</xdr:colOff>
      <xdr:row>1</xdr:row>
      <xdr:rowOff>441325</xdr:rowOff>
    </xdr:to>
    <xdr:sp macro="[0]!save06">
      <xdr:nvSpPr>
        <xdr:cNvPr id="24" name="圆角矩形 23"/>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170815</xdr:colOff>
      <xdr:row>1</xdr:row>
      <xdr:rowOff>50800</xdr:rowOff>
    </xdr:from>
    <xdr:to>
      <xdr:col>7</xdr:col>
      <xdr:colOff>1237615</xdr:colOff>
      <xdr:row>1</xdr:row>
      <xdr:rowOff>441325</xdr:rowOff>
    </xdr:to>
    <xdr:sp macro="[0]!baocun_show">
      <xdr:nvSpPr>
        <xdr:cNvPr id="25" name="圆角矩形 24"/>
        <xdr:cNvSpPr/>
      </xdr:nvSpPr>
      <xdr:spPr>
        <a:xfrm>
          <a:off x="627634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14</xdr:col>
      <xdr:colOff>227330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9</xdr:col>
      <xdr:colOff>519430</xdr:colOff>
      <xdr:row>0</xdr:row>
      <xdr:rowOff>557530</xdr:rowOff>
    </xdr:to>
    <xdr:sp macro="[0]!asht7">
      <xdr:nvSpPr>
        <xdr:cNvPr id="11" name="9"/>
        <xdr:cNvSpPr/>
      </xdr:nvSpPr>
      <xdr:spPr>
        <a:xfrm>
          <a:off x="802830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进销存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9</xdr:col>
      <xdr:colOff>560705</xdr:colOff>
      <xdr:row>0</xdr:row>
      <xdr:rowOff>203200</xdr:rowOff>
    </xdr:from>
    <xdr:to>
      <xdr:col>10</xdr:col>
      <xdr:colOff>90170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131445</xdr:colOff>
      <xdr:row>0</xdr:row>
      <xdr:rowOff>203200</xdr:rowOff>
    </xdr:from>
    <xdr:to>
      <xdr:col>10</xdr:col>
      <xdr:colOff>946785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988060</xdr:colOff>
      <xdr:row>0</xdr:row>
      <xdr:rowOff>203200</xdr:rowOff>
    </xdr:from>
    <xdr:to>
      <xdr:col>11</xdr:col>
      <xdr:colOff>520065</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进销存</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561340</xdr:colOff>
      <xdr:row>0</xdr:row>
      <xdr:rowOff>203200</xdr:rowOff>
    </xdr:from>
    <xdr:to>
      <xdr:col>12</xdr:col>
      <xdr:colOff>93345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134620</xdr:colOff>
      <xdr:row>0</xdr:row>
      <xdr:rowOff>203200</xdr:rowOff>
    </xdr:from>
    <xdr:to>
      <xdr:col>12</xdr:col>
      <xdr:colOff>952500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993775</xdr:colOff>
      <xdr:row>0</xdr:row>
      <xdr:rowOff>203200</xdr:rowOff>
    </xdr:from>
    <xdr:to>
      <xdr:col>13</xdr:col>
      <xdr:colOff>525780</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567055</xdr:colOff>
      <xdr:row>0</xdr:row>
      <xdr:rowOff>203200</xdr:rowOff>
    </xdr:from>
    <xdr:to>
      <xdr:col>14</xdr:col>
      <xdr:colOff>99060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07">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95250</xdr:colOff>
      <xdr:row>1</xdr:row>
      <xdr:rowOff>50800</xdr:rowOff>
    </xdr:from>
    <xdr:to>
      <xdr:col>4</xdr:col>
      <xdr:colOff>1162050</xdr:colOff>
      <xdr:row>1</xdr:row>
      <xdr:rowOff>441325</xdr:rowOff>
    </xdr:to>
    <xdr:sp macro="[0]!select07_query">
      <xdr:nvSpPr>
        <xdr:cNvPr id="21" name="圆角矩形 20"/>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190500</xdr:colOff>
      <xdr:row>1</xdr:row>
      <xdr:rowOff>50800</xdr:rowOff>
    </xdr:from>
    <xdr:to>
      <xdr:col>5</xdr:col>
      <xdr:colOff>1257300</xdr:colOff>
      <xdr:row>1</xdr:row>
      <xdr:rowOff>441325</xdr:rowOff>
    </xdr:to>
    <xdr:sp macro="[0]!baocun_show">
      <xdr:nvSpPr>
        <xdr:cNvPr id="22" name="圆角矩形 2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19</xdr:col>
      <xdr:colOff>227330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10</xdr:col>
      <xdr:colOff>262255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303530</xdr:colOff>
      <xdr:row>0</xdr:row>
      <xdr:rowOff>203200</xdr:rowOff>
    </xdr:from>
    <xdr:to>
      <xdr:col>11</xdr:col>
      <xdr:colOff>433070</xdr:colOff>
      <xdr:row>0</xdr:row>
      <xdr:rowOff>557530</xdr:rowOff>
    </xdr:to>
    <xdr:sp macro="[0]!asht8">
      <xdr:nvSpPr>
        <xdr:cNvPr id="12" name="10"/>
        <xdr:cNvSpPr/>
      </xdr:nvSpPr>
      <xdr:spPr>
        <a:xfrm>
          <a:off x="888555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客户\供应商</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474345</xdr:colOff>
      <xdr:row>0</xdr:row>
      <xdr:rowOff>203200</xdr:rowOff>
    </xdr:from>
    <xdr:to>
      <xdr:col>12</xdr:col>
      <xdr:colOff>603885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645160</xdr:colOff>
      <xdr:row>0</xdr:row>
      <xdr:rowOff>203200</xdr:rowOff>
    </xdr:from>
    <xdr:to>
      <xdr:col>14</xdr:col>
      <xdr:colOff>91440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a:t>
          </a:r>
          <a:r>
            <a:rPr lang="en-US" altLang="zh-CN"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a:t>
          </a: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132715</xdr:colOff>
      <xdr:row>0</xdr:row>
      <xdr:rowOff>203200</xdr:rowOff>
    </xdr:from>
    <xdr:to>
      <xdr:col>15</xdr:col>
      <xdr:colOff>264795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306070</xdr:colOff>
      <xdr:row>0</xdr:row>
      <xdr:rowOff>203200</xdr:rowOff>
    </xdr:from>
    <xdr:to>
      <xdr:col>16</xdr:col>
      <xdr:colOff>438150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479425</xdr:colOff>
      <xdr:row>0</xdr:row>
      <xdr:rowOff>203200</xdr:rowOff>
    </xdr:from>
    <xdr:to>
      <xdr:col>17</xdr:col>
      <xdr:colOff>611505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652780</xdr:colOff>
      <xdr:row>0</xdr:row>
      <xdr:rowOff>203200</xdr:rowOff>
    </xdr:from>
    <xdr:to>
      <xdr:col>19</xdr:col>
      <xdr:colOff>99060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jinchu_kehu_query">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客户查询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21" name="圆角矩形 20"/>
        <xdr:cNvSpPr/>
      </xdr:nvSpPr>
      <xdr:spPr>
        <a:xfrm>
          <a:off x="18954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18</xdr:col>
      <xdr:colOff>160655</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1422400</xdr:colOff>
      <xdr:row>0</xdr:row>
      <xdr:rowOff>203200</xdr:rowOff>
    </xdr:from>
    <xdr:to>
      <xdr:col>4</xdr:col>
      <xdr:colOff>799465</xdr:colOff>
      <xdr:row>0</xdr:row>
      <xdr:rowOff>557530</xdr:rowOff>
    </xdr:to>
    <xdr:sp macro="[0]!asht2">
      <xdr:nvSpPr>
        <xdr:cNvPr id="5"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840740</xdr:colOff>
      <xdr:row>0</xdr:row>
      <xdr:rowOff>203200</xdr:rowOff>
    </xdr:from>
    <xdr:to>
      <xdr:col>5</xdr:col>
      <xdr:colOff>370205</xdr:colOff>
      <xdr:row>0</xdr:row>
      <xdr:rowOff>557530</xdr:rowOff>
    </xdr:to>
    <xdr:sp macro="[0]!asht4">
      <xdr:nvSpPr>
        <xdr:cNvPr id="6"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411480</xdr:colOff>
      <xdr:row>0</xdr:row>
      <xdr:rowOff>203200</xdr:rowOff>
    </xdr:from>
    <xdr:to>
      <xdr:col>5</xdr:col>
      <xdr:colOff>1226820</xdr:colOff>
      <xdr:row>0</xdr:row>
      <xdr:rowOff>557530</xdr:rowOff>
    </xdr:to>
    <xdr:sp macro="[0]!asht16">
      <xdr:nvSpPr>
        <xdr:cNvPr id="7"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1268095</xdr:colOff>
      <xdr:row>0</xdr:row>
      <xdr:rowOff>203200</xdr:rowOff>
    </xdr:from>
    <xdr:to>
      <xdr:col>6</xdr:col>
      <xdr:colOff>798195</xdr:colOff>
      <xdr:row>0</xdr:row>
      <xdr:rowOff>557530</xdr:rowOff>
    </xdr:to>
    <xdr:sp macro="[0]!asht14">
      <xdr:nvSpPr>
        <xdr:cNvPr id="8"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839470</xdr:colOff>
      <xdr:row>0</xdr:row>
      <xdr:rowOff>203200</xdr:rowOff>
    </xdr:from>
    <xdr:to>
      <xdr:col>7</xdr:col>
      <xdr:colOff>368300</xdr:colOff>
      <xdr:row>0</xdr:row>
      <xdr:rowOff>557530</xdr:rowOff>
    </xdr:to>
    <xdr:sp macro="[0]!asht17">
      <xdr:nvSpPr>
        <xdr:cNvPr id="9"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409575</xdr:colOff>
      <xdr:row>0</xdr:row>
      <xdr:rowOff>203200</xdr:rowOff>
    </xdr:from>
    <xdr:to>
      <xdr:col>7</xdr:col>
      <xdr:colOff>1224915</xdr:colOff>
      <xdr:row>0</xdr:row>
      <xdr:rowOff>557530</xdr:rowOff>
    </xdr:to>
    <xdr:sp macro="[0]!asht5">
      <xdr:nvSpPr>
        <xdr:cNvPr id="10"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1266190</xdr:colOff>
      <xdr:row>0</xdr:row>
      <xdr:rowOff>203200</xdr:rowOff>
    </xdr:from>
    <xdr:to>
      <xdr:col>8</xdr:col>
      <xdr:colOff>795655</xdr:colOff>
      <xdr:row>0</xdr:row>
      <xdr:rowOff>557530</xdr:rowOff>
    </xdr:to>
    <xdr:sp macro="[0]!asht6">
      <xdr:nvSpPr>
        <xdr:cNvPr id="11"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836930</xdr:colOff>
      <xdr:row>0</xdr:row>
      <xdr:rowOff>203200</xdr:rowOff>
    </xdr:from>
    <xdr:to>
      <xdr:col>9</xdr:col>
      <xdr:colOff>367030</xdr:colOff>
      <xdr:row>0</xdr:row>
      <xdr:rowOff>557530</xdr:rowOff>
    </xdr:to>
    <xdr:sp macro="[0]!asht7">
      <xdr:nvSpPr>
        <xdr:cNvPr id="12"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408305</xdr:colOff>
      <xdr:row>0</xdr:row>
      <xdr:rowOff>203200</xdr:rowOff>
    </xdr:from>
    <xdr:to>
      <xdr:col>9</xdr:col>
      <xdr:colOff>1223645</xdr:colOff>
      <xdr:row>0</xdr:row>
      <xdr:rowOff>557530</xdr:rowOff>
    </xdr:to>
    <xdr:sp macro="[0]!asht8">
      <xdr:nvSpPr>
        <xdr:cNvPr id="13"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1264920</xdr:colOff>
      <xdr:row>0</xdr:row>
      <xdr:rowOff>203200</xdr:rowOff>
    </xdr:from>
    <xdr:to>
      <xdr:col>11</xdr:col>
      <xdr:colOff>537210</xdr:colOff>
      <xdr:row>0</xdr:row>
      <xdr:rowOff>557530</xdr:rowOff>
    </xdr:to>
    <xdr:sp macro="[0]!asht15">
      <xdr:nvSpPr>
        <xdr:cNvPr id="14" name="11"/>
        <xdr:cNvSpPr/>
      </xdr:nvSpPr>
      <xdr:spPr>
        <a:xfrm>
          <a:off x="974217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商品进出</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578485</xdr:colOff>
      <xdr:row>0</xdr:row>
      <xdr:rowOff>203200</xdr:rowOff>
    </xdr:from>
    <xdr:to>
      <xdr:col>13</xdr:col>
      <xdr:colOff>24765</xdr:colOff>
      <xdr:row>0</xdr:row>
      <xdr:rowOff>557530</xdr:rowOff>
    </xdr:to>
    <xdr:sp macro="[0]!asht9">
      <xdr:nvSpPr>
        <xdr:cNvPr id="15"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商品进出</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66040</xdr:colOff>
      <xdr:row>0</xdr:row>
      <xdr:rowOff>203200</xdr:rowOff>
    </xdr:from>
    <xdr:to>
      <xdr:col>14</xdr:col>
      <xdr:colOff>198120</xdr:colOff>
      <xdr:row>0</xdr:row>
      <xdr:rowOff>557530</xdr:rowOff>
    </xdr:to>
    <xdr:sp macro="[0]!asht10">
      <xdr:nvSpPr>
        <xdr:cNvPr id="17"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239395</xdr:colOff>
      <xdr:row>0</xdr:row>
      <xdr:rowOff>203200</xdr:rowOff>
    </xdr:from>
    <xdr:to>
      <xdr:col>15</xdr:col>
      <xdr:colOff>371475</xdr:colOff>
      <xdr:row>0</xdr:row>
      <xdr:rowOff>557530</xdr:rowOff>
    </xdr:to>
    <xdr:sp macro="[0]!asht11">
      <xdr:nvSpPr>
        <xdr:cNvPr id="18"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412750</xdr:colOff>
      <xdr:row>0</xdr:row>
      <xdr:rowOff>203200</xdr:rowOff>
    </xdr:from>
    <xdr:to>
      <xdr:col>16</xdr:col>
      <xdr:colOff>544830</xdr:colOff>
      <xdr:row>0</xdr:row>
      <xdr:rowOff>557530</xdr:rowOff>
    </xdr:to>
    <xdr:sp macro="[0]!asht12">
      <xdr:nvSpPr>
        <xdr:cNvPr id="19"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586105</xdr:colOff>
      <xdr:row>0</xdr:row>
      <xdr:rowOff>203200</xdr:rowOff>
    </xdr:from>
    <xdr:to>
      <xdr:col>18</xdr:col>
      <xdr:colOff>32385</xdr:colOff>
      <xdr:row>0</xdr:row>
      <xdr:rowOff>557530</xdr:rowOff>
    </xdr:to>
    <xdr:sp macro="[0]!asht13">
      <xdr:nvSpPr>
        <xdr:cNvPr id="20"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jinchu_item_query">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商品查询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17</xdr:col>
      <xdr:colOff>484505</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9</xdr:col>
      <xdr:colOff>519430</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560705</xdr:colOff>
      <xdr:row>0</xdr:row>
      <xdr:rowOff>203200</xdr:rowOff>
    </xdr:from>
    <xdr:to>
      <xdr:col>10</xdr:col>
      <xdr:colOff>90170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131445</xdr:colOff>
      <xdr:row>0</xdr:row>
      <xdr:rowOff>203200</xdr:rowOff>
    </xdr:from>
    <xdr:to>
      <xdr:col>10</xdr:col>
      <xdr:colOff>946785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988060</xdr:colOff>
      <xdr:row>0</xdr:row>
      <xdr:rowOff>203200</xdr:rowOff>
    </xdr:from>
    <xdr:to>
      <xdr:col>11</xdr:col>
      <xdr:colOff>520065</xdr:colOff>
      <xdr:row>0</xdr:row>
      <xdr:rowOff>557530</xdr:rowOff>
    </xdr:to>
    <xdr:sp macro="[0]!asht9">
      <xdr:nvSpPr>
        <xdr:cNvPr id="14" name="12"/>
        <xdr:cNvSpPr/>
      </xdr:nvSpPr>
      <xdr:spPr>
        <a:xfrm>
          <a:off x="10598785"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基础资料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基础资料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561340</xdr:colOff>
      <xdr:row>0</xdr:row>
      <xdr:rowOff>203200</xdr:rowOff>
    </xdr:from>
    <xdr:to>
      <xdr:col>12</xdr:col>
      <xdr:colOff>93345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134620</xdr:colOff>
      <xdr:row>0</xdr:row>
      <xdr:rowOff>203200</xdr:rowOff>
    </xdr:from>
    <xdr:to>
      <xdr:col>15</xdr:col>
      <xdr:colOff>9525</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50800</xdr:colOff>
      <xdr:row>0</xdr:row>
      <xdr:rowOff>203200</xdr:rowOff>
    </xdr:from>
    <xdr:to>
      <xdr:col>16</xdr:col>
      <xdr:colOff>182880</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224155</xdr:colOff>
      <xdr:row>0</xdr:row>
      <xdr:rowOff>203200</xdr:rowOff>
    </xdr:from>
    <xdr:to>
      <xdr:col>17</xdr:col>
      <xdr:colOff>356235</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09">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09">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09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22</xdr:col>
      <xdr:colOff>55880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9</xdr:col>
      <xdr:colOff>263525</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304800</xdr:colOff>
      <xdr:row>0</xdr:row>
      <xdr:rowOff>203200</xdr:rowOff>
    </xdr:from>
    <xdr:to>
      <xdr:col>10</xdr:col>
      <xdr:colOff>434340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475615</xdr:colOff>
      <xdr:row>0</xdr:row>
      <xdr:rowOff>203200</xdr:rowOff>
    </xdr:from>
    <xdr:to>
      <xdr:col>11</xdr:col>
      <xdr:colOff>605155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646430</xdr:colOff>
      <xdr:row>0</xdr:row>
      <xdr:rowOff>203200</xdr:rowOff>
    </xdr:from>
    <xdr:to>
      <xdr:col>13</xdr:col>
      <xdr:colOff>90805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132080</xdr:colOff>
      <xdr:row>0</xdr:row>
      <xdr:rowOff>203200</xdr:rowOff>
    </xdr:from>
    <xdr:to>
      <xdr:col>14</xdr:col>
      <xdr:colOff>261620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302895</xdr:colOff>
      <xdr:row>0</xdr:row>
      <xdr:rowOff>203200</xdr:rowOff>
    </xdr:from>
    <xdr:to>
      <xdr:col>15</xdr:col>
      <xdr:colOff>432435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473710</xdr:colOff>
      <xdr:row>0</xdr:row>
      <xdr:rowOff>203200</xdr:rowOff>
    </xdr:from>
    <xdr:to>
      <xdr:col>16</xdr:col>
      <xdr:colOff>605790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647065</xdr:colOff>
      <xdr:row>0</xdr:row>
      <xdr:rowOff>203200</xdr:rowOff>
    </xdr:from>
    <xdr:to>
      <xdr:col>18</xdr:col>
      <xdr:colOff>93345</xdr:colOff>
      <xdr:row>0</xdr:row>
      <xdr:rowOff>557530</xdr:rowOff>
    </xdr:to>
    <xdr:sp macro="[0]!asht10">
      <xdr:nvSpPr>
        <xdr:cNvPr id="16" name="12"/>
        <xdr:cNvSpPr/>
      </xdr:nvSpPr>
      <xdr:spPr>
        <a:xfrm>
          <a:off x="1145794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134620</xdr:colOff>
      <xdr:row>0</xdr:row>
      <xdr:rowOff>203200</xdr:rowOff>
    </xdr:from>
    <xdr:to>
      <xdr:col>19</xdr:col>
      <xdr:colOff>266700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307975</xdr:colOff>
      <xdr:row>0</xdr:row>
      <xdr:rowOff>203200</xdr:rowOff>
    </xdr:from>
    <xdr:to>
      <xdr:col>20</xdr:col>
      <xdr:colOff>440055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481330</xdr:colOff>
      <xdr:row>0</xdr:row>
      <xdr:rowOff>203200</xdr:rowOff>
    </xdr:from>
    <xdr:to>
      <xdr:col>21</xdr:col>
      <xdr:colOff>613410</xdr:colOff>
      <xdr:row>0</xdr:row>
      <xdr:rowOff>557530</xdr:rowOff>
    </xdr:to>
    <xdr:sp macro="[0]!asht13">
      <xdr:nvSpPr>
        <xdr:cNvPr id="31"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10">
      <xdr:nvSpPr>
        <xdr:cNvPr id="38" name="圆角矩形 37"/>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0">
      <xdr:nvSpPr>
        <xdr:cNvPr id="39" name="圆角矩形 38"/>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40" name="圆角矩形 39"/>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0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22</xdr:col>
      <xdr:colOff>55880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9</xdr:col>
      <xdr:colOff>263525</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304800</xdr:colOff>
      <xdr:row>0</xdr:row>
      <xdr:rowOff>203200</xdr:rowOff>
    </xdr:from>
    <xdr:to>
      <xdr:col>10</xdr:col>
      <xdr:colOff>434340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475615</xdr:colOff>
      <xdr:row>0</xdr:row>
      <xdr:rowOff>203200</xdr:rowOff>
    </xdr:from>
    <xdr:to>
      <xdr:col>11</xdr:col>
      <xdr:colOff>605155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646430</xdr:colOff>
      <xdr:row>0</xdr:row>
      <xdr:rowOff>203200</xdr:rowOff>
    </xdr:from>
    <xdr:to>
      <xdr:col>13</xdr:col>
      <xdr:colOff>90805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132080</xdr:colOff>
      <xdr:row>0</xdr:row>
      <xdr:rowOff>203200</xdr:rowOff>
    </xdr:from>
    <xdr:to>
      <xdr:col>14</xdr:col>
      <xdr:colOff>261620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302895</xdr:colOff>
      <xdr:row>0</xdr:row>
      <xdr:rowOff>203200</xdr:rowOff>
    </xdr:from>
    <xdr:to>
      <xdr:col>15</xdr:col>
      <xdr:colOff>432435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473710</xdr:colOff>
      <xdr:row>0</xdr:row>
      <xdr:rowOff>203200</xdr:rowOff>
    </xdr:from>
    <xdr:to>
      <xdr:col>16</xdr:col>
      <xdr:colOff>605790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647065</xdr:colOff>
      <xdr:row>0</xdr:row>
      <xdr:rowOff>203200</xdr:rowOff>
    </xdr:from>
    <xdr:to>
      <xdr:col>18</xdr:col>
      <xdr:colOff>93345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134620</xdr:colOff>
      <xdr:row>0</xdr:row>
      <xdr:rowOff>203200</xdr:rowOff>
    </xdr:from>
    <xdr:to>
      <xdr:col>19</xdr:col>
      <xdr:colOff>266700</xdr:colOff>
      <xdr:row>0</xdr:row>
      <xdr:rowOff>557530</xdr:rowOff>
    </xdr:to>
    <xdr:sp macro="[0]!asht11">
      <xdr:nvSpPr>
        <xdr:cNvPr id="17" name="12"/>
        <xdr:cNvSpPr/>
      </xdr:nvSpPr>
      <xdr:spPr>
        <a:xfrm>
          <a:off x="12317095"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供应商资料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19</xdr:col>
      <xdr:colOff>307975</xdr:colOff>
      <xdr:row>0</xdr:row>
      <xdr:rowOff>203200</xdr:rowOff>
    </xdr:from>
    <xdr:to>
      <xdr:col>20</xdr:col>
      <xdr:colOff>440055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481330</xdr:colOff>
      <xdr:row>0</xdr:row>
      <xdr:rowOff>203200</xdr:rowOff>
    </xdr:from>
    <xdr:to>
      <xdr:col>21</xdr:col>
      <xdr:colOff>613410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11">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1">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1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489585</xdr:colOff>
      <xdr:row>0</xdr:row>
      <xdr:rowOff>127000</xdr:rowOff>
    </xdr:from>
    <xdr:to>
      <xdr:col>20</xdr:col>
      <xdr:colOff>189230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117475</xdr:colOff>
      <xdr:row>0</xdr:row>
      <xdr:rowOff>203200</xdr:rowOff>
    </xdr:from>
    <xdr:to>
      <xdr:col>4</xdr:col>
      <xdr:colOff>932815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974090</xdr:colOff>
      <xdr:row>0</xdr:row>
      <xdr:rowOff>203200</xdr:rowOff>
    </xdr:from>
    <xdr:to>
      <xdr:col>5</xdr:col>
      <xdr:colOff>503555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544830</xdr:colOff>
      <xdr:row>0</xdr:row>
      <xdr:rowOff>203200</xdr:rowOff>
    </xdr:from>
    <xdr:to>
      <xdr:col>6</xdr:col>
      <xdr:colOff>74295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115570</xdr:colOff>
      <xdr:row>0</xdr:row>
      <xdr:rowOff>203200</xdr:rowOff>
    </xdr:from>
    <xdr:to>
      <xdr:col>6</xdr:col>
      <xdr:colOff>931545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972820</xdr:colOff>
      <xdr:row>0</xdr:row>
      <xdr:rowOff>203200</xdr:rowOff>
    </xdr:from>
    <xdr:to>
      <xdr:col>7</xdr:col>
      <xdr:colOff>501650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542925</xdr:colOff>
      <xdr:row>0</xdr:row>
      <xdr:rowOff>203200</xdr:rowOff>
    </xdr:from>
    <xdr:to>
      <xdr:col>8</xdr:col>
      <xdr:colOff>72390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113665</xdr:colOff>
      <xdr:row>0</xdr:row>
      <xdr:rowOff>203200</xdr:rowOff>
    </xdr:from>
    <xdr:to>
      <xdr:col>8</xdr:col>
      <xdr:colOff>929005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970280</xdr:colOff>
      <xdr:row>0</xdr:row>
      <xdr:rowOff>203200</xdr:rowOff>
    </xdr:from>
    <xdr:to>
      <xdr:col>11</xdr:col>
      <xdr:colOff>224155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265430</xdr:colOff>
      <xdr:row>0</xdr:row>
      <xdr:rowOff>203200</xdr:rowOff>
    </xdr:from>
    <xdr:to>
      <xdr:col>12</xdr:col>
      <xdr:colOff>394970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436245</xdr:colOff>
      <xdr:row>0</xdr:row>
      <xdr:rowOff>203200</xdr:rowOff>
    </xdr:from>
    <xdr:to>
      <xdr:col>13</xdr:col>
      <xdr:colOff>565785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607060</xdr:colOff>
      <xdr:row>0</xdr:row>
      <xdr:rowOff>203200</xdr:rowOff>
    </xdr:from>
    <xdr:to>
      <xdr:col>15</xdr:col>
      <xdr:colOff>53340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整理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15</xdr:col>
      <xdr:colOff>94615</xdr:colOff>
      <xdr:row>0</xdr:row>
      <xdr:rowOff>203200</xdr:rowOff>
    </xdr:from>
    <xdr:to>
      <xdr:col>16</xdr:col>
      <xdr:colOff>226695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267970</xdr:colOff>
      <xdr:row>0</xdr:row>
      <xdr:rowOff>203200</xdr:rowOff>
    </xdr:from>
    <xdr:to>
      <xdr:col>17</xdr:col>
      <xdr:colOff>400050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441325</xdr:colOff>
      <xdr:row>0</xdr:row>
      <xdr:rowOff>203200</xdr:rowOff>
    </xdr:from>
    <xdr:to>
      <xdr:col>18</xdr:col>
      <xdr:colOff>573405</xdr:colOff>
      <xdr:row>0</xdr:row>
      <xdr:rowOff>557530</xdr:rowOff>
    </xdr:to>
    <xdr:sp macro="[0]!asht12">
      <xdr:nvSpPr>
        <xdr:cNvPr id="18" name="12"/>
        <xdr:cNvSpPr/>
      </xdr:nvSpPr>
      <xdr:spPr>
        <a:xfrm>
          <a:off x="1317625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笔记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614680</xdr:colOff>
      <xdr:row>0</xdr:row>
      <xdr:rowOff>203200</xdr:rowOff>
    </xdr:from>
    <xdr:to>
      <xdr:col>20</xdr:col>
      <xdr:colOff>60960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12">
      <xdr:nvSpPr>
        <xdr:cNvPr id="20" name="圆角矩形 19"/>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2">
      <xdr:nvSpPr>
        <xdr:cNvPr id="21" name="圆角矩形 20"/>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2_show">
      <xdr:nvSpPr>
        <xdr:cNvPr id="23" name="圆角矩形 22"/>
        <xdr:cNvSpPr/>
      </xdr:nvSpPr>
      <xdr:spPr>
        <a:xfrm>
          <a:off x="48672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489585</xdr:colOff>
      <xdr:row>0</xdr:row>
      <xdr:rowOff>127000</xdr:rowOff>
    </xdr:from>
    <xdr:to>
      <xdr:col>21</xdr:col>
      <xdr:colOff>274955</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117475</xdr:colOff>
      <xdr:row>0</xdr:row>
      <xdr:rowOff>203200</xdr:rowOff>
    </xdr:from>
    <xdr:to>
      <xdr:col>4</xdr:col>
      <xdr:colOff>932815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974090</xdr:colOff>
      <xdr:row>0</xdr:row>
      <xdr:rowOff>203200</xdr:rowOff>
    </xdr:from>
    <xdr:to>
      <xdr:col>5</xdr:col>
      <xdr:colOff>503555</xdr:colOff>
      <xdr:row>0</xdr:row>
      <xdr:rowOff>557530</xdr:rowOff>
    </xdr:to>
    <xdr:sp macro="[0]!asht4">
      <xdr:nvSpPr>
        <xdr:cNvPr id="8"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544830</xdr:colOff>
      <xdr:row>0</xdr:row>
      <xdr:rowOff>203200</xdr:rowOff>
    </xdr:from>
    <xdr:to>
      <xdr:col>6</xdr:col>
      <xdr:colOff>74295</xdr:colOff>
      <xdr:row>0</xdr:row>
      <xdr:rowOff>557530</xdr:rowOff>
    </xdr:to>
    <xdr:sp macro="[0]!asht16">
      <xdr:nvSpPr>
        <xdr:cNvPr id="9"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115570</xdr:colOff>
      <xdr:row>0</xdr:row>
      <xdr:rowOff>203200</xdr:rowOff>
    </xdr:from>
    <xdr:to>
      <xdr:col>6</xdr:col>
      <xdr:colOff>931545</xdr:colOff>
      <xdr:row>0</xdr:row>
      <xdr:rowOff>557530</xdr:rowOff>
    </xdr:to>
    <xdr:sp macro="[0]!asht14">
      <xdr:nvSpPr>
        <xdr:cNvPr id="10"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972820</xdr:colOff>
      <xdr:row>0</xdr:row>
      <xdr:rowOff>203200</xdr:rowOff>
    </xdr:from>
    <xdr:to>
      <xdr:col>7</xdr:col>
      <xdr:colOff>501650</xdr:colOff>
      <xdr:row>0</xdr:row>
      <xdr:rowOff>557530</xdr:rowOff>
    </xdr:to>
    <xdr:sp macro="[0]!asht17">
      <xdr:nvSpPr>
        <xdr:cNvPr id="11"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542925</xdr:colOff>
      <xdr:row>0</xdr:row>
      <xdr:rowOff>203200</xdr:rowOff>
    </xdr:from>
    <xdr:to>
      <xdr:col>8</xdr:col>
      <xdr:colOff>72390</xdr:colOff>
      <xdr:row>0</xdr:row>
      <xdr:rowOff>557530</xdr:rowOff>
    </xdr:to>
    <xdr:sp macro="[0]!asht5">
      <xdr:nvSpPr>
        <xdr:cNvPr id="12"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113665</xdr:colOff>
      <xdr:row>0</xdr:row>
      <xdr:rowOff>203200</xdr:rowOff>
    </xdr:from>
    <xdr:to>
      <xdr:col>8</xdr:col>
      <xdr:colOff>929005</xdr:colOff>
      <xdr:row>0</xdr:row>
      <xdr:rowOff>557530</xdr:rowOff>
    </xdr:to>
    <xdr:sp macro="[0]!asht6">
      <xdr:nvSpPr>
        <xdr:cNvPr id="13"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970280</xdr:colOff>
      <xdr:row>0</xdr:row>
      <xdr:rowOff>203200</xdr:rowOff>
    </xdr:from>
    <xdr:to>
      <xdr:col>9</xdr:col>
      <xdr:colOff>500380</xdr:colOff>
      <xdr:row>0</xdr:row>
      <xdr:rowOff>557530</xdr:rowOff>
    </xdr:to>
    <xdr:sp macro="[0]!asht7">
      <xdr:nvSpPr>
        <xdr:cNvPr id="14"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541655</xdr:colOff>
      <xdr:row>0</xdr:row>
      <xdr:rowOff>203200</xdr:rowOff>
    </xdr:from>
    <xdr:to>
      <xdr:col>10</xdr:col>
      <xdr:colOff>71120</xdr:colOff>
      <xdr:row>0</xdr:row>
      <xdr:rowOff>557530</xdr:rowOff>
    </xdr:to>
    <xdr:sp macro="[0]!asht8">
      <xdr:nvSpPr>
        <xdr:cNvPr id="15"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11</xdr:col>
      <xdr:colOff>651510</xdr:colOff>
      <xdr:row>0</xdr:row>
      <xdr:rowOff>557530</xdr:rowOff>
    </xdr:to>
    <xdr:sp macro="[0]!asht15">
      <xdr:nvSpPr>
        <xdr:cNvPr id="16"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6985</xdr:colOff>
      <xdr:row>0</xdr:row>
      <xdr:rowOff>203200</xdr:rowOff>
    </xdr:from>
    <xdr:to>
      <xdr:col>13</xdr:col>
      <xdr:colOff>139065</xdr:colOff>
      <xdr:row>0</xdr:row>
      <xdr:rowOff>557530</xdr:rowOff>
    </xdr:to>
    <xdr:sp macro="[0]!asht9">
      <xdr:nvSpPr>
        <xdr:cNvPr id="17"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18" name="文本框 1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用户管理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180340</xdr:colOff>
      <xdr:row>0</xdr:row>
      <xdr:rowOff>203200</xdr:rowOff>
    </xdr:from>
    <xdr:to>
      <xdr:col>14</xdr:col>
      <xdr:colOff>312420</xdr:colOff>
      <xdr:row>0</xdr:row>
      <xdr:rowOff>557530</xdr:rowOff>
    </xdr:to>
    <xdr:sp macro="[0]!asht10">
      <xdr:nvSpPr>
        <xdr:cNvPr id="19"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353695</xdr:colOff>
      <xdr:row>0</xdr:row>
      <xdr:rowOff>203200</xdr:rowOff>
    </xdr:from>
    <xdr:to>
      <xdr:col>15</xdr:col>
      <xdr:colOff>485775</xdr:colOff>
      <xdr:row>0</xdr:row>
      <xdr:rowOff>557530</xdr:rowOff>
    </xdr:to>
    <xdr:sp macro="[0]!asht11">
      <xdr:nvSpPr>
        <xdr:cNvPr id="20"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527050</xdr:colOff>
      <xdr:row>0</xdr:row>
      <xdr:rowOff>203200</xdr:rowOff>
    </xdr:from>
    <xdr:to>
      <xdr:col>19</xdr:col>
      <xdr:colOff>659130</xdr:colOff>
      <xdr:row>0</xdr:row>
      <xdr:rowOff>557530</xdr:rowOff>
    </xdr:to>
    <xdr:sp macro="[0]!asht12">
      <xdr:nvSpPr>
        <xdr:cNvPr id="21"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14605</xdr:colOff>
      <xdr:row>0</xdr:row>
      <xdr:rowOff>203200</xdr:rowOff>
    </xdr:from>
    <xdr:to>
      <xdr:col>21</xdr:col>
      <xdr:colOff>146685</xdr:colOff>
      <xdr:row>0</xdr:row>
      <xdr:rowOff>557530</xdr:rowOff>
    </xdr:to>
    <xdr:sp macro="[0]!asht13">
      <xdr:nvSpPr>
        <xdr:cNvPr id="22" name="12"/>
        <xdr:cNvSpPr/>
      </xdr:nvSpPr>
      <xdr:spPr>
        <a:xfrm>
          <a:off x="14035405"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用户管理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939800</xdr:colOff>
      <xdr:row>1</xdr:row>
      <xdr:rowOff>71755</xdr:rowOff>
    </xdr:from>
    <xdr:to>
      <xdr:col>6</xdr:col>
      <xdr:colOff>720725</xdr:colOff>
      <xdr:row>1</xdr:row>
      <xdr:rowOff>462280</xdr:rowOff>
    </xdr:to>
    <xdr:sp macro="[0]!select13_byname">
      <xdr:nvSpPr>
        <xdr:cNvPr id="23" name="圆角矩形 22"/>
        <xdr:cNvSpPr/>
      </xdr:nvSpPr>
      <xdr:spPr>
        <a:xfrm>
          <a:off x="414020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1079500</xdr:colOff>
      <xdr:row>1</xdr:row>
      <xdr:rowOff>71755</xdr:rowOff>
    </xdr:from>
    <xdr:to>
      <xdr:col>7</xdr:col>
      <xdr:colOff>860425</xdr:colOff>
      <xdr:row>1</xdr:row>
      <xdr:rowOff>462280</xdr:rowOff>
    </xdr:to>
    <xdr:sp macro="[0]!select13">
      <xdr:nvSpPr>
        <xdr:cNvPr id="31" name="圆角矩形 30"/>
        <xdr:cNvSpPr/>
      </xdr:nvSpPr>
      <xdr:spPr>
        <a:xfrm>
          <a:off x="5565775"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1219200</xdr:colOff>
      <xdr:row>1</xdr:row>
      <xdr:rowOff>71755</xdr:rowOff>
    </xdr:from>
    <xdr:to>
      <xdr:col>8</xdr:col>
      <xdr:colOff>1000125</xdr:colOff>
      <xdr:row>1</xdr:row>
      <xdr:rowOff>462280</xdr:rowOff>
    </xdr:to>
    <xdr:sp macro="[0]!save13">
      <xdr:nvSpPr>
        <xdr:cNvPr id="41" name="圆角矩形 40"/>
        <xdr:cNvSpPr/>
      </xdr:nvSpPr>
      <xdr:spPr>
        <a:xfrm>
          <a:off x="699135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新增</a:t>
          </a:r>
          <a:endParaRPr lang="zh-CN" altLang="en-US" sz="1400" b="1">
            <a:latin typeface="等线" panose="02010600030101010101" charset="-122"/>
            <a:ea typeface="等线" panose="02010600030101010101" charset="-122"/>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xdr:col>
          <xdr:colOff>847725</xdr:colOff>
          <xdr:row>1</xdr:row>
          <xdr:rowOff>128905</xdr:rowOff>
        </xdr:from>
        <xdr:to>
          <xdr:col>5</xdr:col>
          <xdr:colOff>800100</xdr:colOff>
          <xdr:row>1</xdr:row>
          <xdr:rowOff>443230</xdr:rowOff>
        </xdr:to>
        <xdr:sp>
          <xdr:nvSpPr>
            <xdr:cNvPr id="4098" name="TextBox1" hidden="1">
              <a:extLst>
                <a:ext uri="{63B3BB69-23CF-44E3-9099-C40C66FF867C}">
                  <a14:compatExt spid="_x0000_s4098"/>
                </a:ext>
              </a:extLst>
            </xdr:cNvPr>
            <xdr:cNvSpPr/>
          </xdr:nvSpPr>
          <xdr:spPr>
            <a:xfrm>
              <a:off x="1476375" y="890905"/>
              <a:ext cx="2524125" cy="314325"/>
            </a:xfrm>
            <a:prstGeom prst="rect">
              <a:avLst/>
            </a:prstGeom>
          </xdr:spPr>
        </xdr:sp>
        <xdr:clientData/>
      </xdr:twoCellAnchor>
    </mc:Choice>
    <mc:Fallback/>
  </mc:AlternateContent>
  <xdr:twoCellAnchor editAs="absolute">
    <xdr:from>
      <xdr:col>2</xdr:col>
      <xdr:colOff>0</xdr:colOff>
      <xdr:row>1</xdr:row>
      <xdr:rowOff>50800</xdr:rowOff>
    </xdr:from>
    <xdr:to>
      <xdr:col>3</xdr:col>
      <xdr:colOff>821055</xdr:colOff>
      <xdr:row>1</xdr:row>
      <xdr:rowOff>504190</xdr:rowOff>
    </xdr:to>
    <xdr:sp>
      <xdr:nvSpPr>
        <xdr:cNvPr id="43" name="文本框 42"/>
        <xdr:cNvSpPr txBox="1"/>
      </xdr:nvSpPr>
      <xdr:spPr>
        <a:xfrm>
          <a:off x="628650" y="812800"/>
          <a:ext cx="821055"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rPr>
            <a:t>用户名：</a:t>
          </a:r>
          <a:endPar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a:gsLst>
            <a:gs pos="0">
              <a:srgbClr val="007BD3"/>
            </a:gs>
            <a:gs pos="100000">
              <a:srgbClr val="034373"/>
            </a:gs>
          </a:gsLst>
          <a:lin scaled="0"/>
        </a:gradFill>
      </a:spPr>
      <a:bodyPr vertOverflow="clip" horzOverflow="clip" wrap="square" rtlCol="0" anchor="ctr" anchorCtr="0"/>
      <a:lstStyle>
        <a:defPPr algn="ctr">
          <a:defRPr lang="zh-CN" altLang="en-US" sz="1400" b="1">
            <a:latin typeface="等线" panose="02010600030101010101" charset="-122"/>
            <a:ea typeface="等线" panose="02010600030101010101"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AP9" sqref="AP9"/>
    </sheetView>
  </sheetViews>
  <sheetFormatPr defaultColWidth="3.625" defaultRowHeight="17.1" customHeight="1"/>
  <cols>
    <col min="1" max="1" width="3.625" style="73" customWidth="1"/>
    <col min="2" max="16384" width="3.625" style="73"/>
  </cols>
  <sheetData>
    <row r="4" customHeight="1" spans="1:42">
      <c r="A4" s="74"/>
      <c r="B4" s="74"/>
      <c r="C4" s="74"/>
      <c r="D4" s="74"/>
      <c r="E4" s="74"/>
      <c r="F4" s="74"/>
      <c r="G4" s="74"/>
      <c r="H4" s="74"/>
      <c r="I4" s="74"/>
      <c r="J4" s="74"/>
      <c r="K4" s="74"/>
      <c r="L4" s="74"/>
      <c r="M4" s="74"/>
      <c r="N4" s="74"/>
      <c r="O4" s="74"/>
      <c r="P4" s="74"/>
      <c r="Q4" s="74"/>
      <c r="R4" s="74"/>
      <c r="S4" s="74"/>
      <c r="T4" s="74"/>
      <c r="U4" s="74"/>
      <c r="V4" s="74"/>
      <c r="W4" s="74"/>
      <c r="X4" s="74"/>
      <c r="Y4" s="74"/>
      <c r="Z4" s="74"/>
      <c r="AA4" s="74"/>
      <c r="AB4" s="74"/>
      <c r="AC4" s="74"/>
      <c r="AD4" s="74"/>
      <c r="AE4" s="74"/>
      <c r="AF4" s="74"/>
      <c r="AG4" s="74"/>
      <c r="AH4" s="74"/>
      <c r="AI4" s="74"/>
      <c r="AJ4" s="74"/>
      <c r="AK4" s="74"/>
      <c r="AL4" s="74"/>
      <c r="AM4" s="74"/>
      <c r="AN4" s="74"/>
      <c r="AO4" s="74"/>
      <c r="AP4" s="74"/>
    </row>
    <row r="5" customHeight="1" spans="1:42">
      <c r="A5" s="74"/>
      <c r="B5" s="74"/>
      <c r="C5" s="74"/>
      <c r="D5" s="74"/>
      <c r="E5" s="74"/>
      <c r="F5" s="74"/>
      <c r="G5" s="74"/>
      <c r="H5" s="74"/>
      <c r="I5" s="74"/>
      <c r="J5" s="74"/>
      <c r="K5" s="74"/>
      <c r="L5" s="74"/>
      <c r="M5" s="74"/>
      <c r="N5" s="74"/>
      <c r="O5" s="74"/>
      <c r="P5" s="74"/>
      <c r="Q5" s="74"/>
      <c r="R5" s="74"/>
      <c r="S5" s="74"/>
      <c r="T5" s="74"/>
      <c r="U5" s="74"/>
      <c r="V5" s="74"/>
      <c r="W5" s="74"/>
      <c r="X5" s="74"/>
      <c r="Y5" s="74"/>
      <c r="Z5" s="74"/>
      <c r="AA5" s="74"/>
      <c r="AB5" s="74"/>
      <c r="AC5" s="74"/>
      <c r="AD5" s="74"/>
      <c r="AE5" s="74"/>
      <c r="AF5" s="74"/>
      <c r="AG5" s="74"/>
      <c r="AH5" s="74"/>
      <c r="AI5" s="74"/>
      <c r="AJ5" s="74"/>
      <c r="AK5" s="74"/>
      <c r="AL5" s="74"/>
      <c r="AM5" s="74"/>
      <c r="AN5" s="74"/>
      <c r="AO5" s="74"/>
      <c r="AP5" s="74"/>
    </row>
    <row r="6" customHeight="1" spans="1:42">
      <c r="A6" s="75"/>
      <c r="B6" s="75"/>
      <c r="C6" s="75"/>
      <c r="D6" s="75"/>
      <c r="E6" s="75"/>
      <c r="F6" s="75"/>
      <c r="G6" s="75"/>
      <c r="H6" s="76"/>
      <c r="I6" s="76"/>
      <c r="J6" s="76"/>
      <c r="K6" s="76"/>
      <c r="L6" s="76"/>
      <c r="M6" s="76"/>
      <c r="N6" s="76"/>
      <c r="O6" s="76"/>
      <c r="P6" s="76"/>
      <c r="Q6" s="76"/>
      <c r="R6" s="75"/>
      <c r="S6" s="75"/>
      <c r="T6" s="75"/>
      <c r="U6" s="75"/>
      <c r="V6" s="75"/>
      <c r="W6" s="75"/>
      <c r="X6" s="75"/>
      <c r="Y6" s="75"/>
      <c r="Z6" s="75"/>
      <c r="AA6" s="75"/>
      <c r="AB6" s="75"/>
      <c r="AC6" s="75"/>
      <c r="AD6" s="75"/>
      <c r="AE6" s="75"/>
      <c r="AF6" s="75"/>
      <c r="AG6" s="75"/>
      <c r="AH6" s="75"/>
      <c r="AI6" s="75"/>
      <c r="AJ6" s="75"/>
      <c r="AK6" s="75"/>
      <c r="AL6" s="75"/>
      <c r="AM6" s="75"/>
      <c r="AN6" s="75"/>
      <c r="AO6" s="75"/>
      <c r="AP6" s="75"/>
    </row>
    <row r="7" customHeight="1" spans="5:23">
      <c r="E7" s="77"/>
      <c r="F7" s="77"/>
      <c r="G7" s="77"/>
      <c r="H7" s="78"/>
      <c r="I7" s="78"/>
      <c r="J7" s="78"/>
      <c r="K7" s="78"/>
      <c r="L7" s="78"/>
      <c r="M7" s="78"/>
      <c r="N7" s="79"/>
      <c r="O7" s="79"/>
      <c r="P7" s="79"/>
      <c r="Q7" s="79"/>
      <c r="T7" s="79"/>
      <c r="U7" s="79"/>
      <c r="V7" s="79"/>
      <c r="W7" s="79"/>
    </row>
    <row r="8" customHeight="1" spans="8:23">
      <c r="H8" s="79"/>
      <c r="I8" s="79"/>
      <c r="J8" s="79"/>
      <c r="K8" s="79"/>
      <c r="L8" s="79"/>
      <c r="M8" s="79"/>
      <c r="N8" s="79"/>
      <c r="O8" s="79"/>
      <c r="P8" s="79"/>
      <c r="Q8" s="79"/>
      <c r="T8" s="79"/>
      <c r="U8" s="79"/>
      <c r="V8" s="79"/>
      <c r="W8" s="79"/>
    </row>
    <row r="9" customHeight="1" spans="8:23">
      <c r="H9" s="79"/>
      <c r="I9" s="79"/>
      <c r="J9" s="79"/>
      <c r="K9" s="79"/>
      <c r="L9" s="79"/>
      <c r="M9" s="79"/>
      <c r="N9" s="79"/>
      <c r="O9" s="79"/>
      <c r="P9" s="79"/>
      <c r="Q9" s="79"/>
      <c r="R9" s="79"/>
      <c r="S9" s="79"/>
      <c r="T9" s="79"/>
      <c r="U9" s="79"/>
      <c r="V9" s="79"/>
      <c r="W9" s="79"/>
    </row>
    <row r="10" customHeight="1" spans="17:23">
      <c r="Q10" s="79"/>
      <c r="R10" s="79"/>
      <c r="S10" s="79"/>
      <c r="T10" s="79"/>
      <c r="U10" s="79"/>
      <c r="V10" s="79"/>
      <c r="W10" s="79"/>
    </row>
    <row r="11" customHeight="1" spans="17:23">
      <c r="Q11" s="79"/>
      <c r="R11" s="79"/>
      <c r="S11" s="79"/>
      <c r="T11" s="79"/>
      <c r="U11" s="79"/>
      <c r="V11" s="79"/>
      <c r="W11" s="79"/>
    </row>
    <row r="12" customHeight="1" spans="17:23">
      <c r="Q12" s="79"/>
      <c r="R12" s="79"/>
      <c r="S12" s="79"/>
      <c r="T12" s="79"/>
      <c r="U12" s="79"/>
      <c r="V12" s="79"/>
      <c r="W12" s="79"/>
    </row>
    <row r="13" customHeight="1" spans="17:23">
      <c r="Q13" s="79"/>
      <c r="R13" s="79"/>
      <c r="S13" s="79"/>
      <c r="T13" s="79"/>
      <c r="U13" s="79"/>
      <c r="V13" s="79"/>
      <c r="W13" s="79"/>
    </row>
  </sheetData>
  <sheetProtection selectLockedCells="1" selectUnlockedCell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C72" sqref="C72"/>
    </sheetView>
  </sheetViews>
  <sheetFormatPr defaultColWidth="9" defaultRowHeight="21.95" customHeight="1"/>
  <cols>
    <col min="1" max="1" width="1.625" style="55" customWidth="1"/>
    <col min="2" max="2" width="2.625" style="56" customWidth="1"/>
    <col min="3" max="3" width="15.25" style="57" customWidth="1"/>
    <col min="4" max="4" width="19.125" style="58" customWidth="1"/>
    <col min="5" max="5" width="10.5" style="58" customWidth="1"/>
    <col min="6" max="8" width="24.625" style="58" customWidth="1"/>
    <col min="9" max="9" width="2.625" style="56" customWidth="1"/>
    <col min="10" max="10" width="4.25" style="55" customWidth="1"/>
    <col min="11" max="16384" width="9" style="55"/>
  </cols>
  <sheetData>
    <row r="1" s="53" customFormat="1" ht="54.95" customHeight="1" spans="1:10">
      <c r="A1" s="59"/>
      <c r="C1" s="60"/>
      <c r="J1" s="72"/>
    </row>
    <row r="2" ht="15.95" customHeight="1" spans="2:9">
      <c r="B2" s="55"/>
      <c r="C2" s="61"/>
      <c r="D2" s="55"/>
      <c r="E2" s="55"/>
      <c r="F2" s="55"/>
      <c r="G2" s="55"/>
      <c r="H2" s="55"/>
      <c r="I2" s="55"/>
    </row>
    <row r="3" ht="15.95" customHeight="1" spans="3:8">
      <c r="C3" s="62"/>
      <c r="D3" s="56"/>
      <c r="E3" s="56"/>
      <c r="F3" s="56"/>
      <c r="G3" s="56"/>
      <c r="H3" s="56"/>
    </row>
    <row r="4" ht="75.95" customHeight="1" spans="3:8">
      <c r="C4" s="63" t="s">
        <v>0</v>
      </c>
      <c r="D4" s="64"/>
      <c r="E4" s="64"/>
      <c r="F4" s="65">
        <f>D7</f>
        <v>1</v>
      </c>
      <c r="G4" s="66" t="s">
        <v>1</v>
      </c>
      <c r="H4" s="66"/>
    </row>
    <row r="5" ht="6" customHeight="1" spans="3:8">
      <c r="C5" s="67"/>
      <c r="D5" s="64"/>
      <c r="E5" s="64"/>
      <c r="F5" s="68"/>
      <c r="G5" s="68"/>
      <c r="H5" s="68"/>
    </row>
    <row r="6" s="54" customFormat="1" ht="9" customHeight="1" spans="2:9">
      <c r="B6" s="56"/>
      <c r="C6" s="69"/>
      <c r="D6" s="70"/>
      <c r="E6" s="70"/>
      <c r="F6" s="71"/>
      <c r="G6" s="71"/>
      <c r="H6" s="71"/>
      <c r="I6" s="56"/>
    </row>
    <row r="7" hidden="1" customHeight="1" spans="2:4">
      <c r="B7" s="56" t="s">
        <v>2</v>
      </c>
      <c r="D7" s="58">
        <v>1</v>
      </c>
    </row>
    <row r="8" customHeight="1" spans="3:4">
      <c r="C8" s="57" t="s">
        <v>3</v>
      </c>
      <c r="D8" s="58" t="s">
        <v>4</v>
      </c>
    </row>
    <row r="9" customHeight="1" spans="3:4">
      <c r="C9" s="57" t="s">
        <v>5</v>
      </c>
      <c r="D9" s="58" t="s">
        <v>6</v>
      </c>
    </row>
    <row r="18" hidden="1" customHeight="1" spans="3:4">
      <c r="C18" s="57" t="s">
        <v>3</v>
      </c>
      <c r="D18" s="58" t="s">
        <v>7</v>
      </c>
    </row>
    <row r="19" hidden="1" customHeight="1" spans="3:4">
      <c r="C19" s="57" t="s">
        <v>5</v>
      </c>
      <c r="D19" s="58" t="s">
        <v>8</v>
      </c>
    </row>
    <row r="20" hidden="1" customHeight="1" spans="3:4">
      <c r="C20" s="57" t="s">
        <v>9</v>
      </c>
      <c r="D20" s="58" t="s">
        <v>10</v>
      </c>
    </row>
    <row r="21" hidden="1" customHeight="1"/>
    <row r="22" hidden="1" customHeight="1"/>
    <row r="23" hidden="1" customHeight="1"/>
    <row r="24" hidden="1" customHeight="1"/>
    <row r="25" hidden="1" customHeight="1"/>
    <row r="26" hidden="1" customHeight="1"/>
    <row r="27" hidden="1" customHeight="1"/>
    <row r="28" hidden="1" customHeight="1" spans="3:4">
      <c r="C28" s="57" t="s">
        <v>3</v>
      </c>
      <c r="D28" s="58" t="s">
        <v>11</v>
      </c>
    </row>
    <row r="29" hidden="1" customHeight="1" spans="3:4">
      <c r="C29" s="57" t="s">
        <v>5</v>
      </c>
      <c r="D29" s="58" t="s">
        <v>12</v>
      </c>
    </row>
    <row r="30" hidden="1" customHeight="1" spans="3:4">
      <c r="C30" s="57" t="s">
        <v>9</v>
      </c>
      <c r="D30" s="58" t="s">
        <v>10</v>
      </c>
    </row>
    <row r="31" hidden="1" customHeight="1"/>
    <row r="32" hidden="1" customHeight="1"/>
    <row r="33" hidden="1" customHeight="1"/>
    <row r="34" hidden="1" customHeight="1"/>
    <row r="35" hidden="1" customHeight="1"/>
    <row r="36" hidden="1" customHeight="1"/>
    <row r="37" hidden="1" customHeight="1"/>
    <row r="38" hidden="1" customHeight="1" spans="3:4">
      <c r="C38" s="57" t="s">
        <v>3</v>
      </c>
      <c r="D38" s="58" t="s">
        <v>13</v>
      </c>
    </row>
    <row r="39" hidden="1" customHeight="1" spans="3:4">
      <c r="C39" s="57" t="s">
        <v>5</v>
      </c>
      <c r="D39" s="58" t="s">
        <v>14</v>
      </c>
    </row>
    <row r="40" hidden="1" customHeight="1" spans="3:4">
      <c r="C40" s="57" t="s">
        <v>9</v>
      </c>
      <c r="D40" s="58" t="s">
        <v>12</v>
      </c>
    </row>
    <row r="41" hidden="1" customHeight="1"/>
    <row r="42" hidden="1" customHeight="1"/>
    <row r="43" hidden="1" customHeight="1"/>
    <row r="44" hidden="1" customHeight="1"/>
    <row r="45" hidden="1" customHeight="1"/>
    <row r="46" hidden="1" customHeight="1"/>
    <row r="47" hidden="1" customHeight="1"/>
    <row r="48" hidden="1" customHeight="1" spans="3:4">
      <c r="C48" s="57" t="s">
        <v>3</v>
      </c>
      <c r="D48" s="58" t="s">
        <v>15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4">
      <c r="C58" s="57" t="s">
        <v>3</v>
      </c>
      <c r="D58" s="58" t="s">
        <v>16</v>
      </c>
    </row>
    <row r="59" hidden="1" customHeight="1" spans="4:4">
      <c r="D59" s="58" t="s">
        <v>17</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57" t="s">
        <v>3</v>
      </c>
      <c r="D68" s="58" t="s">
        <v>18</v>
      </c>
    </row>
    <row r="69" hidden="1" customHeight="1" spans="3:4">
      <c r="C69" s="57" t="s">
        <v>5</v>
      </c>
      <c r="D69" s="58" t="s">
        <v>19</v>
      </c>
    </row>
    <row r="70" hidden="1" customHeight="1" spans="3:4">
      <c r="C70" s="57" t="s">
        <v>9</v>
      </c>
      <c r="D70" s="58" t="s">
        <v>20</v>
      </c>
    </row>
    <row r="71" hidden="1" customHeight="1" spans="3:4">
      <c r="C71" s="57" t="s">
        <v>21</v>
      </c>
      <c r="D71" s="58" t="s">
        <v>22</v>
      </c>
    </row>
    <row r="72" hidden="1" customHeight="1"/>
    <row r="73" hidden="1" customHeight="1"/>
    <row r="74" hidden="1" customHeight="1"/>
    <row r="75" hidden="1" customHeight="1"/>
    <row r="76" hidden="1" customHeight="1"/>
    <row r="77" hidden="1" customHeight="1"/>
    <row r="78" hidden="1" customHeight="1" spans="3:3">
      <c r="C78" s="57">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57">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57">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
  <sheetViews>
    <sheetView workbookViewId="0">
      <selection activeCell="G14" sqref="G14"/>
    </sheetView>
  </sheetViews>
  <sheetFormatPr defaultColWidth="9" defaultRowHeight="14.25"/>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4"/>
  <sheetViews>
    <sheetView showGridLines="0" workbookViewId="0">
      <pane ySplit="4" topLeftCell="A5" activePane="bottomLeft" state="frozen"/>
      <selection/>
      <selection pane="bottomLeft" activeCell="H8" sqref="H8"/>
    </sheetView>
  </sheetViews>
  <sheetFormatPr defaultColWidth="9" defaultRowHeight="20.1" customHeight="1" outlineLevelRow="3"/>
  <cols>
    <col min="1" max="1" width="4.625" style="3" customWidth="1"/>
    <col min="2" max="2" width="3.375" style="4" customWidth="1"/>
    <col min="3" max="10" width="16.875" style="51" customWidth="1"/>
    <col min="11" max="11" width="3.375" style="4" customWidth="1"/>
    <col min="12" max="16384" width="9" style="3"/>
  </cols>
  <sheetData>
    <row r="1" s="1" customFormat="1" ht="60" customHeight="1" spans="1:1">
      <c r="A1" s="8"/>
    </row>
    <row r="2" s="2" customFormat="1" ht="39.95" customHeight="1"/>
    <row r="3" s="2" customFormat="1" customHeight="1" spans="2:11">
      <c r="B3" s="9"/>
      <c r="C3" s="52"/>
      <c r="D3" s="52"/>
      <c r="E3" s="52"/>
      <c r="F3" s="52"/>
      <c r="G3" s="52"/>
      <c r="H3" s="52"/>
      <c r="I3" s="52"/>
      <c r="J3" s="52"/>
      <c r="K3" s="9"/>
    </row>
    <row r="4" s="2" customFormat="1" ht="30" customHeight="1" spans="2:11">
      <c r="B4" s="9"/>
      <c r="C4" s="33" t="s">
        <v>23</v>
      </c>
      <c r="D4" s="33" t="s">
        <v>24</v>
      </c>
      <c r="E4" s="33" t="s">
        <v>25</v>
      </c>
      <c r="F4" s="33" t="s">
        <v>26</v>
      </c>
      <c r="G4" s="33" t="s">
        <v>27</v>
      </c>
      <c r="H4" s="33" t="s">
        <v>28</v>
      </c>
      <c r="I4" s="33" t="s">
        <v>29</v>
      </c>
      <c r="J4" s="33" t="s">
        <v>30</v>
      </c>
      <c r="K4" s="9"/>
    </row>
  </sheetData>
  <sheetProtection formatCells="0" formatColumns="0" formatRows="0" insertRows="0" insertColumns="0" insertHyperlinks="0" deleteColumns="0" deleteRows="0" sort="0" autoFilter="0" pivotTables="0"/>
  <dataValidations count="1">
    <dataValidation type="list" allowBlank="1" showInputMessage="1" sqref="E5:E1048576">
      <formula1>基础资料!$F$5:$F$165536</formula1>
    </dataValidation>
  </dataValidations>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A1:I19"/>
  <sheetViews>
    <sheetView showGridLines="0" zoomScale="70" zoomScaleNormal="70" workbookViewId="0">
      <selection activeCell="F10" sqref="F10"/>
    </sheetView>
  </sheetViews>
  <sheetFormatPr defaultColWidth="9" defaultRowHeight="20.1" customHeight="1"/>
  <cols>
    <col min="1" max="1" width="4.625" style="3" customWidth="1"/>
    <col min="2" max="2" width="3.375" style="4" customWidth="1"/>
    <col min="3" max="8" width="20.625" style="39" customWidth="1"/>
    <col min="9" max="9" width="3.375" style="4" customWidth="1"/>
    <col min="10" max="16384" width="9" style="3"/>
  </cols>
  <sheetData>
    <row r="1" s="1" customFormat="1" ht="60" customHeight="1" spans="1:8">
      <c r="A1" s="8"/>
      <c r="C1" s="40"/>
      <c r="D1" s="40"/>
      <c r="E1" s="40"/>
      <c r="F1" s="40"/>
      <c r="G1" s="40"/>
      <c r="H1" s="40"/>
    </row>
    <row r="2" s="2" customFormat="1" ht="39.95" customHeight="1" spans="3:8">
      <c r="C2" s="41"/>
      <c r="D2" s="41"/>
      <c r="E2" s="41"/>
      <c r="F2" s="41"/>
      <c r="G2" s="41"/>
      <c r="H2" s="41"/>
    </row>
    <row r="3" s="2" customFormat="1" customHeight="1" spans="2:9">
      <c r="B3" s="9"/>
      <c r="C3" s="42"/>
      <c r="D3" s="42"/>
      <c r="E3" s="42"/>
      <c r="F3" s="42"/>
      <c r="G3" s="42"/>
      <c r="H3" s="42"/>
      <c r="I3" s="9"/>
    </row>
    <row r="4" s="2" customFormat="1" ht="40" customHeight="1" spans="2:9">
      <c r="B4" s="9"/>
      <c r="C4" s="43" t="s">
        <v>31</v>
      </c>
      <c r="D4" s="43"/>
      <c r="E4" s="43"/>
      <c r="F4" s="43"/>
      <c r="G4" s="43"/>
      <c r="H4" s="43"/>
      <c r="I4" s="9"/>
    </row>
    <row r="5" s="2" customFormat="1" ht="30" customHeight="1" spans="2:9">
      <c r="B5" s="9"/>
      <c r="C5" s="44" t="s">
        <v>32</v>
      </c>
      <c r="D5" s="45" t="s">
        <v>33</v>
      </c>
      <c r="E5" s="44" t="s">
        <v>34</v>
      </c>
      <c r="F5" s="45" t="s">
        <v>35</v>
      </c>
      <c r="G5" s="44" t="s">
        <v>36</v>
      </c>
      <c r="H5" s="46">
        <v>44404.7250231481</v>
      </c>
      <c r="I5" s="9"/>
    </row>
    <row r="6" s="2" customFormat="1" ht="30" customHeight="1" spans="2:9">
      <c r="B6" s="9"/>
      <c r="C6" s="47" t="s">
        <v>24</v>
      </c>
      <c r="D6" s="47" t="s">
        <v>25</v>
      </c>
      <c r="E6" s="47" t="s">
        <v>26</v>
      </c>
      <c r="F6" s="47" t="s">
        <v>28</v>
      </c>
      <c r="G6" s="47" t="s">
        <v>37</v>
      </c>
      <c r="H6" s="47" t="s">
        <v>29</v>
      </c>
      <c r="I6" s="9"/>
    </row>
    <row r="7" customHeight="1" spans="3:8">
      <c r="C7" s="48" t="s">
        <v>38</v>
      </c>
      <c r="D7" s="48" t="s">
        <v>39</v>
      </c>
      <c r="E7" s="48" t="s">
        <v>40</v>
      </c>
      <c r="F7" s="48">
        <v>20</v>
      </c>
      <c r="G7" s="48">
        <v>2000</v>
      </c>
      <c r="H7" s="48">
        <v>40000</v>
      </c>
    </row>
    <row r="8" customHeight="1" spans="3:8">
      <c r="C8" s="48" t="s">
        <v>41</v>
      </c>
      <c r="D8" s="48" t="s">
        <v>42</v>
      </c>
      <c r="E8" s="48" t="s">
        <v>43</v>
      </c>
      <c r="F8" s="48">
        <v>100</v>
      </c>
      <c r="G8" s="48">
        <v>5000</v>
      </c>
      <c r="H8" s="48">
        <v>500000</v>
      </c>
    </row>
    <row r="9" customHeight="1" spans="3:8">
      <c r="C9" s="48"/>
      <c r="D9" s="48"/>
      <c r="E9" s="48"/>
      <c r="F9" s="48"/>
      <c r="G9" s="48"/>
      <c r="H9" s="48"/>
    </row>
    <row r="10" customHeight="1" spans="3:8">
      <c r="C10" s="48"/>
      <c r="D10" s="48"/>
      <c r="E10" s="48"/>
      <c r="F10" s="48"/>
      <c r="G10" s="48"/>
      <c r="H10" s="48"/>
    </row>
    <row r="11" customHeight="1" spans="3:8">
      <c r="C11" s="48"/>
      <c r="D11" s="48"/>
      <c r="E11" s="48"/>
      <c r="F11" s="48"/>
      <c r="G11" s="48"/>
      <c r="H11" s="48"/>
    </row>
    <row r="12" customHeight="1" spans="3:8">
      <c r="C12" s="48"/>
      <c r="D12" s="48"/>
      <c r="E12" s="48"/>
      <c r="F12" s="48"/>
      <c r="G12" s="48"/>
      <c r="H12" s="48"/>
    </row>
    <row r="13" customHeight="1" spans="3:8">
      <c r="C13" s="48"/>
      <c r="D13" s="48"/>
      <c r="E13" s="48"/>
      <c r="F13" s="48"/>
      <c r="G13" s="48"/>
      <c r="H13" s="48"/>
    </row>
    <row r="14" customHeight="1" spans="3:8">
      <c r="C14" s="48"/>
      <c r="D14" s="48"/>
      <c r="E14" s="48"/>
      <c r="F14" s="48"/>
      <c r="G14" s="48"/>
      <c r="H14" s="48"/>
    </row>
    <row r="15" customHeight="1" spans="3:8">
      <c r="C15" s="48"/>
      <c r="D15" s="48"/>
      <c r="E15" s="48"/>
      <c r="F15" s="48"/>
      <c r="G15" s="48"/>
      <c r="H15" s="48"/>
    </row>
    <row r="16" customHeight="1" spans="3:8">
      <c r="C16" s="48"/>
      <c r="D16" s="48"/>
      <c r="E16" s="48"/>
      <c r="F16" s="48"/>
      <c r="G16" s="48"/>
      <c r="H16" s="48"/>
    </row>
    <row r="17" customHeight="1" spans="3:8">
      <c r="C17" s="48"/>
      <c r="D17" s="48"/>
      <c r="E17" s="48"/>
      <c r="F17" s="48"/>
      <c r="G17" s="48"/>
      <c r="H17" s="48"/>
    </row>
    <row r="18" customHeight="1" spans="3:8">
      <c r="C18" s="48"/>
      <c r="D18" s="48"/>
      <c r="E18" s="48"/>
      <c r="F18" s="48"/>
      <c r="G18" s="48"/>
      <c r="H18" s="48"/>
    </row>
    <row r="19" ht="30" customHeight="1" spans="3:8">
      <c r="C19" s="49" t="s">
        <v>44</v>
      </c>
      <c r="D19" s="50">
        <f>G19</f>
        <v>540000</v>
      </c>
      <c r="E19" s="50"/>
      <c r="F19" s="49" t="s">
        <v>45</v>
      </c>
      <c r="G19" s="49">
        <f>SUM(H7:H18)</f>
        <v>540000</v>
      </c>
      <c r="H19" s="49"/>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4"/>
  <sheetViews>
    <sheetView showGridLines="0" workbookViewId="0">
      <pane ySplit="4" topLeftCell="A5" activePane="bottomLeft" state="frozen"/>
      <selection/>
      <selection pane="bottomLeft" activeCell="H5" sqref="H5"/>
    </sheetView>
  </sheetViews>
  <sheetFormatPr defaultColWidth="9" defaultRowHeight="20.1" customHeight="1" outlineLevelRow="3"/>
  <cols>
    <col min="1" max="1" width="4.625" style="3" customWidth="1"/>
    <col min="2" max="2" width="3.375" style="4" customWidth="1"/>
    <col min="3" max="10" width="16.875" style="51" customWidth="1"/>
    <col min="11" max="11" width="3.375" style="4" customWidth="1"/>
    <col min="12" max="16384" width="9" style="3"/>
  </cols>
  <sheetData>
    <row r="1" s="1" customFormat="1" ht="60" customHeight="1" spans="1:1">
      <c r="A1" s="8"/>
    </row>
    <row r="2" s="2" customFormat="1" ht="39.95" customHeight="1"/>
    <row r="3" s="2" customFormat="1" customHeight="1" spans="2:11">
      <c r="B3" s="9"/>
      <c r="C3" s="52"/>
      <c r="D3" s="52"/>
      <c r="E3" s="52"/>
      <c r="F3" s="52"/>
      <c r="G3" s="52"/>
      <c r="H3" s="52"/>
      <c r="I3" s="52"/>
      <c r="J3" s="52"/>
      <c r="K3" s="9"/>
    </row>
    <row r="4" s="2" customFormat="1" ht="30" customHeight="1" spans="2:11">
      <c r="B4" s="9"/>
      <c r="C4" s="33" t="s">
        <v>23</v>
      </c>
      <c r="D4" s="33" t="s">
        <v>24</v>
      </c>
      <c r="E4" s="33" t="s">
        <v>25</v>
      </c>
      <c r="F4" s="33" t="s">
        <v>26</v>
      </c>
      <c r="G4" s="33" t="s">
        <v>27</v>
      </c>
      <c r="H4" s="33" t="s">
        <v>28</v>
      </c>
      <c r="I4" s="33" t="s">
        <v>37</v>
      </c>
      <c r="J4" s="33" t="s">
        <v>30</v>
      </c>
      <c r="K4" s="9"/>
    </row>
  </sheetData>
  <sheetProtection formatCells="0" formatColumns="0" formatRows="0" insertRows="0" insertColumns="0" insertHyperlinks="0" deleteColumns="0" deleteRows="0" sort="0" autoFilter="0" pivotTables="0"/>
  <dataValidations count="1">
    <dataValidation type="list" allowBlank="1" showInputMessage="1" sqref="E5:E1048576">
      <formula1>基础资料!$F$5:$F$65536</formula1>
    </dataValidation>
  </dataValidations>
  <pageMargins left="0.7" right="0.7" top="0.75" bottom="0.75" header="0.3" footer="0.3"/>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A1:I19"/>
  <sheetViews>
    <sheetView showGridLines="0" zoomScale="70" zoomScaleNormal="70" workbookViewId="0">
      <selection activeCell="A1" sqref="A1"/>
    </sheetView>
  </sheetViews>
  <sheetFormatPr defaultColWidth="9" defaultRowHeight="20.1" customHeight="1"/>
  <cols>
    <col min="1" max="1" width="4.625" style="3" customWidth="1"/>
    <col min="2" max="2" width="3.375" style="4" customWidth="1"/>
    <col min="3" max="8" width="20.625" style="39" customWidth="1"/>
    <col min="9" max="9" width="3.375" style="4" customWidth="1"/>
    <col min="10" max="16384" width="9" style="3"/>
  </cols>
  <sheetData>
    <row r="1" s="1" customFormat="1" ht="60" customHeight="1" spans="1:8">
      <c r="A1" s="8"/>
      <c r="C1" s="40"/>
      <c r="D1" s="40"/>
      <c r="E1" s="40"/>
      <c r="F1" s="40"/>
      <c r="G1" s="40"/>
      <c r="H1" s="40"/>
    </row>
    <row r="2" s="2" customFormat="1" ht="39.95" customHeight="1" spans="3:8">
      <c r="C2" s="41"/>
      <c r="D2" s="41"/>
      <c r="E2" s="41"/>
      <c r="F2" s="41"/>
      <c r="G2" s="41"/>
      <c r="H2" s="41"/>
    </row>
    <row r="3" s="2" customFormat="1" customHeight="1" spans="2:9">
      <c r="B3" s="9"/>
      <c r="C3" s="42"/>
      <c r="D3" s="42"/>
      <c r="E3" s="42"/>
      <c r="F3" s="42"/>
      <c r="G3" s="42"/>
      <c r="H3" s="42"/>
      <c r="I3" s="9"/>
    </row>
    <row r="4" s="2" customFormat="1" ht="40" customHeight="1" spans="2:9">
      <c r="B4" s="9"/>
      <c r="C4" s="43" t="s">
        <v>46</v>
      </c>
      <c r="D4" s="43"/>
      <c r="E4" s="43"/>
      <c r="F4" s="43"/>
      <c r="G4" s="43"/>
      <c r="H4" s="43"/>
      <c r="I4" s="9"/>
    </row>
    <row r="5" s="2" customFormat="1" ht="30" customHeight="1" spans="2:9">
      <c r="B5" s="9"/>
      <c r="C5" s="44" t="s">
        <v>32</v>
      </c>
      <c r="D5" s="45" t="s">
        <v>47</v>
      </c>
      <c r="E5" s="44" t="s">
        <v>48</v>
      </c>
      <c r="F5" s="45" t="s">
        <v>49</v>
      </c>
      <c r="G5" s="44" t="s">
        <v>50</v>
      </c>
      <c r="H5" s="46">
        <v>44714</v>
      </c>
      <c r="I5" s="9"/>
    </row>
    <row r="6" s="2" customFormat="1" ht="30" customHeight="1" spans="2:9">
      <c r="B6" s="9"/>
      <c r="C6" s="47" t="s">
        <v>24</v>
      </c>
      <c r="D6" s="47" t="s">
        <v>25</v>
      </c>
      <c r="E6" s="47" t="s">
        <v>26</v>
      </c>
      <c r="F6" s="47" t="s">
        <v>28</v>
      </c>
      <c r="G6" s="47" t="s">
        <v>37</v>
      </c>
      <c r="H6" s="47" t="s">
        <v>29</v>
      </c>
      <c r="I6" s="9"/>
    </row>
    <row r="7" s="3" customFormat="1" customHeight="1" spans="2:9">
      <c r="B7" s="4"/>
      <c r="C7" s="48" t="s">
        <v>38</v>
      </c>
      <c r="D7" s="48" t="s">
        <v>51</v>
      </c>
      <c r="E7" s="48" t="s">
        <v>40</v>
      </c>
      <c r="F7" s="48">
        <v>10</v>
      </c>
      <c r="G7" s="48">
        <v>20</v>
      </c>
      <c r="H7" s="48">
        <v>200</v>
      </c>
      <c r="I7" s="4"/>
    </row>
    <row r="8" s="3" customFormat="1" customHeight="1" spans="2:9">
      <c r="B8" s="4"/>
      <c r="C8" s="48"/>
      <c r="D8" s="48"/>
      <c r="E8" s="48"/>
      <c r="F8" s="48"/>
      <c r="G8" s="48"/>
      <c r="H8" s="48"/>
      <c r="I8" s="4"/>
    </row>
    <row r="9" s="3" customFormat="1" customHeight="1" spans="2:9">
      <c r="B9" s="4"/>
      <c r="C9" s="48"/>
      <c r="D9" s="48"/>
      <c r="E9" s="48"/>
      <c r="F9" s="48"/>
      <c r="G9" s="48"/>
      <c r="H9" s="48"/>
      <c r="I9" s="4"/>
    </row>
    <row r="10" s="3" customFormat="1" customHeight="1" spans="2:9">
      <c r="B10" s="4"/>
      <c r="C10" s="48"/>
      <c r="D10" s="48"/>
      <c r="E10" s="48"/>
      <c r="F10" s="48"/>
      <c r="G10" s="48"/>
      <c r="H10" s="48"/>
      <c r="I10" s="4"/>
    </row>
    <row r="11" s="3" customFormat="1" customHeight="1" spans="2:9">
      <c r="B11" s="4"/>
      <c r="C11" s="48"/>
      <c r="D11" s="48"/>
      <c r="E11" s="48"/>
      <c r="F11" s="48"/>
      <c r="G11" s="48"/>
      <c r="H11" s="48"/>
      <c r="I11" s="4"/>
    </row>
    <row r="12" s="3" customFormat="1" customHeight="1" spans="2:9">
      <c r="B12" s="4"/>
      <c r="C12" s="48"/>
      <c r="D12" s="48"/>
      <c r="E12" s="48"/>
      <c r="F12" s="48"/>
      <c r="G12" s="48"/>
      <c r="H12" s="48"/>
      <c r="I12" s="4"/>
    </row>
    <row r="13" s="3" customFormat="1" customHeight="1" spans="2:9">
      <c r="B13" s="4"/>
      <c r="C13" s="48"/>
      <c r="D13" s="48"/>
      <c r="E13" s="48"/>
      <c r="F13" s="48"/>
      <c r="G13" s="48"/>
      <c r="H13" s="48"/>
      <c r="I13" s="4"/>
    </row>
    <row r="14" s="3" customFormat="1" customHeight="1" spans="2:9">
      <c r="B14" s="4"/>
      <c r="C14" s="48"/>
      <c r="D14" s="48"/>
      <c r="E14" s="48"/>
      <c r="F14" s="48"/>
      <c r="G14" s="48"/>
      <c r="H14" s="48"/>
      <c r="I14" s="4"/>
    </row>
    <row r="15" s="3" customFormat="1" customHeight="1" spans="2:9">
      <c r="B15" s="4"/>
      <c r="C15" s="48"/>
      <c r="D15" s="48"/>
      <c r="E15" s="48"/>
      <c r="F15" s="48"/>
      <c r="G15" s="48"/>
      <c r="H15" s="48"/>
      <c r="I15" s="4"/>
    </row>
    <row r="16" s="3" customFormat="1" customHeight="1" spans="2:9">
      <c r="B16" s="4"/>
      <c r="C16" s="48"/>
      <c r="D16" s="48"/>
      <c r="E16" s="48"/>
      <c r="F16" s="48"/>
      <c r="G16" s="48"/>
      <c r="H16" s="48"/>
      <c r="I16" s="4"/>
    </row>
    <row r="17" s="3" customFormat="1" customHeight="1" spans="2:9">
      <c r="B17" s="4"/>
      <c r="C17" s="48"/>
      <c r="D17" s="48"/>
      <c r="E17" s="48"/>
      <c r="F17" s="48"/>
      <c r="G17" s="48"/>
      <c r="H17" s="48"/>
      <c r="I17" s="4"/>
    </row>
    <row r="18" s="3" customFormat="1" customHeight="1" spans="2:9">
      <c r="B18" s="4"/>
      <c r="C18" s="48"/>
      <c r="D18" s="48"/>
      <c r="E18" s="48"/>
      <c r="F18" s="48"/>
      <c r="G18" s="48"/>
      <c r="H18" s="48"/>
      <c r="I18" s="4"/>
    </row>
    <row r="19" s="3" customFormat="1" ht="30" customHeight="1" spans="2:9">
      <c r="B19" s="4"/>
      <c r="C19" s="49" t="s">
        <v>44</v>
      </c>
      <c r="D19" s="50">
        <f>G19</f>
        <v>200</v>
      </c>
      <c r="E19" s="50"/>
      <c r="F19" s="49" t="s">
        <v>45</v>
      </c>
      <c r="G19" s="49">
        <f>SUM(H7:H18)</f>
        <v>200</v>
      </c>
      <c r="H19" s="49"/>
      <c r="I19" s="4"/>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colBreaks count="1" manualBreakCount="1">
    <brk id="8" max="18" man="1"/>
  </col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showGridLines="0" workbookViewId="0">
      <pane ySplit="4" topLeftCell="A5" activePane="bottomLeft" state="frozen"/>
      <selection/>
      <selection pane="bottomLeft" activeCell="N7" sqref="N7"/>
    </sheetView>
  </sheetViews>
  <sheetFormatPr defaultColWidth="9" defaultRowHeight="20.1" customHeight="1" outlineLevelRow="3"/>
  <cols>
    <col min="1" max="1" width="4.625" style="3" customWidth="1"/>
    <col min="2" max="2" width="3.375" style="4" customWidth="1"/>
    <col min="3" max="3" width="4.625" style="4" hidden="1" customWidth="1"/>
    <col min="4" max="10" width="16.875" style="6" customWidth="1"/>
    <col min="11" max="11" width="3.375" style="4" customWidth="1"/>
    <col min="12" max="12" width="4.25" style="3" hidden="1" customWidth="1"/>
    <col min="13" max="13" width="9" style="3"/>
    <col min="14" max="16381" width="9" style="7"/>
  </cols>
  <sheetData>
    <row r="1" s="1" customFormat="1" ht="60" customHeight="1" spans="1:1">
      <c r="A1" s="8"/>
    </row>
    <row r="2" s="2" customFormat="1" ht="39.95" customHeight="1" spans="10:10">
      <c r="J2" s="38" t="s">
        <v>52</v>
      </c>
    </row>
    <row r="3" s="2" customFormat="1" customHeight="1" spans="2:11">
      <c r="B3" s="9"/>
      <c r="C3" s="9"/>
      <c r="D3" s="9"/>
      <c r="E3" s="9"/>
      <c r="F3" s="9"/>
      <c r="G3" s="9"/>
      <c r="H3" s="9"/>
      <c r="I3" s="9"/>
      <c r="J3" s="9"/>
      <c r="K3" s="9"/>
    </row>
    <row r="4" s="2" customFormat="1" ht="30" customHeight="1" spans="2:11">
      <c r="B4" s="9"/>
      <c r="C4" s="9" t="s">
        <v>53</v>
      </c>
      <c r="D4" s="33" t="s">
        <v>23</v>
      </c>
      <c r="E4" s="33" t="s">
        <v>24</v>
      </c>
      <c r="F4" s="33" t="s">
        <v>25</v>
      </c>
      <c r="G4" s="33" t="s">
        <v>26</v>
      </c>
      <c r="H4" s="33" t="s">
        <v>54</v>
      </c>
      <c r="I4" s="33" t="s">
        <v>55</v>
      </c>
      <c r="J4" s="33" t="s">
        <v>29</v>
      </c>
      <c r="K4" s="9"/>
    </row>
  </sheetData>
  <sheetProtection formatCells="0" formatColumns="0" formatRows="0" insertRows="0" insertColumns="0" insertHyperlinks="0" deleteColumns="0" deleteRows="0" sort="0" autoFilter="0" pivotTables="0"/>
  <dataValidations count="1">
    <dataValidation type="list" allowBlank="1" showInputMessage="1" sqref="F5:F1048576">
      <formula1>基础资料!$F$5:$F$65536</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O13"/>
  <sheetViews>
    <sheetView showGridLines="0" zoomScale="70" zoomScaleNormal="70" workbookViewId="0">
      <pane ySplit="4" topLeftCell="A5" activePane="bottomLeft" state="frozen"/>
      <selection/>
      <selection pane="bottomLeft" activeCell="K16" sqref="K16"/>
    </sheetView>
  </sheetViews>
  <sheetFormatPr defaultColWidth="9" defaultRowHeight="20.1" customHeight="1"/>
  <cols>
    <col min="1" max="1" width="4.625" style="3" customWidth="1"/>
    <col min="2" max="2" width="3.375" style="4" customWidth="1"/>
    <col min="3" max="3" width="4.625" style="4" customWidth="1"/>
    <col min="4" max="11" width="16.875" style="6" customWidth="1"/>
    <col min="12" max="12" width="16.875" style="32" customWidth="1"/>
    <col min="13" max="14" width="16.875" style="6" customWidth="1"/>
    <col min="15" max="15" width="3.375" style="4" customWidth="1"/>
    <col min="16" max="16" width="9" style="3" hidden="1" customWidth="1"/>
    <col min="17" max="17" width="9" style="3"/>
    <col min="18" max="16384" width="9" style="7"/>
  </cols>
  <sheetData>
    <row r="1" s="1" customFormat="1" ht="60" customHeight="1" spans="1:12">
      <c r="A1" s="8"/>
      <c r="L1" s="34"/>
    </row>
    <row r="2" s="2" customFormat="1" ht="39.95" customHeight="1" spans="12:12">
      <c r="L2" s="35"/>
    </row>
    <row r="3" s="2" customFormat="1" customHeight="1" spans="2:15">
      <c r="B3" s="9"/>
      <c r="C3" s="9"/>
      <c r="D3" s="9"/>
      <c r="E3" s="9"/>
      <c r="F3" s="9"/>
      <c r="G3" s="9"/>
      <c r="H3" s="9"/>
      <c r="I3" s="9"/>
      <c r="J3" s="9"/>
      <c r="K3" s="9"/>
      <c r="L3" s="36"/>
      <c r="M3" s="9"/>
      <c r="N3" s="9"/>
      <c r="O3" s="9"/>
    </row>
    <row r="4" s="2" customFormat="1" ht="30" customHeight="1" spans="2:15">
      <c r="B4" s="9"/>
      <c r="C4" s="9" t="s">
        <v>53</v>
      </c>
      <c r="D4" s="33" t="s">
        <v>23</v>
      </c>
      <c r="E4" s="33" t="s">
        <v>56</v>
      </c>
      <c r="F4" s="33" t="s">
        <v>25</v>
      </c>
      <c r="G4" s="33" t="s">
        <v>24</v>
      </c>
      <c r="H4" s="33" t="s">
        <v>26</v>
      </c>
      <c r="I4" s="33" t="s">
        <v>57</v>
      </c>
      <c r="J4" s="33" t="s">
        <v>28</v>
      </c>
      <c r="K4" s="33" t="s">
        <v>58</v>
      </c>
      <c r="L4" s="37" t="s">
        <v>59</v>
      </c>
      <c r="M4" s="33" t="s">
        <v>60</v>
      </c>
      <c r="N4" s="33" t="s">
        <v>61</v>
      </c>
      <c r="O4" s="9"/>
    </row>
    <row r="5" s="3" customFormat="1" customHeight="1" spans="2:15">
      <c r="B5" s="4"/>
      <c r="C5" s="4"/>
      <c r="D5" s="6"/>
      <c r="E5" s="6"/>
      <c r="F5" s="6"/>
      <c r="G5" s="6"/>
      <c r="H5" s="6"/>
      <c r="I5" s="6"/>
      <c r="J5" s="6"/>
      <c r="K5" s="6"/>
      <c r="L5" s="32"/>
      <c r="M5" s="6"/>
      <c r="N5" s="6"/>
      <c r="O5" s="4"/>
    </row>
    <row r="6" s="3" customFormat="1" customHeight="1" spans="2:15">
      <c r="B6" s="4"/>
      <c r="C6" s="4"/>
      <c r="D6" s="6"/>
      <c r="E6" s="6"/>
      <c r="F6" s="6"/>
      <c r="G6" s="6"/>
      <c r="H6" s="6"/>
      <c r="I6" s="6"/>
      <c r="J6" s="6"/>
      <c r="K6" s="6"/>
      <c r="L6" s="32"/>
      <c r="M6" s="6"/>
      <c r="N6" s="6"/>
      <c r="O6" s="4"/>
    </row>
    <row r="7" s="3" customFormat="1" customHeight="1" spans="2:15">
      <c r="B7" s="4"/>
      <c r="C7" s="4"/>
      <c r="D7" s="6"/>
      <c r="E7" s="6"/>
      <c r="F7" s="6"/>
      <c r="G7" s="6"/>
      <c r="H7" s="6"/>
      <c r="I7" s="6"/>
      <c r="J7" s="6"/>
      <c r="K7" s="6"/>
      <c r="L7" s="32"/>
      <c r="M7" s="6"/>
      <c r="N7" s="6"/>
      <c r="O7" s="4"/>
    </row>
    <row r="8" s="3" customFormat="1" customHeight="1" spans="2:15">
      <c r="B8" s="4"/>
      <c r="C8" s="4"/>
      <c r="D8" s="6"/>
      <c r="E8" s="6"/>
      <c r="F8" s="6"/>
      <c r="G8" s="6"/>
      <c r="H8" s="6"/>
      <c r="I8" s="6"/>
      <c r="J8" s="6"/>
      <c r="K8" s="6"/>
      <c r="L8" s="32"/>
      <c r="M8" s="6"/>
      <c r="N8" s="6"/>
      <c r="O8" s="4"/>
    </row>
    <row r="9" s="3" customFormat="1" customHeight="1" spans="2:15">
      <c r="B9" s="4"/>
      <c r="C9" s="4"/>
      <c r="D9" s="6"/>
      <c r="E9" s="6"/>
      <c r="F9" s="6"/>
      <c r="G9" s="6"/>
      <c r="H9" s="6"/>
      <c r="I9" s="6"/>
      <c r="J9" s="6"/>
      <c r="K9" s="6"/>
      <c r="L9" s="32"/>
      <c r="M9" s="6"/>
      <c r="N9" s="6"/>
      <c r="O9" s="4"/>
    </row>
    <row r="10" s="3" customFormat="1" customHeight="1" spans="2:15">
      <c r="B10" s="4"/>
      <c r="C10" s="4"/>
      <c r="D10" s="6"/>
      <c r="E10" s="6"/>
      <c r="F10" s="6"/>
      <c r="G10" s="6"/>
      <c r="H10" s="6"/>
      <c r="I10" s="6"/>
      <c r="J10" s="6"/>
      <c r="K10" s="6"/>
      <c r="L10" s="32"/>
      <c r="M10" s="6"/>
      <c r="N10" s="6"/>
      <c r="O10" s="4"/>
    </row>
    <row r="11" s="3" customFormat="1" customHeight="1" spans="2:15">
      <c r="B11" s="4"/>
      <c r="C11" s="4"/>
      <c r="D11" s="6"/>
      <c r="E11" s="6"/>
      <c r="F11" s="6"/>
      <c r="G11" s="6"/>
      <c r="H11" s="6"/>
      <c r="I11" s="6"/>
      <c r="J11" s="6"/>
      <c r="K11" s="6"/>
      <c r="L11" s="32"/>
      <c r="M11" s="6"/>
      <c r="N11" s="6"/>
      <c r="O11" s="4"/>
    </row>
    <row r="12" s="3" customFormat="1" customHeight="1" spans="2:15">
      <c r="B12" s="4"/>
      <c r="C12" s="4"/>
      <c r="D12" s="6"/>
      <c r="E12" s="6"/>
      <c r="F12" s="6"/>
      <c r="G12" s="6"/>
      <c r="H12" s="6"/>
      <c r="I12" s="6"/>
      <c r="J12" s="6"/>
      <c r="K12" s="6"/>
      <c r="L12" s="32"/>
      <c r="M12" s="6"/>
      <c r="N12" s="6"/>
      <c r="O12" s="4"/>
    </row>
    <row r="13" s="3" customFormat="1" customHeight="1" spans="2:15">
      <c r="B13" s="4"/>
      <c r="C13" s="4"/>
      <c r="D13" s="6"/>
      <c r="E13" s="6"/>
      <c r="F13" s="6"/>
      <c r="G13" s="6"/>
      <c r="H13" s="6"/>
      <c r="I13" s="6"/>
      <c r="J13" s="6"/>
      <c r="K13" s="6"/>
      <c r="L13" s="32"/>
      <c r="M13" s="6"/>
      <c r="N13" s="6"/>
      <c r="O13" s="4"/>
    </row>
  </sheetData>
  <sheetProtection formatCells="0" formatColumns="0" formatRows="0" insertRows="0" insertColumns="0" insertHyperlinks="0" deleteColumns="0" deleteRows="0" sort="0" autoFilter="0" pivotTables="0"/>
  <autoFilter ref="D4:K70">
    <extLst/>
  </autoFilter>
  <dataValidations count="1">
    <dataValidation type="list" allowBlank="1" showInputMessage="1" showErrorMessage="1" sqref="K19 K5:K18 K20:K1048576">
      <formula1>"入库,出库"</formula1>
    </dataValidation>
  </dataValidations>
  <pageMargins left="0.75" right="0.75" top="1" bottom="1" header="0.5" footer="0.5"/>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Q14"/>
  <sheetViews>
    <sheetView showGridLines="0" zoomScale="85" zoomScaleNormal="85" workbookViewId="0">
      <pane ySplit="5" topLeftCell="A6" activePane="bottomLeft" state="frozen"/>
      <selection/>
      <selection pane="bottomLeft" activeCell="G8" sqref="G8"/>
    </sheetView>
  </sheetViews>
  <sheetFormatPr defaultColWidth="9" defaultRowHeight="20.1" customHeight="1"/>
  <cols>
    <col min="1" max="1" width="4.625" style="21" customWidth="1"/>
    <col min="2" max="2" width="3.375" style="22" customWidth="1"/>
    <col min="3" max="3" width="4.625" style="22" hidden="1" customWidth="1"/>
    <col min="4" max="4" width="16.875" style="23" customWidth="1"/>
    <col min="5" max="7" width="16.875" style="13" customWidth="1"/>
    <col min="8" max="16" width="16.875" style="23" customWidth="1"/>
    <col min="17" max="17" width="3.375" style="22" customWidth="1"/>
    <col min="18" max="18" width="9" style="21" hidden="1" customWidth="1"/>
    <col min="19" max="19" width="9" style="21"/>
    <col min="20" max="16384" width="9" style="24"/>
  </cols>
  <sheetData>
    <row r="1" s="19" customFormat="1" ht="60" customHeight="1" spans="1:7">
      <c r="A1" s="25"/>
      <c r="E1" s="26"/>
      <c r="F1" s="26"/>
      <c r="G1" s="26"/>
    </row>
    <row r="2" s="20" customFormat="1" ht="39.95" customHeight="1" spans="5:7">
      <c r="E2" s="27"/>
      <c r="F2" s="27"/>
      <c r="G2" s="27"/>
    </row>
    <row r="3" s="20" customFormat="1" customHeight="1" spans="2:17">
      <c r="B3" s="28"/>
      <c r="C3" s="28"/>
      <c r="D3" s="28"/>
      <c r="E3" s="29"/>
      <c r="F3" s="29"/>
      <c r="G3" s="29"/>
      <c r="H3" s="28"/>
      <c r="I3" s="28"/>
      <c r="J3" s="28"/>
      <c r="K3" s="28"/>
      <c r="L3" s="28"/>
      <c r="M3" s="28"/>
      <c r="N3" s="28"/>
      <c r="O3" s="28"/>
      <c r="P3" s="28"/>
      <c r="Q3" s="28"/>
    </row>
    <row r="4" s="20" customFormat="1" ht="24.95" customHeight="1" spans="2:17">
      <c r="B4" s="28"/>
      <c r="C4" s="28" t="s">
        <v>53</v>
      </c>
      <c r="D4" s="11" t="s">
        <v>23</v>
      </c>
      <c r="E4" s="30" t="s">
        <v>25</v>
      </c>
      <c r="F4" s="30" t="s">
        <v>24</v>
      </c>
      <c r="G4" s="30" t="s">
        <v>26</v>
      </c>
      <c r="H4" s="11" t="s">
        <v>62</v>
      </c>
      <c r="I4" s="11"/>
      <c r="J4" s="11" t="s">
        <v>63</v>
      </c>
      <c r="K4" s="11"/>
      <c r="L4" s="11" t="s">
        <v>64</v>
      </c>
      <c r="M4" s="11"/>
      <c r="N4" s="11" t="s">
        <v>65</v>
      </c>
      <c r="O4" s="11"/>
      <c r="P4" s="11" t="s">
        <v>66</v>
      </c>
      <c r="Q4" s="28"/>
    </row>
    <row r="5" s="20" customFormat="1" ht="24.95" customHeight="1" spans="2:17">
      <c r="B5" s="28"/>
      <c r="C5" s="28"/>
      <c r="D5" s="17"/>
      <c r="E5" s="31"/>
      <c r="F5" s="31"/>
      <c r="G5" s="31"/>
      <c r="H5" s="17" t="s">
        <v>28</v>
      </c>
      <c r="I5" s="17" t="s">
        <v>29</v>
      </c>
      <c r="J5" s="17" t="s">
        <v>28</v>
      </c>
      <c r="K5" s="17" t="s">
        <v>29</v>
      </c>
      <c r="L5" s="17" t="s">
        <v>28</v>
      </c>
      <c r="M5" s="17" t="s">
        <v>29</v>
      </c>
      <c r="N5" s="17" t="s">
        <v>28</v>
      </c>
      <c r="O5" s="17" t="s">
        <v>29</v>
      </c>
      <c r="P5" s="17"/>
      <c r="Q5" s="28"/>
    </row>
    <row r="6" s="21" customFormat="1" customHeight="1" spans="2:17">
      <c r="B6" s="22"/>
      <c r="C6" s="22"/>
      <c r="D6" s="23"/>
      <c r="E6" s="13"/>
      <c r="F6" s="13"/>
      <c r="G6" s="13"/>
      <c r="H6" s="23"/>
      <c r="I6" s="23"/>
      <c r="J6" s="23"/>
      <c r="K6" s="23"/>
      <c r="L6" s="23"/>
      <c r="M6" s="23"/>
      <c r="N6" s="23"/>
      <c r="O6" s="23"/>
      <c r="P6" s="23"/>
      <c r="Q6" s="22"/>
    </row>
    <row r="7" s="21" customFormat="1" customHeight="1" spans="2:17">
      <c r="B7" s="22"/>
      <c r="C7" s="22"/>
      <c r="D7" s="23"/>
      <c r="E7" s="13"/>
      <c r="F7" s="13"/>
      <c r="G7" s="13"/>
      <c r="H7" s="23"/>
      <c r="I7" s="23"/>
      <c r="J7" s="23"/>
      <c r="K7" s="23"/>
      <c r="L7" s="23"/>
      <c r="M7" s="23"/>
      <c r="N7" s="23"/>
      <c r="O7" s="23"/>
      <c r="P7" s="23"/>
      <c r="Q7" s="22"/>
    </row>
    <row r="8" s="21" customFormat="1" customHeight="1" spans="2:17">
      <c r="B8" s="22"/>
      <c r="C8" s="22"/>
      <c r="D8" s="23"/>
      <c r="E8" s="13"/>
      <c r="F8" s="13"/>
      <c r="G8" s="13"/>
      <c r="H8" s="23"/>
      <c r="I8" s="23"/>
      <c r="J8" s="23"/>
      <c r="K8" s="23"/>
      <c r="L8" s="23"/>
      <c r="M8" s="23"/>
      <c r="N8" s="23"/>
      <c r="O8" s="23"/>
      <c r="P8" s="23"/>
      <c r="Q8" s="22"/>
    </row>
    <row r="9" s="21" customFormat="1" customHeight="1" spans="2:17">
      <c r="B9" s="22"/>
      <c r="C9" s="22"/>
      <c r="D9" s="23"/>
      <c r="E9" s="13"/>
      <c r="F9" s="13"/>
      <c r="G9" s="13"/>
      <c r="H9" s="23"/>
      <c r="I9" s="23"/>
      <c r="J9" s="23"/>
      <c r="K9" s="23"/>
      <c r="L9" s="23"/>
      <c r="M9" s="23"/>
      <c r="N9" s="23"/>
      <c r="O9" s="23"/>
      <c r="P9" s="23"/>
      <c r="Q9" s="22"/>
    </row>
    <row r="10" s="21" customFormat="1" customHeight="1" spans="2:17">
      <c r="B10" s="22"/>
      <c r="C10" s="22"/>
      <c r="D10" s="23"/>
      <c r="E10" s="13"/>
      <c r="F10" s="13"/>
      <c r="G10" s="13"/>
      <c r="H10" s="23"/>
      <c r="I10" s="23"/>
      <c r="J10" s="23"/>
      <c r="K10" s="23"/>
      <c r="L10" s="23"/>
      <c r="M10" s="23"/>
      <c r="N10" s="23"/>
      <c r="O10" s="23"/>
      <c r="P10" s="23"/>
      <c r="Q10" s="22"/>
    </row>
    <row r="11" s="21" customFormat="1" customHeight="1" spans="2:17">
      <c r="B11" s="22"/>
      <c r="C11" s="22"/>
      <c r="D11" s="23"/>
      <c r="E11" s="13"/>
      <c r="F11" s="13"/>
      <c r="G11" s="13"/>
      <c r="H11" s="23"/>
      <c r="I11" s="23"/>
      <c r="J11" s="23"/>
      <c r="K11" s="23"/>
      <c r="L11" s="23"/>
      <c r="M11" s="23"/>
      <c r="N11" s="23"/>
      <c r="O11" s="23"/>
      <c r="P11" s="23"/>
      <c r="Q11" s="22"/>
    </row>
    <row r="12" s="21" customFormat="1" customHeight="1" spans="2:17">
      <c r="B12" s="22"/>
      <c r="C12" s="22"/>
      <c r="D12" s="23"/>
      <c r="E12" s="13"/>
      <c r="F12" s="13"/>
      <c r="G12" s="13"/>
      <c r="H12" s="23"/>
      <c r="I12" s="23"/>
      <c r="J12" s="23"/>
      <c r="K12" s="23"/>
      <c r="L12" s="23"/>
      <c r="M12" s="23"/>
      <c r="N12" s="23"/>
      <c r="O12" s="23"/>
      <c r="P12" s="23"/>
      <c r="Q12" s="22"/>
    </row>
    <row r="13" s="21" customFormat="1" customHeight="1" spans="2:17">
      <c r="B13" s="22"/>
      <c r="C13" s="22"/>
      <c r="D13" s="23"/>
      <c r="E13" s="13"/>
      <c r="F13" s="13"/>
      <c r="G13" s="13"/>
      <c r="H13" s="23"/>
      <c r="I13" s="23"/>
      <c r="J13" s="23"/>
      <c r="K13" s="23"/>
      <c r="L13" s="23"/>
      <c r="M13" s="23"/>
      <c r="N13" s="23"/>
      <c r="O13" s="23"/>
      <c r="P13" s="23"/>
      <c r="Q13" s="22"/>
    </row>
    <row r="14" s="21" customFormat="1" customHeight="1" spans="2:17">
      <c r="B14" s="22"/>
      <c r="C14" s="22"/>
      <c r="D14" s="23"/>
      <c r="E14" s="13"/>
      <c r="F14" s="13"/>
      <c r="G14" s="13"/>
      <c r="H14" s="23"/>
      <c r="I14" s="23"/>
      <c r="J14" s="23"/>
      <c r="K14" s="23"/>
      <c r="L14" s="23"/>
      <c r="M14" s="23"/>
      <c r="N14" s="23"/>
      <c r="O14" s="23"/>
      <c r="P14" s="23"/>
      <c r="Q14" s="22"/>
    </row>
  </sheetData>
  <sheetProtection formatCells="0" formatColumns="0" formatRows="0" insertRows="0" insertColumns="0" insertHyperlinks="0" deleteColumns="0" deleteRows="0" sort="0" autoFilter="0" pivotTables="0"/>
  <mergeCells count="9">
    <mergeCell ref="H4:I4"/>
    <mergeCell ref="J4:K4"/>
    <mergeCell ref="L4:M4"/>
    <mergeCell ref="N4:O4"/>
    <mergeCell ref="D4:D5"/>
    <mergeCell ref="E4:E5"/>
    <mergeCell ref="F4:F5"/>
    <mergeCell ref="G4:G5"/>
    <mergeCell ref="P4:P5"/>
  </mergeCells>
  <conditionalFormatting sqref="P6:P1048576">
    <cfRule type="expression" dxfId="0" priority="1">
      <formula>$N6&lt;$P6</formula>
    </cfRule>
  </conditionalFormatting>
  <pageMargins left="0.75" right="0.75" top="1" bottom="1" header="0.5" footer="0.5"/>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J5"/>
  <sheetViews>
    <sheetView showGridLines="0" workbookViewId="0">
      <pane ySplit="5" topLeftCell="A6" activePane="bottomLeft" state="frozen"/>
      <selection/>
      <selection pane="bottomLeft" activeCell="F8" sqref="F8"/>
    </sheetView>
  </sheetViews>
  <sheetFormatPr defaultColWidth="9" defaultRowHeight="20.1" customHeight="1" outlineLevelRow="4"/>
  <cols>
    <col min="1" max="1" width="4.625" style="3" customWidth="1"/>
    <col min="2" max="2" width="3.375" style="4" customWidth="1"/>
    <col min="3" max="3" width="4.625" style="4" hidden="1" customWidth="1"/>
    <col min="4" max="9" width="16.875" style="6" customWidth="1"/>
    <col min="10" max="10" width="3.375" style="4" customWidth="1"/>
    <col min="11" max="11" width="9" style="3" customWidth="1"/>
    <col min="12" max="16384" width="9" style="3"/>
  </cols>
  <sheetData>
    <row r="1" s="1" customFormat="1" ht="60" customHeight="1" spans="1:1">
      <c r="A1" s="8"/>
    </row>
    <row r="2" s="2" customFormat="1" ht="39.95" customHeight="1"/>
    <row r="3" s="2" customFormat="1" customHeight="1" spans="2:10">
      <c r="B3" s="9"/>
      <c r="C3" s="9"/>
      <c r="D3" s="9"/>
      <c r="E3" s="9"/>
      <c r="F3" s="9"/>
      <c r="G3" s="9"/>
      <c r="H3" s="9"/>
      <c r="I3" s="9"/>
      <c r="J3" s="9"/>
    </row>
    <row r="4" s="2" customFormat="1" ht="24.95" customHeight="1" spans="2:10">
      <c r="B4" s="9"/>
      <c r="C4" s="9" t="s">
        <v>53</v>
      </c>
      <c r="D4" s="11" t="s">
        <v>67</v>
      </c>
      <c r="E4" s="11" t="s">
        <v>25</v>
      </c>
      <c r="F4" s="11" t="s">
        <v>26</v>
      </c>
      <c r="G4" s="11" t="s">
        <v>24</v>
      </c>
      <c r="H4" s="17" t="s">
        <v>68</v>
      </c>
      <c r="I4" s="17" t="s">
        <v>69</v>
      </c>
      <c r="J4" s="9"/>
    </row>
    <row r="5" s="2" customFormat="1" ht="24.95" customHeight="1" spans="2:10">
      <c r="B5" s="9"/>
      <c r="C5" s="9"/>
      <c r="D5" s="11"/>
      <c r="E5" s="11"/>
      <c r="F5" s="11"/>
      <c r="G5" s="11"/>
      <c r="H5" s="18"/>
      <c r="I5" s="18"/>
      <c r="J5" s="9"/>
    </row>
  </sheetData>
  <sheetProtection formatCells="0" formatColumns="0" formatRows="0" insertRows="0" insertColumns="0" insertHyperlinks="0" deleteColumns="0" deleteRows="0" sort="0" autoFilter="0" pivotTables="0"/>
  <mergeCells count="6">
    <mergeCell ref="D4:D5"/>
    <mergeCell ref="E4:E5"/>
    <mergeCell ref="F4:F5"/>
    <mergeCell ref="G4:G5"/>
    <mergeCell ref="H4:H5"/>
    <mergeCell ref="I4:I5"/>
  </mergeCells>
  <pageMargins left="0.75" right="0.75" top="1" bottom="1" header="0.5" footer="0.5"/>
  <pageSetup paperSize="256" orientation="portrait"/>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K20"/>
  <sheetViews>
    <sheetView showGridLines="0" workbookViewId="0">
      <selection activeCell="G10" sqref="G10"/>
    </sheetView>
  </sheetViews>
  <sheetFormatPr defaultColWidth="9" defaultRowHeight="20.1" customHeight="1"/>
  <cols>
    <col min="1" max="1" width="4.625" style="3" customWidth="1"/>
    <col min="2" max="2" width="3.375" style="4" customWidth="1"/>
    <col min="3" max="3" width="4.625" style="4" hidden="1" customWidth="1"/>
    <col min="4" max="4" width="18.875" style="14" customWidth="1"/>
    <col min="5" max="10" width="16.875" style="6" customWidth="1"/>
    <col min="11" max="11" width="3.375" style="4" customWidth="1"/>
    <col min="12" max="12" width="9" style="3" customWidth="1"/>
    <col min="13" max="16384" width="9" style="3"/>
  </cols>
  <sheetData>
    <row r="1" s="1" customFormat="1" ht="60" customHeight="1" spans="1:1">
      <c r="A1" s="8"/>
    </row>
    <row r="2" s="2" customFormat="1" ht="39.95" customHeight="1"/>
    <row r="3" s="2" customFormat="1" customHeight="1" spans="2:11">
      <c r="B3" s="9"/>
      <c r="C3" s="9"/>
      <c r="D3" s="9"/>
      <c r="E3" s="9"/>
      <c r="F3" s="9"/>
      <c r="G3" s="9"/>
      <c r="H3" s="9"/>
      <c r="I3" s="9"/>
      <c r="J3" s="9"/>
      <c r="K3" s="9"/>
    </row>
    <row r="4" s="2" customFormat="1" ht="24.95" customHeight="1" spans="2:11">
      <c r="B4" s="9"/>
      <c r="C4" s="9" t="s">
        <v>53</v>
      </c>
      <c r="D4" s="11" t="s">
        <v>25</v>
      </c>
      <c r="E4" s="11" t="s">
        <v>24</v>
      </c>
      <c r="F4" s="11" t="s">
        <v>70</v>
      </c>
      <c r="G4" s="15" t="s">
        <v>63</v>
      </c>
      <c r="H4" s="16"/>
      <c r="I4" s="15" t="s">
        <v>64</v>
      </c>
      <c r="J4" s="16"/>
      <c r="K4" s="9"/>
    </row>
    <row r="5" s="2" customFormat="1" ht="24.95" customHeight="1" spans="2:11">
      <c r="B5" s="9"/>
      <c r="C5" s="9"/>
      <c r="D5" s="11"/>
      <c r="E5" s="11"/>
      <c r="F5" s="11"/>
      <c r="G5" s="11" t="s">
        <v>28</v>
      </c>
      <c r="H5" s="11" t="s">
        <v>29</v>
      </c>
      <c r="I5" s="11" t="s">
        <v>28</v>
      </c>
      <c r="J5" s="11" t="s">
        <v>29</v>
      </c>
      <c r="K5" s="9"/>
    </row>
    <row r="6" s="3" customFormat="1" customHeight="1" spans="2:11">
      <c r="B6" s="4"/>
      <c r="C6" s="4"/>
      <c r="D6" s="14"/>
      <c r="E6" s="6"/>
      <c r="F6" s="6"/>
      <c r="G6" s="6"/>
      <c r="H6" s="6"/>
      <c r="I6" s="6"/>
      <c r="J6" s="6"/>
      <c r="K6" s="4"/>
    </row>
    <row r="7" s="3" customFormat="1" customHeight="1" spans="2:11">
      <c r="B7" s="4"/>
      <c r="C7" s="4"/>
      <c r="D7" s="14"/>
      <c r="E7" s="6"/>
      <c r="F7" s="6"/>
      <c r="G7" s="6"/>
      <c r="H7" s="6"/>
      <c r="I7" s="6"/>
      <c r="J7" s="6"/>
      <c r="K7" s="4"/>
    </row>
    <row r="8" s="3" customFormat="1" customHeight="1" spans="2:11">
      <c r="B8" s="4"/>
      <c r="C8" s="4"/>
      <c r="D8" s="14"/>
      <c r="E8" s="6"/>
      <c r="F8" s="6"/>
      <c r="G8" s="6"/>
      <c r="H8" s="6"/>
      <c r="I8" s="6"/>
      <c r="J8" s="6"/>
      <c r="K8" s="4"/>
    </row>
    <row r="9" s="3" customFormat="1" customHeight="1" spans="2:11">
      <c r="B9" s="4"/>
      <c r="C9" s="4"/>
      <c r="D9" s="14"/>
      <c r="E9" s="6"/>
      <c r="F9" s="6"/>
      <c r="G9" s="6"/>
      <c r="H9" s="6"/>
      <c r="I9" s="6"/>
      <c r="J9" s="6"/>
      <c r="K9" s="4"/>
    </row>
    <row r="10" s="3" customFormat="1" customHeight="1" spans="2:11">
      <c r="B10" s="4"/>
      <c r="C10" s="4"/>
      <c r="D10" s="14"/>
      <c r="E10" s="6"/>
      <c r="F10" s="6"/>
      <c r="G10" s="6"/>
      <c r="H10" s="6"/>
      <c r="I10" s="6"/>
      <c r="J10" s="6"/>
      <c r="K10" s="4"/>
    </row>
    <row r="11" s="3" customFormat="1" customHeight="1" spans="2:11">
      <c r="B11" s="4"/>
      <c r="C11" s="4"/>
      <c r="D11" s="14"/>
      <c r="E11" s="6"/>
      <c r="F11" s="6"/>
      <c r="G11" s="6"/>
      <c r="H11" s="6"/>
      <c r="I11" s="6"/>
      <c r="J11" s="6"/>
      <c r="K11" s="4"/>
    </row>
    <row r="12" s="3" customFormat="1" customHeight="1" spans="2:11">
      <c r="B12" s="4"/>
      <c r="C12" s="4"/>
      <c r="D12" s="14"/>
      <c r="E12" s="6"/>
      <c r="F12" s="6"/>
      <c r="G12" s="6"/>
      <c r="H12" s="6"/>
      <c r="I12" s="6"/>
      <c r="J12" s="6"/>
      <c r="K12" s="4"/>
    </row>
    <row r="13" s="3" customFormat="1" customHeight="1" spans="2:11">
      <c r="B13" s="4"/>
      <c r="C13" s="4"/>
      <c r="D13" s="14"/>
      <c r="E13" s="6"/>
      <c r="F13" s="6"/>
      <c r="G13" s="6"/>
      <c r="H13" s="6"/>
      <c r="I13" s="6"/>
      <c r="J13" s="6"/>
      <c r="K13" s="4"/>
    </row>
    <row r="14" s="3" customFormat="1" customHeight="1" spans="2:11">
      <c r="B14" s="4"/>
      <c r="C14" s="4"/>
      <c r="D14" s="14"/>
      <c r="E14" s="6"/>
      <c r="F14" s="6"/>
      <c r="G14" s="6"/>
      <c r="H14" s="6"/>
      <c r="I14" s="6"/>
      <c r="J14" s="6"/>
      <c r="K14" s="4"/>
    </row>
    <row r="15" s="3" customFormat="1" customHeight="1" spans="2:11">
      <c r="B15" s="4"/>
      <c r="C15" s="4"/>
      <c r="D15" s="14"/>
      <c r="E15" s="6"/>
      <c r="F15" s="6"/>
      <c r="G15" s="6"/>
      <c r="H15" s="6"/>
      <c r="I15" s="6"/>
      <c r="J15" s="6"/>
      <c r="K15" s="4"/>
    </row>
    <row r="16" s="3" customFormat="1" customHeight="1" spans="2:11">
      <c r="B16" s="4"/>
      <c r="C16" s="4"/>
      <c r="D16" s="14"/>
      <c r="E16" s="6"/>
      <c r="F16" s="6"/>
      <c r="G16" s="6"/>
      <c r="H16" s="6"/>
      <c r="I16" s="6"/>
      <c r="J16" s="6"/>
      <c r="K16" s="4"/>
    </row>
    <row r="17" s="3" customFormat="1" customHeight="1" spans="2:11">
      <c r="B17" s="4"/>
      <c r="C17" s="4"/>
      <c r="D17" s="14"/>
      <c r="E17" s="6"/>
      <c r="F17" s="6"/>
      <c r="G17" s="6"/>
      <c r="H17" s="6"/>
      <c r="I17" s="6"/>
      <c r="J17" s="6"/>
      <c r="K17" s="4"/>
    </row>
    <row r="18" s="3" customFormat="1" customHeight="1" spans="2:11">
      <c r="B18" s="4"/>
      <c r="C18" s="4"/>
      <c r="D18" s="14"/>
      <c r="E18" s="6"/>
      <c r="F18" s="6"/>
      <c r="G18" s="6"/>
      <c r="H18" s="6"/>
      <c r="I18" s="6"/>
      <c r="J18" s="6"/>
      <c r="K18" s="4"/>
    </row>
    <row r="19" s="3" customFormat="1" customHeight="1" spans="2:11">
      <c r="B19" s="4"/>
      <c r="C19" s="4"/>
      <c r="D19" s="14"/>
      <c r="E19" s="6"/>
      <c r="F19" s="6"/>
      <c r="G19" s="6"/>
      <c r="H19" s="6"/>
      <c r="I19" s="6"/>
      <c r="J19" s="6"/>
      <c r="K19" s="4"/>
    </row>
    <row r="20" s="3" customFormat="1" customHeight="1" spans="2:11">
      <c r="B20" s="4"/>
      <c r="C20" s="4"/>
      <c r="D20" s="14"/>
      <c r="E20" s="6"/>
      <c r="F20" s="6"/>
      <c r="G20" s="6"/>
      <c r="H20" s="6"/>
      <c r="I20" s="6"/>
      <c r="J20" s="6"/>
      <c r="K20" s="4"/>
    </row>
  </sheetData>
  <mergeCells count="5">
    <mergeCell ref="G4:H4"/>
    <mergeCell ref="I4:J4"/>
    <mergeCell ref="D4:D5"/>
    <mergeCell ref="E4:E5"/>
    <mergeCell ref="F4:F5"/>
  </mergeCell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4"/>
  <sheetViews>
    <sheetView showGridLines="0" zoomScale="85" zoomScaleNormal="85" workbookViewId="0">
      <pane ySplit="4" topLeftCell="A5" activePane="bottomLeft" state="frozen"/>
      <selection/>
      <selection pane="bottomLeft" activeCell="L8" sqref="L8"/>
    </sheetView>
  </sheetViews>
  <sheetFormatPr defaultColWidth="9" defaultRowHeight="20.1" customHeight="1" outlineLevelRow="3"/>
  <cols>
    <col min="1" max="1" width="4.625" style="3" customWidth="1"/>
    <col min="2" max="2" width="3.375" style="4" customWidth="1"/>
    <col min="3" max="3" width="4.625" style="4" hidden="1" customWidth="1"/>
    <col min="4" max="12" width="16.875" style="6" customWidth="1"/>
    <col min="13" max="13" width="3.375" style="4" customWidth="1"/>
    <col min="14" max="14" width="9" style="3" hidden="1" customWidth="1"/>
    <col min="15" max="16384" width="9" style="3"/>
  </cols>
  <sheetData>
    <row r="1" s="1" customFormat="1" ht="60" customHeight="1" spans="1:1">
      <c r="A1" s="8"/>
    </row>
    <row r="2" s="2" customFormat="1" ht="39.95" customHeight="1"/>
    <row r="3" s="2" customFormat="1" customHeight="1" spans="2:13">
      <c r="B3" s="9"/>
      <c r="C3" s="9"/>
      <c r="D3" s="9"/>
      <c r="E3" s="9"/>
      <c r="F3" s="9"/>
      <c r="G3" s="9"/>
      <c r="H3" s="9"/>
      <c r="I3" s="9"/>
      <c r="J3" s="9"/>
      <c r="K3" s="9"/>
      <c r="L3" s="9"/>
      <c r="M3" s="9"/>
    </row>
    <row r="4" s="2" customFormat="1" ht="30" customHeight="1" spans="2:13">
      <c r="B4" s="9"/>
      <c r="C4" s="9" t="s">
        <v>53</v>
      </c>
      <c r="D4" s="11" t="s">
        <v>23</v>
      </c>
      <c r="E4" s="11" t="s">
        <v>24</v>
      </c>
      <c r="F4" s="11" t="s">
        <v>25</v>
      </c>
      <c r="G4" s="11" t="s">
        <v>26</v>
      </c>
      <c r="H4" s="11" t="s">
        <v>27</v>
      </c>
      <c r="I4" s="11" t="s">
        <v>71</v>
      </c>
      <c r="J4" s="11" t="s">
        <v>67</v>
      </c>
      <c r="K4" s="11" t="s">
        <v>72</v>
      </c>
      <c r="L4" s="11" t="s">
        <v>66</v>
      </c>
      <c r="M4" s="9"/>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3"/>
  <sheetViews>
    <sheetView showGridLines="0" topLeftCell="D1" workbookViewId="0">
      <pane ySplit="4" topLeftCell="A5" activePane="bottomLeft" state="frozen"/>
      <selection/>
      <selection pane="bottomLeft" activeCell="F21" sqref="F21"/>
    </sheetView>
  </sheetViews>
  <sheetFormatPr defaultColWidth="9" defaultRowHeight="20.1" customHeight="1" outlineLevelCol="7"/>
  <cols>
    <col min="1" max="1" width="4.625" style="3" customWidth="1"/>
    <col min="2" max="2" width="3.375" style="4" customWidth="1"/>
    <col min="3" max="3" width="4" style="4" hidden="1" customWidth="1"/>
    <col min="4" max="6" width="16.875" style="6" customWidth="1"/>
    <col min="7" max="7" width="16.875" style="13" customWidth="1"/>
    <col min="8" max="8" width="3.375" style="4" customWidth="1"/>
    <col min="9" max="9" width="6.75" style="3" hidden="1" customWidth="1"/>
    <col min="10" max="18" width="9" style="3"/>
    <col min="19" max="16384" width="9" style="7"/>
  </cols>
  <sheetData>
    <row r="1" s="1" customFormat="1" ht="60" customHeight="1" spans="1:1">
      <c r="A1" s="8"/>
    </row>
    <row r="2" s="2" customFormat="1" ht="39.95" customHeight="1"/>
    <row r="3" s="2" customFormat="1" customHeight="1" spans="2:8">
      <c r="B3" s="9"/>
      <c r="C3" s="9"/>
      <c r="D3" s="9"/>
      <c r="E3" s="9"/>
      <c r="F3" s="9"/>
      <c r="G3" s="9"/>
      <c r="H3" s="9"/>
    </row>
    <row r="4" s="2" customFormat="1" ht="30" customHeight="1" spans="2:8">
      <c r="B4" s="9"/>
      <c r="C4" s="9" t="s">
        <v>53</v>
      </c>
      <c r="D4" s="11" t="s">
        <v>23</v>
      </c>
      <c r="E4" s="11" t="s">
        <v>73</v>
      </c>
      <c r="F4" s="11" t="s">
        <v>74</v>
      </c>
      <c r="G4" s="11" t="s">
        <v>75</v>
      </c>
      <c r="H4" s="9"/>
    </row>
    <row r="5" s="3" customFormat="1" customHeight="1" spans="2:8">
      <c r="B5" s="4"/>
      <c r="C5" s="4"/>
      <c r="D5" s="6"/>
      <c r="E5" s="6"/>
      <c r="F5" s="6"/>
      <c r="G5" s="13"/>
      <c r="H5" s="4"/>
    </row>
    <row r="6" s="3" customFormat="1" customHeight="1" spans="2:8">
      <c r="B6" s="4"/>
      <c r="C6" s="4"/>
      <c r="D6" s="6"/>
      <c r="E6" s="6"/>
      <c r="F6" s="6"/>
      <c r="G6" s="13"/>
      <c r="H6" s="4"/>
    </row>
    <row r="7" s="3" customFormat="1" customHeight="1" spans="2:8">
      <c r="B7" s="4"/>
      <c r="C7" s="4"/>
      <c r="D7" s="6"/>
      <c r="E7" s="6"/>
      <c r="F7" s="6"/>
      <c r="G7" s="13"/>
      <c r="H7" s="4"/>
    </row>
    <row r="8" s="3" customFormat="1" customHeight="1" spans="2:8">
      <c r="B8" s="4"/>
      <c r="C8" s="4"/>
      <c r="D8" s="6"/>
      <c r="E8" s="6"/>
      <c r="F8" s="6"/>
      <c r="G8" s="13"/>
      <c r="H8" s="4"/>
    </row>
    <row r="9" s="3" customFormat="1" customHeight="1" spans="2:8">
      <c r="B9" s="4"/>
      <c r="C9" s="4"/>
      <c r="D9" s="6"/>
      <c r="E9" s="6"/>
      <c r="F9" s="6"/>
      <c r="G9" s="13"/>
      <c r="H9" s="4"/>
    </row>
    <row r="10" s="3" customFormat="1" customHeight="1" spans="2:8">
      <c r="B10" s="4"/>
      <c r="C10" s="4"/>
      <c r="D10" s="6"/>
      <c r="E10" s="6"/>
      <c r="F10" s="6"/>
      <c r="G10" s="13"/>
      <c r="H10" s="4"/>
    </row>
    <row r="11" s="3" customFormat="1" customHeight="1" spans="2:8">
      <c r="B11" s="4"/>
      <c r="C11" s="4"/>
      <c r="D11" s="6"/>
      <c r="E11" s="6"/>
      <c r="F11" s="6"/>
      <c r="G11" s="13"/>
      <c r="H11" s="4"/>
    </row>
    <row r="12" s="3" customFormat="1" customHeight="1" spans="2:8">
      <c r="B12" s="4"/>
      <c r="C12" s="4"/>
      <c r="D12" s="6"/>
      <c r="E12" s="6"/>
      <c r="F12" s="6"/>
      <c r="G12" s="13"/>
      <c r="H12" s="4"/>
    </row>
    <row r="13" s="3" customFormat="1" customHeight="1" spans="2:8">
      <c r="B13" s="4"/>
      <c r="C13" s="4"/>
      <c r="D13" s="6"/>
      <c r="E13" s="6"/>
      <c r="F13" s="6"/>
      <c r="G13" s="13"/>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13"/>
  <sheetViews>
    <sheetView showGridLines="0" workbookViewId="0">
      <pane ySplit="4" topLeftCell="A5" activePane="bottomLeft" state="frozen"/>
      <selection/>
      <selection pane="bottomLeft" activeCell="H3" sqref="H3"/>
    </sheetView>
  </sheetViews>
  <sheetFormatPr defaultColWidth="9" defaultRowHeight="20.1" customHeight="1" outlineLevelCol="7"/>
  <cols>
    <col min="1" max="1" width="4.625" style="3" customWidth="1"/>
    <col min="2" max="2" width="3.375" style="4" customWidth="1"/>
    <col min="3" max="3" width="4" style="4" hidden="1" customWidth="1"/>
    <col min="4" max="6" width="16.875" style="6" customWidth="1"/>
    <col min="7" max="7" width="16.875" style="13" customWidth="1"/>
    <col min="8" max="8" width="3.375" style="4" customWidth="1"/>
    <col min="9" max="9" width="6.75" style="3" hidden="1" customWidth="1"/>
    <col min="10" max="18" width="9" style="3"/>
    <col min="19" max="16382" width="9" style="7"/>
    <col min="16384" max="16384" width="9" style="7"/>
  </cols>
  <sheetData>
    <row r="1" s="1" customFormat="1" ht="60" customHeight="1" spans="1:1">
      <c r="A1" s="8"/>
    </row>
    <row r="2" s="2" customFormat="1" ht="39.95" customHeight="1"/>
    <row r="3" s="2" customFormat="1" customHeight="1" spans="2:8">
      <c r="B3" s="9"/>
      <c r="C3" s="9"/>
      <c r="D3" s="9"/>
      <c r="E3" s="9"/>
      <c r="F3" s="9"/>
      <c r="G3" s="9"/>
      <c r="H3" s="9"/>
    </row>
    <row r="4" s="2" customFormat="1" ht="30" customHeight="1" spans="2:8">
      <c r="B4" s="9"/>
      <c r="C4" s="9" t="s">
        <v>53</v>
      </c>
      <c r="D4" s="11" t="s">
        <v>23</v>
      </c>
      <c r="E4" s="11" t="s">
        <v>76</v>
      </c>
      <c r="F4" s="11" t="s">
        <v>74</v>
      </c>
      <c r="G4" s="11" t="s">
        <v>75</v>
      </c>
      <c r="H4" s="9"/>
    </row>
    <row r="5" s="3" customFormat="1" customHeight="1" spans="2:8">
      <c r="B5" s="4"/>
      <c r="C5" s="4"/>
      <c r="D5" s="6"/>
      <c r="E5" s="6"/>
      <c r="F5" s="6"/>
      <c r="G5" s="13"/>
      <c r="H5" s="4"/>
    </row>
    <row r="6" s="3" customFormat="1" customHeight="1" spans="2:8">
      <c r="B6" s="4"/>
      <c r="C6" s="4"/>
      <c r="D6" s="6"/>
      <c r="E6" s="6"/>
      <c r="F6" s="6"/>
      <c r="G6" s="13"/>
      <c r="H6" s="4"/>
    </row>
    <row r="7" s="3" customFormat="1" customHeight="1" spans="2:8">
      <c r="B7" s="4"/>
      <c r="C7" s="4"/>
      <c r="D7" s="6"/>
      <c r="E7" s="6"/>
      <c r="F7" s="6"/>
      <c r="G7" s="13"/>
      <c r="H7" s="4"/>
    </row>
    <row r="8" s="3" customFormat="1" customHeight="1" spans="2:8">
      <c r="B8" s="4"/>
      <c r="C8" s="4"/>
      <c r="D8" s="6"/>
      <c r="E8" s="6"/>
      <c r="F8" s="6"/>
      <c r="G8" s="13"/>
      <c r="H8" s="4"/>
    </row>
    <row r="9" s="3" customFormat="1" customHeight="1" spans="2:8">
      <c r="B9" s="4"/>
      <c r="C9" s="4"/>
      <c r="D9" s="6"/>
      <c r="E9" s="6"/>
      <c r="F9" s="6"/>
      <c r="G9" s="13"/>
      <c r="H9" s="4"/>
    </row>
    <row r="10" s="3" customFormat="1" customHeight="1" spans="2:8">
      <c r="B10" s="4"/>
      <c r="C10" s="4"/>
      <c r="D10" s="6"/>
      <c r="E10" s="6"/>
      <c r="F10" s="6"/>
      <c r="G10" s="13"/>
      <c r="H10" s="4"/>
    </row>
    <row r="11" s="3" customFormat="1" customHeight="1" spans="2:8">
      <c r="B11" s="4"/>
      <c r="C11" s="4"/>
      <c r="D11" s="6"/>
      <c r="E11" s="6"/>
      <c r="F11" s="6"/>
      <c r="G11" s="13"/>
      <c r="H11" s="4"/>
    </row>
    <row r="12" s="3" customFormat="1" customHeight="1" spans="2:8">
      <c r="B12" s="4"/>
      <c r="C12" s="4"/>
      <c r="D12" s="6"/>
      <c r="E12" s="6"/>
      <c r="F12" s="6"/>
      <c r="G12" s="13"/>
      <c r="H12" s="4"/>
    </row>
    <row r="13" s="3" customFormat="1" customHeight="1" spans="2:8">
      <c r="B13" s="4"/>
      <c r="C13" s="4"/>
      <c r="D13" s="6"/>
      <c r="E13" s="6"/>
      <c r="F13" s="6"/>
      <c r="G13" s="13"/>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J13"/>
  <sheetViews>
    <sheetView showGridLines="0" workbookViewId="0">
      <pane ySplit="4" topLeftCell="A9" activePane="bottomLeft" state="frozen"/>
      <selection/>
      <selection pane="bottomLeft" activeCell="F15" sqref="F15"/>
    </sheetView>
  </sheetViews>
  <sheetFormatPr defaultColWidth="9" defaultRowHeight="20.1" customHeight="1"/>
  <cols>
    <col min="1" max="1" width="4.625" style="3" customWidth="1"/>
    <col min="2" max="2" width="3.625" style="4" customWidth="1"/>
    <col min="3" max="3" width="4" style="4" hidden="1" customWidth="1"/>
    <col min="4" max="6" width="16.875" style="6" customWidth="1"/>
    <col min="7" max="9" width="16.875" style="13" customWidth="1"/>
    <col min="10" max="10" width="3.625" style="4" customWidth="1"/>
    <col min="11" max="11" width="6.75" style="3" hidden="1" customWidth="1"/>
    <col min="12" max="20" width="9" style="3"/>
    <col min="21" max="16384" width="9" style="7"/>
  </cols>
  <sheetData>
    <row r="1" s="1" customFormat="1" ht="60" customHeight="1" spans="1:1">
      <c r="A1" s="8"/>
    </row>
    <row r="2" s="2" customFormat="1" ht="39.95" customHeight="1"/>
    <row r="3" s="2" customFormat="1" customHeight="1" spans="2:10">
      <c r="B3" s="9"/>
      <c r="C3" s="9"/>
      <c r="D3" s="9"/>
      <c r="E3" s="9"/>
      <c r="F3" s="9"/>
      <c r="G3" s="9"/>
      <c r="H3" s="9"/>
      <c r="I3" s="9"/>
      <c r="J3" s="9"/>
    </row>
    <row r="4" s="2" customFormat="1" ht="30" customHeight="1" spans="2:10">
      <c r="B4" s="9"/>
      <c r="C4" s="9" t="s">
        <v>53</v>
      </c>
      <c r="D4" s="11" t="s">
        <v>23</v>
      </c>
      <c r="E4" s="11" t="s">
        <v>25</v>
      </c>
      <c r="F4" s="11" t="s">
        <v>24</v>
      </c>
      <c r="G4" s="11" t="s">
        <v>26</v>
      </c>
      <c r="H4" s="11" t="s">
        <v>27</v>
      </c>
      <c r="I4" s="11" t="s">
        <v>77</v>
      </c>
      <c r="J4" s="9"/>
    </row>
    <row r="5" s="3" customFormat="1" customHeight="1" spans="2:10">
      <c r="B5" s="4"/>
      <c r="C5" s="4"/>
      <c r="D5" s="6"/>
      <c r="E5" s="6"/>
      <c r="F5" s="6"/>
      <c r="G5" s="13"/>
      <c r="H5" s="13"/>
      <c r="I5" s="13"/>
      <c r="J5" s="4"/>
    </row>
    <row r="6" s="3" customFormat="1" customHeight="1" spans="2:10">
      <c r="B6" s="4"/>
      <c r="C6" s="4"/>
      <c r="D6" s="6"/>
      <c r="E6" s="6"/>
      <c r="F6" s="6"/>
      <c r="G6" s="13"/>
      <c r="H6" s="13"/>
      <c r="I6" s="13"/>
      <c r="J6" s="4"/>
    </row>
    <row r="7" s="3" customFormat="1" customHeight="1" spans="2:10">
      <c r="B7" s="4"/>
      <c r="C7" s="4"/>
      <c r="D7" s="6"/>
      <c r="E7" s="6"/>
      <c r="F7" s="6"/>
      <c r="G7" s="13"/>
      <c r="H7" s="13"/>
      <c r="I7" s="13"/>
      <c r="J7" s="4"/>
    </row>
    <row r="8" s="3" customFormat="1" customHeight="1" spans="2:10">
      <c r="B8" s="4"/>
      <c r="C8" s="4"/>
      <c r="D8" s="6"/>
      <c r="E8" s="6"/>
      <c r="F8" s="6"/>
      <c r="G8" s="13"/>
      <c r="H8" s="13"/>
      <c r="I8" s="13"/>
      <c r="J8" s="4"/>
    </row>
    <row r="9" s="3" customFormat="1" customHeight="1" spans="2:10">
      <c r="B9" s="4"/>
      <c r="C9" s="4"/>
      <c r="D9" s="6"/>
      <c r="E9" s="6"/>
      <c r="F9" s="6"/>
      <c r="G9" s="13"/>
      <c r="H9" s="13"/>
      <c r="I9" s="13"/>
      <c r="J9" s="4"/>
    </row>
    <row r="10" s="3" customFormat="1" customHeight="1" spans="2:10">
      <c r="B10" s="4"/>
      <c r="C10" s="4"/>
      <c r="D10" s="6"/>
      <c r="E10" s="6"/>
      <c r="F10" s="6"/>
      <c r="G10" s="13"/>
      <c r="H10" s="13"/>
      <c r="I10" s="13"/>
      <c r="J10" s="4"/>
    </row>
    <row r="11" s="3" customFormat="1" customHeight="1" spans="2:10">
      <c r="B11" s="4"/>
      <c r="C11" s="4"/>
      <c r="D11" s="6"/>
      <c r="E11" s="6"/>
      <c r="F11" s="6"/>
      <c r="G11" s="13"/>
      <c r="H11" s="13"/>
      <c r="I11" s="13"/>
      <c r="J11" s="4"/>
    </row>
    <row r="12" s="3" customFormat="1" customHeight="1" spans="2:10">
      <c r="B12" s="4"/>
      <c r="C12" s="4"/>
      <c r="D12" s="6"/>
      <c r="E12" s="6"/>
      <c r="F12" s="6"/>
      <c r="G12" s="13"/>
      <c r="H12" s="13"/>
      <c r="I12" s="13"/>
      <c r="J12" s="4"/>
    </row>
    <row r="13" s="3" customFormat="1" customHeight="1" spans="2:10">
      <c r="B13" s="4"/>
      <c r="C13" s="4"/>
      <c r="D13" s="6"/>
      <c r="E13" s="6"/>
      <c r="F13" s="6"/>
      <c r="G13" s="13"/>
      <c r="H13" s="13"/>
      <c r="I13" s="13"/>
      <c r="J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13"/>
  <sheetViews>
    <sheetView showGridLines="0" workbookViewId="0">
      <pane ySplit="4" topLeftCell="A5" activePane="bottomLeft" state="frozen"/>
      <selection/>
      <selection pane="bottomLeft" activeCell="G12" sqref="G12"/>
    </sheetView>
  </sheetViews>
  <sheetFormatPr defaultColWidth="9" defaultRowHeight="20.1" customHeight="1"/>
  <cols>
    <col min="1" max="1" width="4.625" style="3" customWidth="1"/>
    <col min="2" max="2" width="3.625" style="4" customWidth="1"/>
    <col min="3" max="3" width="4.5" style="5" hidden="1" customWidth="1"/>
    <col min="4" max="10" width="16.875" style="6" customWidth="1"/>
    <col min="11" max="11" width="3.625" style="4" customWidth="1"/>
    <col min="12" max="13" width="9" style="3"/>
    <col min="14" max="16" width="9" style="7"/>
    <col min="17" max="19" width="9" style="7" hidden="1" customWidth="1"/>
    <col min="20" max="20" width="9" style="7" customWidth="1"/>
    <col min="21" max="16384" width="9" style="7"/>
  </cols>
  <sheetData>
    <row r="1" s="1" customFormat="1" ht="60" customHeight="1" spans="1:20">
      <c r="A1" s="8"/>
      <c r="R1" s="12"/>
      <c r="S1" s="12"/>
      <c r="T1" s="12">
        <v>1</v>
      </c>
    </row>
    <row r="2" s="2" customFormat="1" ht="39.95" customHeight="1"/>
    <row r="3" s="2" customFormat="1" customHeight="1" spans="2:11">
      <c r="B3" s="9"/>
      <c r="C3" s="9"/>
      <c r="D3" s="9"/>
      <c r="E3" s="9"/>
      <c r="F3" s="9"/>
      <c r="G3" s="9"/>
      <c r="H3" s="9"/>
      <c r="I3" s="9"/>
      <c r="J3" s="9"/>
      <c r="K3" s="9"/>
    </row>
    <row r="4" s="2" customFormat="1" ht="30" customHeight="1" spans="2:11">
      <c r="B4" s="9"/>
      <c r="C4" s="10" t="s">
        <v>53</v>
      </c>
      <c r="D4" s="11" t="s">
        <v>78</v>
      </c>
      <c r="E4" s="11" t="s">
        <v>79</v>
      </c>
      <c r="F4" s="11" t="s">
        <v>80</v>
      </c>
      <c r="G4" s="11" t="s">
        <v>81</v>
      </c>
      <c r="H4" s="11" t="s">
        <v>82</v>
      </c>
      <c r="I4" s="11" t="s">
        <v>83</v>
      </c>
      <c r="J4" s="11" t="s">
        <v>84</v>
      </c>
      <c r="K4" s="9"/>
    </row>
    <row r="5" s="3" customFormat="1" customHeight="1" spans="2:11">
      <c r="B5" s="4"/>
      <c r="C5" s="5"/>
      <c r="D5" s="6"/>
      <c r="E5" s="6"/>
      <c r="F5" s="6"/>
      <c r="G5" s="6"/>
      <c r="H5" s="6"/>
      <c r="I5" s="6"/>
      <c r="J5" s="6"/>
      <c r="K5" s="4"/>
    </row>
    <row r="6" s="3" customFormat="1" customHeight="1" spans="2:11">
      <c r="B6" s="4"/>
      <c r="C6" s="5"/>
      <c r="D6" s="6"/>
      <c r="E6" s="6"/>
      <c r="F6" s="6"/>
      <c r="G6" s="6"/>
      <c r="H6" s="6"/>
      <c r="I6" s="6"/>
      <c r="J6" s="6"/>
      <c r="K6" s="4"/>
    </row>
    <row r="7" s="3" customFormat="1" customHeight="1" spans="2:11">
      <c r="B7" s="4"/>
      <c r="C7" s="5"/>
      <c r="D7" s="6"/>
      <c r="E7" s="6"/>
      <c r="F7" s="6"/>
      <c r="G7" s="6"/>
      <c r="H7" s="6"/>
      <c r="I7" s="6"/>
      <c r="J7" s="6"/>
      <c r="K7" s="4"/>
    </row>
    <row r="8" s="3" customFormat="1" customHeight="1" spans="2:11">
      <c r="B8" s="4"/>
      <c r="C8" s="5"/>
      <c r="D8" s="6"/>
      <c r="E8" s="6"/>
      <c r="F8" s="6"/>
      <c r="G8" s="6"/>
      <c r="H8" s="6"/>
      <c r="I8" s="6"/>
      <c r="J8" s="6"/>
      <c r="K8" s="4"/>
    </row>
    <row r="9" s="3" customFormat="1" customHeight="1" spans="2:11">
      <c r="B9" s="4"/>
      <c r="C9" s="5"/>
      <c r="D9" s="6"/>
      <c r="E9" s="6"/>
      <c r="F9" s="6"/>
      <c r="G9" s="6"/>
      <c r="H9" s="6"/>
      <c r="I9" s="6"/>
      <c r="J9" s="6"/>
      <c r="K9" s="4"/>
    </row>
    <row r="10" s="3" customFormat="1" customHeight="1" spans="2:11">
      <c r="B10" s="4"/>
      <c r="C10" s="5"/>
      <c r="D10" s="6"/>
      <c r="E10" s="6"/>
      <c r="F10" s="6"/>
      <c r="G10" s="6"/>
      <c r="H10" s="6"/>
      <c r="I10" s="6"/>
      <c r="J10" s="6"/>
      <c r="K10" s="4"/>
    </row>
    <row r="11" s="3" customFormat="1" customHeight="1" spans="2:11">
      <c r="B11" s="4"/>
      <c r="C11" s="5"/>
      <c r="D11" s="6"/>
      <c r="E11" s="6"/>
      <c r="F11" s="6"/>
      <c r="G11" s="6"/>
      <c r="H11" s="6"/>
      <c r="I11" s="6"/>
      <c r="J11" s="6"/>
      <c r="K11" s="4"/>
    </row>
    <row r="12" s="3" customFormat="1" customHeight="1" spans="2:11">
      <c r="B12" s="4"/>
      <c r="C12" s="5"/>
      <c r="D12" s="6"/>
      <c r="E12" s="6"/>
      <c r="F12" s="6"/>
      <c r="G12" s="6"/>
      <c r="H12" s="6"/>
      <c r="I12" s="6"/>
      <c r="J12" s="6"/>
      <c r="K12" s="4"/>
    </row>
    <row r="13" s="3" customFormat="1" customHeight="1" spans="2:11">
      <c r="B13" s="4"/>
      <c r="C13" s="5"/>
      <c r="D13" s="6"/>
      <c r="E13" s="6"/>
      <c r="F13" s="6"/>
      <c r="G13" s="6"/>
      <c r="H13" s="6"/>
      <c r="I13" s="6"/>
      <c r="J13" s="6"/>
      <c r="K13" s="4"/>
    </row>
  </sheetData>
  <sheetProtection formatCells="0" formatColumns="0" formatRows="0" insertRows="0" insertColumns="0" insertHyperlinks="0" deleteColumns="0" deleteRows="0" sort="0" autoFilter="0" pivotTables="0"/>
  <conditionalFormatting sqref="I5:I1048576">
    <cfRule type="cellIs" dxfId="1" priority="2" operator="equal">
      <formula>"双击修改"</formula>
    </cfRule>
  </conditionalFormatting>
  <conditionalFormatting sqref="J5:J1048576">
    <cfRule type="cellIs" dxfId="1" priority="1" operator="equal">
      <formula>"双击删除"</formula>
    </cfRule>
  </conditionalFormatting>
  <dataValidations count="2">
    <dataValidation type="list" allowBlank="1" showInputMessage="1" showErrorMessage="1" sqref="G5:G1048576">
      <formula1>"管理员,普通用户"</formula1>
    </dataValidation>
    <dataValidation type="list" allowBlank="1" showInputMessage="1" showErrorMessage="1" sqref="H5:H1048576">
      <formula1>"正常,锁定"</formula1>
    </dataValidation>
  </dataValidations>
  <pageMargins left="0.75" right="0.75" top="1" bottom="1" header="0.5" footer="0.5"/>
  <headerFooter/>
  <drawing r:id="rId1"/>
  <legacyDrawing r:id="rId2"/>
  <controls>
    <mc:AlternateContent xmlns:mc="http://schemas.openxmlformats.org/markup-compatibility/2006">
      <mc:Choice Requires="x14">
        <control shapeId="4098" r:id="rId3" name="TextBox1">
          <controlPr defaultSize="0" r:id="rId4">
            <anchor>
              <from>
                <xdr:col>3</xdr:col>
                <xdr:colOff>847725</xdr:colOff>
                <xdr:row>1</xdr:row>
                <xdr:rowOff>128905</xdr:rowOff>
              </from>
              <to>
                <xdr:col>5</xdr:col>
                <xdr:colOff>800100</xdr:colOff>
                <xdr:row>1</xdr:row>
                <xdr:rowOff>443230</xdr:rowOff>
              </to>
            </anchor>
          </controlPr>
        </control>
      </mc:Choice>
      <mc:Fallback>
        <control shapeId="4098" r:id="rId3" name="Text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加密</vt:lpstr>
      <vt:lpstr>入库</vt:lpstr>
      <vt:lpstr>入库单</vt:lpstr>
      <vt:lpstr>出库</vt:lpstr>
      <vt:lpstr>出库单</vt:lpstr>
      <vt:lpstr>期初数</vt:lpstr>
      <vt:lpstr>明细</vt:lpstr>
      <vt:lpstr>进销存</vt:lpstr>
      <vt:lpstr>客户|供应商查询</vt:lpstr>
      <vt:lpstr>商品进出查询</vt:lpstr>
      <vt:lpstr>基础资料</vt:lpstr>
      <vt:lpstr>客户资料</vt:lpstr>
      <vt:lpstr>供应商资料</vt:lpstr>
      <vt:lpstr>笔记</vt:lpstr>
      <vt:lpstr>用户管理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2023-06-18T11:44:47Z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2052-11.1.0.13703</vt:lpwstr>
  </property>
  <property fmtid="{D5CDD505-2E9C-101B-9397-08002B2CF9AE}" pid="3" name="ICV">
    <vt:lpwstr>2880E496AE9040DCA7CC04DAC228E7B9</vt:lpwstr>
  </property>
  <property fmtid="{D5CDD505-2E9C-101B-9397-08002B2CF9AE}" pid="4" name="commondata">
    <vt:lpwstr>eyJoZGlkIjoiODI2NTdlNmIyYjhkYWM0NDQwYWU3Y2Q0NmEyMTJiMWEifQ==</vt:lpwstr>
  </property>
</Properties>
</file>