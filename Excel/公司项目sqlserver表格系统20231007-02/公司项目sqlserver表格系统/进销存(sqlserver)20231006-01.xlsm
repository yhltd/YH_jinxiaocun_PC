
<file path=[Content_Types].xml><?xml version="1.0" encoding="utf-8"?>
<Types xmlns="http://schemas.openxmlformats.org/package/2006/content-types">
  <Default Extension="vml" ContentType="application/vnd.openxmlformats-officedocument.vmlDrawin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925" windowHeight="9840" tabRatio="882"/>
  </bookViews>
  <sheets>
    <sheet name="首页" sheetId="1" r:id="rId1"/>
    <sheet name="说明书" sheetId="2" r:id="rId2"/>
    <sheet name="加密" sheetId="3" state="veryHidden" r:id="rId3"/>
    <sheet name="入库" sheetId="4" state="veryHidden" r:id="rId4"/>
    <sheet name="入库单" sheetId="16" state="veryHidden" r:id="rId5"/>
    <sheet name="出库" sheetId="14" state="veryHidden" r:id="rId6"/>
    <sheet name="出库单" sheetId="17" state="veryHidden" r:id="rId7"/>
    <sheet name="期初数" sheetId="5" state="veryHidden" r:id="rId8"/>
    <sheet name="明细" sheetId="6" state="veryHidden" r:id="rId9"/>
    <sheet name="进销存" sheetId="7" state="veryHidden" r:id="rId10"/>
    <sheet name="客户|供应商查询" sheetId="8" state="veryHidden" r:id="rId11"/>
    <sheet name="商品进出查询" sheetId="15" state="veryHidden" r:id="rId12"/>
    <sheet name="基础资料" sheetId="9" state="veryHidden" r:id="rId13"/>
    <sheet name="客户资料" sheetId="10" state="veryHidden" r:id="rId14"/>
    <sheet name="供应商资料" sheetId="11" state="veryHidden" r:id="rId15"/>
    <sheet name="笔记" sheetId="12" state="veryHidden" r:id="rId16"/>
    <sheet name="用户管理" sheetId="13" state="veryHidden" r:id="rId17"/>
    <sheet name="二维码打印" sheetId="18" state="veryHidden" r:id="rId18"/>
  </sheets>
  <definedNames>
    <definedName name="_xlnm._FilterDatabase" localSheetId="8" hidden="1">明细!$D$4:$K$70</definedName>
    <definedName name="_xlnm.Print_Area" localSheetId="6">出库单!$C$4:$H$19</definedName>
    <definedName name="_xlnm.Print_Area" localSheetId="4">入库单!$C$4:$H$19</definedName>
  </definedNames>
  <calcPr calcId="144525"/>
</workbook>
</file>

<file path=xl/comments1.xml><?xml version="1.0" encoding="utf-8"?>
<comments xmlns="http://schemas.openxmlformats.org/spreadsheetml/2006/main">
  <authors>
    <author>Administrator</author>
  </authors>
  <commentList>
    <comment ref="F4" authorId="0">
      <text>
        <r>
          <rPr>
            <sz val="9"/>
            <rFont val="宋体"/>
            <charset val="134"/>
          </rPr>
          <t>双击红角标位置查看信息</t>
        </r>
      </text>
    </comment>
  </commentList>
</comments>
</file>

<file path=xl/comments2.xml><?xml version="1.0" encoding="utf-8"?>
<comments xmlns="http://schemas.openxmlformats.org/spreadsheetml/2006/main">
  <authors>
    <author>Administrator</author>
  </authors>
  <commentList>
    <comment ref="F4" authorId="0">
      <text>
        <r>
          <rPr>
            <sz val="9"/>
            <rFont val="宋体"/>
            <charset val="134"/>
          </rPr>
          <t xml:space="preserve">双击红角标位置查看信息
</t>
        </r>
      </text>
    </comment>
  </commentList>
</comments>
</file>

<file path=xl/comments3.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4.xml><?xml version="1.0" encoding="utf-8"?>
<comments xmlns="http://schemas.openxmlformats.org/spreadsheetml/2006/main">
  <authors>
    <author>Administrator</author>
  </authors>
  <commentList>
    <comment ref="G4" authorId="0">
      <text>
        <r>
          <rPr>
            <sz val="9"/>
            <rFont val="宋体"/>
            <charset val="134"/>
          </rPr>
          <t xml:space="preserve">双击红角标位置查看信息
</t>
        </r>
      </text>
    </comment>
    <comment ref="P4" authorId="0">
      <text>
        <r>
          <rPr>
            <sz val="12"/>
            <rFont val="宋体"/>
            <charset val="134"/>
          </rPr>
          <t>结存数量小于此列数值时标红提醒</t>
        </r>
      </text>
    </comment>
  </commentList>
</comments>
</file>

<file path=xl/comments5.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List>
</comments>
</file>

<file path=xl/sharedStrings.xml><?xml version="1.0" encoding="utf-8"?>
<sst xmlns="http://schemas.openxmlformats.org/spreadsheetml/2006/main" count="195" uniqueCount="88">
  <si>
    <r>
      <rPr>
        <b/>
        <sz val="24"/>
        <color theme="4" tint="0.79970702230903"/>
        <rFont val="微软雅黑"/>
        <charset val="134"/>
      </rPr>
      <t>使用说明书</t>
    </r>
    <r>
      <rPr>
        <b/>
        <sz val="20"/>
        <color theme="4" tint="0.79970702230903"/>
        <rFont val="微软雅黑"/>
        <charset val="134"/>
      </rPr>
      <t xml:space="preserve">
</t>
    </r>
    <r>
      <rPr>
        <b/>
        <sz val="10"/>
        <color theme="4" tint="0.79970702230903"/>
        <rFont val="微软雅黑"/>
        <charset val="134"/>
      </rPr>
      <t>operating instruction</t>
    </r>
  </si>
  <si>
    <t>出入库</t>
  </si>
  <si>
    <t>当前页:</t>
  </si>
  <si>
    <t>1.</t>
  </si>
  <si>
    <t>点击刷新按钮可以获取到基础资料里面的信息，选择商品代码列下拉框中的商品代码会自动带出其他信息</t>
  </si>
  <si>
    <t>2.</t>
  </si>
  <si>
    <t>在表格中填好数量和单价后，点击入库、出库按钮添加单号和供应商(客户)后点击确定可以进行出库，保存到明细表</t>
  </si>
  <si>
    <t>点击刷新按钮可以看到之前保存过的所有期初数据</t>
  </si>
  <si>
    <t>在表格中直接修改或添加一行数据后点击保存按钮可以保存到云端数据库中</t>
  </si>
  <si>
    <t>3.</t>
  </si>
  <si>
    <t>选中想要删除的行后点击删除按钮可以进行批量删除</t>
  </si>
  <si>
    <t>明细表中保存着所有的出入库数据，点击刷新后可以看到所有数据</t>
  </si>
  <si>
    <t>点击查询按钮可以根据时间范围进行查询</t>
  </si>
  <si>
    <t>进销存页面可以看到所有的出入库、期初以及库存信息</t>
  </si>
  <si>
    <t>点击刷新按钮可以看到全部数据</t>
  </si>
  <si>
    <t>进出查询页面点击商品查询按钮或客户查询按钮可以根据客户或商品进行查询</t>
  </si>
  <si>
    <t>基础资料、客户资料和供应商资料为配置表，和前面表一样具有增删改查功能，数据保存后可以在前面表中</t>
  </si>
  <si>
    <t>下拉选择或将数据带出来</t>
  </si>
  <si>
    <t>整理表为独立的一个表，可以在表上进行增删改查操作，跟其他表无关联</t>
  </si>
  <si>
    <t>用户管理表可添加账号信息，点击新增按钮可以弹出录入窗体，输入信息后点击保存</t>
  </si>
  <si>
    <t>双击用户管理后面的列可以进行修改和删除操作</t>
  </si>
  <si>
    <t>4.</t>
  </si>
  <si>
    <t>上方的文本框是根据用户名查询，可模糊查询</t>
  </si>
  <si>
    <t>北京登宏科技有限公司</t>
  </si>
  <si>
    <t>选中此处扫描商品二维码</t>
  </si>
  <si>
    <t>序号</t>
  </si>
  <si>
    <t>商品名称</t>
  </si>
  <si>
    <t>商品代码</t>
  </si>
  <si>
    <t>商品类别</t>
  </si>
  <si>
    <t>商品单位</t>
  </si>
  <si>
    <t>数量</t>
  </si>
  <si>
    <t>金额</t>
  </si>
  <si>
    <t>库存数量</t>
  </si>
  <si>
    <t>入库单</t>
  </si>
  <si>
    <t>订单号：</t>
  </si>
  <si>
    <t>DD20231006001</t>
  </si>
  <si>
    <t>供应商：</t>
  </si>
  <si>
    <t>张三</t>
  </si>
  <si>
    <t>入库时间：</t>
  </si>
  <si>
    <t>单价</t>
  </si>
  <si>
    <t>笔记本</t>
  </si>
  <si>
    <t>CS001</t>
  </si>
  <si>
    <t>办公</t>
  </si>
  <si>
    <t>中性笔</t>
  </si>
  <si>
    <t>CS002</t>
  </si>
  <si>
    <t>合计金额(大写):</t>
  </si>
  <si>
    <t>合计金额(小写):</t>
  </si>
  <si>
    <t>选中此处扫描订单二维码</t>
  </si>
  <si>
    <t>出库单</t>
  </si>
  <si>
    <t>DD20231006002</t>
  </si>
  <si>
    <t>客户：</t>
  </si>
  <si>
    <t>奥迪</t>
  </si>
  <si>
    <t>出库时间：</t>
  </si>
  <si>
    <t>合计金额：240</t>
  </si>
  <si>
    <t>id</t>
  </si>
  <si>
    <t>商品售价</t>
  </si>
  <si>
    <t>商品数量</t>
  </si>
  <si>
    <t>订单号</t>
  </si>
  <si>
    <t>价格</t>
  </si>
  <si>
    <t>明细类型</t>
  </si>
  <si>
    <t>时间</t>
  </si>
  <si>
    <t>公司名</t>
  </si>
  <si>
    <t>收/进货方</t>
  </si>
  <si>
    <t>期初</t>
  </si>
  <si>
    <t>入库</t>
  </si>
  <si>
    <t>出库</t>
  </si>
  <si>
    <t>结存</t>
  </si>
  <si>
    <t>边缘存量</t>
  </si>
  <si>
    <t>客户名称</t>
  </si>
  <si>
    <t>入库/出库数量</t>
  </si>
  <si>
    <t>入库/出库金额</t>
  </si>
  <si>
    <t>类别</t>
  </si>
  <si>
    <t>商品图片</t>
  </si>
  <si>
    <t>供应名称</t>
  </si>
  <si>
    <t>客户</t>
  </si>
  <si>
    <t>联系地址</t>
  </si>
  <si>
    <t>联系方式</t>
  </si>
  <si>
    <t>供应商</t>
  </si>
  <si>
    <t>备注</t>
  </si>
  <si>
    <t>用户名</t>
  </si>
  <si>
    <t>密码</t>
  </si>
  <si>
    <t>公司</t>
  </si>
  <si>
    <t>权限</t>
  </si>
  <si>
    <t>账号状态</t>
  </si>
  <si>
    <t>双击修改</t>
  </si>
  <si>
    <t>双击删除</t>
  </si>
  <si>
    <t xml:space="preserve"> 商品代码：CS001
 商品名称：笔记本</t>
  </si>
  <si>
    <t xml:space="preserve"> 商品代码：CS002
 商品名称：中性笔</t>
  </si>
</sst>
</file>

<file path=xl/styles.xml><?xml version="1.0" encoding="utf-8"?>
<styleSheet xmlns="http://schemas.openxmlformats.org/spreadsheetml/2006/main">
  <numFmts count="8">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m/d\ hh:mm:ss"/>
    <numFmt numFmtId="178" formatCode="[DBNum2][$RMB]General;[Red][DBNum2][$RMB]General"/>
    <numFmt numFmtId="179" formatCode="00"/>
  </numFmts>
  <fonts count="51">
    <font>
      <sz val="12"/>
      <name val="宋体"/>
      <charset val="134"/>
    </font>
    <font>
      <sz val="12"/>
      <name val="等线"/>
      <charset val="134"/>
    </font>
    <font>
      <sz val="10"/>
      <name val="等线"/>
      <charset val="134"/>
    </font>
    <font>
      <b/>
      <sz val="14"/>
      <color theme="0"/>
      <name val="等线"/>
      <charset val="134"/>
    </font>
    <font>
      <b/>
      <sz val="14"/>
      <name val="等线"/>
      <charset val="134"/>
    </font>
    <font>
      <sz val="14"/>
      <name val="微软雅黑"/>
      <charset val="134"/>
    </font>
    <font>
      <sz val="12"/>
      <color theme="1" tint="0.349986266670736"/>
      <name val="等线"/>
      <charset val="134"/>
    </font>
    <font>
      <b/>
      <sz val="12"/>
      <name val="等线"/>
      <charset val="134"/>
    </font>
    <font>
      <b/>
      <sz val="14"/>
      <color theme="0"/>
      <name val="微软雅黑"/>
      <charset val="134"/>
    </font>
    <font>
      <sz val="20"/>
      <name val="微软雅黑"/>
      <charset val="134"/>
    </font>
    <font>
      <sz val="16"/>
      <name val="微软雅黑"/>
      <charset val="134"/>
    </font>
    <font>
      <sz val="11"/>
      <name val="等线"/>
      <charset val="134"/>
    </font>
    <font>
      <b/>
      <sz val="12"/>
      <name val="微软雅黑"/>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70702230903"/>
      <name val="微软雅黑"/>
      <charset val="134"/>
    </font>
    <font>
      <b/>
      <sz val="20"/>
      <color theme="4" tint="0.79970702230903"/>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70702230903"/>
      <name val="微软雅黑"/>
      <charset val="134"/>
    </font>
    <font>
      <sz val="9"/>
      <name val="宋体"/>
      <charset val="134"/>
    </font>
    <font>
      <sz val="12"/>
      <name val="宋体"/>
      <charset val="134"/>
    </font>
  </fonts>
  <fills count="41">
    <fill>
      <patternFill patternType="none"/>
    </fill>
    <fill>
      <patternFill patternType="gray125"/>
    </fill>
    <fill>
      <patternFill patternType="solid">
        <fgColor theme="1" tint="0.349986266670736"/>
        <bgColor indexed="64"/>
      </patternFill>
    </fill>
    <fill>
      <patternFill patternType="solid">
        <fgColor theme="4" tint="0.599993896298105"/>
        <bgColor indexed="64"/>
      </patternFill>
    </fill>
    <fill>
      <patternFill patternType="solid">
        <fgColor theme="0" tint="-0.149876400036622"/>
        <bgColor indexed="64"/>
      </patternFill>
    </fill>
    <fill>
      <patternFill patternType="solid">
        <fgColor theme="0" tint="-0.149937437055574"/>
        <bgColor indexed="64"/>
      </patternFill>
    </fill>
    <fill>
      <patternFill patternType="solid">
        <fgColor theme="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8">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left>
      <right/>
      <top style="thin">
        <color theme="0"/>
      </top>
      <bottom style="thin">
        <color theme="0"/>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style="thin">
        <color theme="0" tint="-0.349986266670736"/>
      </top>
      <bottom/>
      <diagonal/>
    </border>
    <border>
      <left style="thin">
        <color theme="0" tint="-0.349986266670736"/>
      </left>
      <right style="thin">
        <color theme="0" tint="-0.349986266670736"/>
      </right>
      <top/>
      <bottom style="thin">
        <color theme="0" tint="-0.349986266670736"/>
      </bottom>
      <diagonal/>
    </border>
    <border>
      <left style="thin">
        <color theme="0" tint="-0.349986266670736"/>
      </left>
      <right style="thin">
        <color theme="0" tint="-0.349986266670736"/>
      </right>
      <top/>
      <bottom/>
      <diagonal/>
    </border>
    <border>
      <left style="thin">
        <color theme="0" tint="-0.35"/>
      </left>
      <right style="thin">
        <color theme="0" tint="-0.35"/>
      </right>
      <top style="thin">
        <color theme="0" tint="-0.35"/>
      </top>
      <bottom style="thin">
        <color theme="0" tint="-0.35"/>
      </bottom>
      <diagonal/>
    </border>
    <border>
      <left/>
      <right/>
      <top/>
      <bottom style="thin">
        <color theme="0" tint="-0.349986266670736"/>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14" fillId="0" borderId="0" applyFont="0" applyFill="0" applyBorder="0" applyAlignment="0" applyProtection="0">
      <alignment vertical="center"/>
    </xf>
    <xf numFmtId="0" fontId="29" fillId="11" borderId="0" applyNumberFormat="0" applyBorder="0" applyAlignment="0" applyProtection="0">
      <alignment vertical="center"/>
    </xf>
    <xf numFmtId="0" fontId="30" fillId="12" borderId="10" applyNumberFormat="0" applyAlignment="0" applyProtection="0">
      <alignment vertical="center"/>
    </xf>
    <xf numFmtId="44" fontId="14" fillId="0" borderId="0" applyFont="0" applyFill="0" applyBorder="0" applyAlignment="0" applyProtection="0">
      <alignment vertical="center"/>
    </xf>
    <xf numFmtId="41" fontId="14" fillId="0" borderId="0" applyFont="0" applyFill="0" applyBorder="0" applyAlignment="0" applyProtection="0">
      <alignment vertical="center"/>
    </xf>
    <xf numFmtId="0" fontId="29" fillId="13" borderId="0" applyNumberFormat="0" applyBorder="0" applyAlignment="0" applyProtection="0">
      <alignment vertical="center"/>
    </xf>
    <xf numFmtId="0" fontId="31" fillId="14" borderId="0" applyNumberFormat="0" applyBorder="0" applyAlignment="0" applyProtection="0">
      <alignment vertical="center"/>
    </xf>
    <xf numFmtId="43" fontId="14" fillId="0" borderId="0" applyFont="0" applyFill="0" applyBorder="0" applyAlignment="0" applyProtection="0">
      <alignment vertical="center"/>
    </xf>
    <xf numFmtId="0" fontId="32" fillId="15" borderId="0" applyNumberFormat="0" applyBorder="0" applyAlignment="0" applyProtection="0">
      <alignment vertical="center"/>
    </xf>
    <xf numFmtId="0" fontId="33" fillId="0" borderId="0" applyNumberFormat="0" applyFill="0" applyBorder="0" applyAlignment="0" applyProtection="0">
      <alignment vertical="center"/>
    </xf>
    <xf numFmtId="9" fontId="14" fillId="0" borderId="0" applyFont="0" applyFill="0" applyBorder="0" applyAlignment="0" applyProtection="0">
      <alignment vertical="center"/>
    </xf>
    <xf numFmtId="0" fontId="34" fillId="0" borderId="0" applyNumberFormat="0" applyFill="0" applyBorder="0" applyAlignment="0" applyProtection="0">
      <alignment vertical="center"/>
    </xf>
    <xf numFmtId="0" fontId="14" fillId="16" borderId="11" applyNumberFormat="0" applyFont="0" applyAlignment="0" applyProtection="0">
      <alignment vertical="center"/>
    </xf>
    <xf numFmtId="0" fontId="32" fillId="17" borderId="0" applyNumberFormat="0" applyBorder="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9" fillId="0" borderId="12" applyNumberFormat="0" applyFill="0" applyAlignment="0" applyProtection="0">
      <alignment vertical="center"/>
    </xf>
    <xf numFmtId="0" fontId="40" fillId="0" borderId="12" applyNumberFormat="0" applyFill="0" applyAlignment="0" applyProtection="0">
      <alignment vertical="center"/>
    </xf>
    <xf numFmtId="0" fontId="32" fillId="18" borderId="0" applyNumberFormat="0" applyBorder="0" applyAlignment="0" applyProtection="0">
      <alignment vertical="center"/>
    </xf>
    <xf numFmtId="0" fontId="35" fillId="0" borderId="13" applyNumberFormat="0" applyFill="0" applyAlignment="0" applyProtection="0">
      <alignment vertical="center"/>
    </xf>
    <xf numFmtId="0" fontId="32" fillId="19" borderId="0" applyNumberFormat="0" applyBorder="0" applyAlignment="0" applyProtection="0">
      <alignment vertical="center"/>
    </xf>
    <xf numFmtId="0" fontId="41" fillId="20" borderId="14" applyNumberFormat="0" applyAlignment="0" applyProtection="0">
      <alignment vertical="center"/>
    </xf>
    <xf numFmtId="0" fontId="42" fillId="20" borderId="10" applyNumberFormat="0" applyAlignment="0" applyProtection="0">
      <alignment vertical="center"/>
    </xf>
    <xf numFmtId="0" fontId="43" fillId="21" borderId="15" applyNumberFormat="0" applyAlignment="0" applyProtection="0">
      <alignment vertical="center"/>
    </xf>
    <xf numFmtId="0" fontId="29" fillId="22" borderId="0" applyNumberFormat="0" applyBorder="0" applyAlignment="0" applyProtection="0">
      <alignment vertical="center"/>
    </xf>
    <xf numFmtId="0" fontId="32" fillId="23" borderId="0" applyNumberFormat="0" applyBorder="0" applyAlignment="0" applyProtection="0">
      <alignment vertical="center"/>
    </xf>
    <xf numFmtId="0" fontId="44" fillId="0" borderId="16" applyNumberFormat="0" applyFill="0" applyAlignment="0" applyProtection="0">
      <alignment vertical="center"/>
    </xf>
    <xf numFmtId="0" fontId="45" fillId="0" borderId="17" applyNumberFormat="0" applyFill="0" applyAlignment="0" applyProtection="0">
      <alignment vertical="center"/>
    </xf>
    <xf numFmtId="0" fontId="46" fillId="24" borderId="0" applyNumberFormat="0" applyBorder="0" applyAlignment="0" applyProtection="0">
      <alignment vertical="center"/>
    </xf>
    <xf numFmtId="0" fontId="47" fillId="25" borderId="0" applyNumberFormat="0" applyBorder="0" applyAlignment="0" applyProtection="0">
      <alignment vertical="center"/>
    </xf>
    <xf numFmtId="0" fontId="29" fillId="26" borderId="0" applyNumberFormat="0" applyBorder="0" applyAlignment="0" applyProtection="0">
      <alignment vertical="center"/>
    </xf>
    <xf numFmtId="0" fontId="32" fillId="27" borderId="0" applyNumberFormat="0" applyBorder="0" applyAlignment="0" applyProtection="0">
      <alignment vertical="center"/>
    </xf>
    <xf numFmtId="0" fontId="29" fillId="28" borderId="0" applyNumberFormat="0" applyBorder="0" applyAlignment="0" applyProtection="0">
      <alignment vertical="center"/>
    </xf>
    <xf numFmtId="0" fontId="29" fillId="3" borderId="0" applyNumberFormat="0" applyBorder="0" applyAlignment="0" applyProtection="0">
      <alignment vertical="center"/>
    </xf>
    <xf numFmtId="0" fontId="29" fillId="29" borderId="0" applyNumberFormat="0" applyBorder="0" applyAlignment="0" applyProtection="0">
      <alignment vertical="center"/>
    </xf>
    <xf numFmtId="0" fontId="29" fillId="30" borderId="0" applyNumberFormat="0" applyBorder="0" applyAlignment="0" applyProtection="0">
      <alignment vertical="center"/>
    </xf>
    <xf numFmtId="0" fontId="32" fillId="31" borderId="0" applyNumberFormat="0" applyBorder="0" applyAlignment="0" applyProtection="0">
      <alignment vertical="center"/>
    </xf>
    <xf numFmtId="0" fontId="32" fillId="32" borderId="0" applyNumberFormat="0" applyBorder="0" applyAlignment="0" applyProtection="0">
      <alignment vertical="center"/>
    </xf>
    <xf numFmtId="0" fontId="29" fillId="33" borderId="0" applyNumberFormat="0" applyBorder="0" applyAlignment="0" applyProtection="0">
      <alignment vertical="center"/>
    </xf>
    <xf numFmtId="0" fontId="29" fillId="34" borderId="0" applyNumberFormat="0" applyBorder="0" applyAlignment="0" applyProtection="0">
      <alignment vertical="center"/>
    </xf>
    <xf numFmtId="0" fontId="32" fillId="35" borderId="0" applyNumberFormat="0" applyBorder="0" applyAlignment="0" applyProtection="0">
      <alignment vertical="center"/>
    </xf>
    <xf numFmtId="0" fontId="29" fillId="36" borderId="0" applyNumberFormat="0" applyBorder="0" applyAlignment="0" applyProtection="0">
      <alignment vertical="center"/>
    </xf>
    <xf numFmtId="0" fontId="32" fillId="37" borderId="0" applyNumberFormat="0" applyBorder="0" applyAlignment="0" applyProtection="0">
      <alignment vertical="center"/>
    </xf>
    <xf numFmtId="0" fontId="32" fillId="38" borderId="0" applyNumberFormat="0" applyBorder="0" applyAlignment="0" applyProtection="0">
      <alignment vertical="center"/>
    </xf>
    <xf numFmtId="0" fontId="29" fillId="39" borderId="0" applyNumberFormat="0" applyBorder="0" applyAlignment="0" applyProtection="0">
      <alignment vertical="center"/>
    </xf>
    <xf numFmtId="0" fontId="32" fillId="40" borderId="0" applyNumberFormat="0" applyBorder="0" applyAlignment="0" applyProtection="0">
      <alignment vertical="center"/>
    </xf>
  </cellStyleXfs>
  <cellXfs count="90">
    <xf numFmtId="0" fontId="0" fillId="0" borderId="0" xfId="0">
      <alignment vertical="center"/>
    </xf>
    <xf numFmtId="0" fontId="1" fillId="2" borderId="0" xfId="0" applyFont="1" applyFill="1" applyAlignment="1">
      <alignment horizontal="center" vertical="center"/>
    </xf>
    <xf numFmtId="0" fontId="1" fillId="3" borderId="0" xfId="0" applyFont="1" applyFill="1" applyAlignment="1">
      <alignment horizontal="center" vertical="center"/>
    </xf>
    <xf numFmtId="0" fontId="2" fillId="3" borderId="0" xfId="0" applyFont="1" applyFill="1" applyAlignment="1">
      <alignment horizontal="center" vertical="center"/>
    </xf>
    <xf numFmtId="0" fontId="2" fillId="0" borderId="0" xfId="0" applyFont="1" applyFill="1" applyAlignment="1">
      <alignment horizontal="center" vertical="center"/>
    </xf>
    <xf numFmtId="0" fontId="2" fillId="0" borderId="1" xfId="0" applyFont="1" applyFill="1" applyBorder="1" applyAlignment="1">
      <alignment horizontal="left"/>
    </xf>
    <xf numFmtId="0" fontId="0" fillId="3" borderId="0" xfId="0" applyFill="1">
      <alignment vertical="center"/>
    </xf>
    <xf numFmtId="0" fontId="3" fillId="2" borderId="0" xfId="0" applyFont="1" applyFill="1" applyAlignment="1">
      <alignment horizontal="center" vertical="center"/>
    </xf>
    <xf numFmtId="0" fontId="2" fillId="2" borderId="0" xfId="0" applyFont="1" applyFill="1" applyAlignment="1">
      <alignment horizontal="center" vertical="center"/>
    </xf>
    <xf numFmtId="0" fontId="1" fillId="0" borderId="0" xfId="0" applyFont="1" applyFill="1" applyAlignment="1">
      <alignment horizontal="center" vertical="center"/>
    </xf>
    <xf numFmtId="0" fontId="2" fillId="0" borderId="0" xfId="0" applyFont="1" applyFill="1" applyAlignment="1">
      <alignment horizontal="left" wrapText="1"/>
    </xf>
    <xf numFmtId="0" fontId="2" fillId="0" borderId="1" xfId="0" applyFont="1" applyFill="1" applyBorder="1" applyAlignment="1">
      <alignment horizontal="left" wrapText="1"/>
    </xf>
    <xf numFmtId="0" fontId="2" fillId="4" borderId="2" xfId="0" applyFont="1" applyFill="1" applyBorder="1" applyAlignment="1">
      <alignment horizontal="center" vertical="center"/>
    </xf>
    <xf numFmtId="0" fontId="2" fillId="0" borderId="1" xfId="0" applyFont="1" applyFill="1" applyBorder="1" applyAlignment="1">
      <alignment horizontal="center" vertical="center"/>
    </xf>
    <xf numFmtId="0" fontId="4" fillId="0" borderId="0" xfId="0" applyFont="1" applyFill="1" applyAlignment="1">
      <alignment horizontal="center" vertical="center"/>
    </xf>
    <xf numFmtId="0" fontId="5" fillId="5" borderId="1" xfId="0" applyFont="1" applyFill="1" applyBorder="1" applyAlignment="1">
      <alignment horizontal="center" vertical="center"/>
    </xf>
    <xf numFmtId="0" fontId="6" fillId="2" borderId="0" xfId="0" applyFont="1" applyFill="1" applyAlignment="1">
      <alignment horizontal="center" vertical="center"/>
    </xf>
    <xf numFmtId="49" fontId="2" fillId="0" borderId="1" xfId="0" applyNumberFormat="1" applyFont="1" applyFill="1" applyBorder="1" applyAlignment="1">
      <alignment horizontal="center" vertical="center"/>
    </xf>
    <xf numFmtId="0" fontId="1" fillId="0" borderId="0" xfId="0" applyFont="1" applyFill="1" applyAlignment="1">
      <alignment horizontal="center" vertical="center" wrapText="1"/>
    </xf>
    <xf numFmtId="0" fontId="5" fillId="5" borderId="1" xfId="0" applyFont="1" applyFill="1" applyBorder="1" applyAlignment="1">
      <alignment horizontal="center" vertical="center" wrapText="1"/>
    </xf>
    <xf numFmtId="0" fontId="2" fillId="0" borderId="1" xfId="0" applyFont="1" applyFill="1" applyBorder="1" applyAlignment="1">
      <alignment horizontal="center" vertical="center" wrapText="1"/>
    </xf>
    <xf numFmtId="176" fontId="2" fillId="0" borderId="1" xfId="0" applyNumberFormat="1" applyFont="1" applyFill="1" applyBorder="1" applyAlignment="1">
      <alignment horizontal="center" vertical="center"/>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5" fillId="5" borderId="5" xfId="0" applyFont="1" applyFill="1" applyBorder="1" applyAlignment="1">
      <alignment horizontal="center" vertical="center"/>
    </xf>
    <xf numFmtId="0" fontId="5" fillId="5" borderId="6" xfId="0" applyFont="1" applyFill="1" applyBorder="1" applyAlignment="1">
      <alignment horizontal="center" vertical="center"/>
    </xf>
    <xf numFmtId="0" fontId="1" fillId="2" borderId="0" xfId="0" applyNumberFormat="1" applyFont="1" applyFill="1" applyAlignment="1">
      <alignment horizontal="center" vertical="center"/>
    </xf>
    <xf numFmtId="0" fontId="1" fillId="3" borderId="0" xfId="0" applyNumberFormat="1" applyFont="1" applyFill="1" applyAlignment="1">
      <alignment horizontal="center" vertical="center"/>
    </xf>
    <xf numFmtId="0" fontId="2" fillId="3" borderId="0" xfId="0" applyNumberFormat="1" applyFont="1" applyFill="1" applyAlignment="1">
      <alignment horizontal="center" vertical="center"/>
    </xf>
    <xf numFmtId="0" fontId="2" fillId="0" borderId="0" xfId="0" applyNumberFormat="1" applyFont="1" applyFill="1" applyAlignment="1">
      <alignment horizontal="center" vertical="center"/>
    </xf>
    <xf numFmtId="0" fontId="2" fillId="0" borderId="1" xfId="0" applyNumberFormat="1" applyFont="1" applyFill="1" applyBorder="1" applyAlignment="1">
      <alignment horizontal="center" vertical="center"/>
    </xf>
    <xf numFmtId="0" fontId="0" fillId="3" borderId="0" xfId="0" applyNumberFormat="1" applyFill="1">
      <alignment vertical="center"/>
    </xf>
    <xf numFmtId="0" fontId="3" fillId="2" borderId="0" xfId="0" applyNumberFormat="1" applyFont="1" applyFill="1" applyAlignment="1">
      <alignment horizontal="center" vertical="center"/>
    </xf>
    <xf numFmtId="49" fontId="1" fillId="2" borderId="0" xfId="0" applyNumberFormat="1" applyFont="1" applyFill="1" applyAlignment="1">
      <alignment horizontal="center" vertical="center"/>
    </xf>
    <xf numFmtId="49" fontId="1" fillId="3" borderId="0" xfId="0" applyNumberFormat="1" applyFont="1" applyFill="1" applyAlignment="1">
      <alignment horizontal="center" vertical="center"/>
    </xf>
    <xf numFmtId="0" fontId="7" fillId="3" borderId="0" xfId="0" applyFont="1" applyFill="1" applyAlignment="1">
      <alignment horizontal="center" vertical="center"/>
    </xf>
    <xf numFmtId="0" fontId="1" fillId="0" borderId="0" xfId="0" applyNumberFormat="1" applyFont="1" applyFill="1" applyAlignment="1">
      <alignment horizontal="center" vertical="center"/>
    </xf>
    <xf numFmtId="49" fontId="1" fillId="0" borderId="0" xfId="0" applyNumberFormat="1" applyFont="1" applyFill="1" applyAlignment="1">
      <alignment horizontal="center" vertical="center"/>
    </xf>
    <xf numFmtId="49" fontId="5" fillId="5" borderId="1" xfId="0" applyNumberFormat="1" applyFont="1" applyFill="1" applyBorder="1" applyAlignment="1">
      <alignment horizontal="center" vertical="center"/>
    </xf>
    <xf numFmtId="49" fontId="5" fillId="5" borderId="5" xfId="0" applyNumberFormat="1" applyFont="1" applyFill="1" applyBorder="1" applyAlignment="1">
      <alignment horizontal="center" vertical="center"/>
    </xf>
    <xf numFmtId="177" fontId="2" fillId="0" borderId="1" xfId="0" applyNumberFormat="1" applyFont="1" applyFill="1" applyBorder="1" applyAlignment="1">
      <alignment horizontal="center" vertical="center"/>
    </xf>
    <xf numFmtId="0" fontId="5" fillId="5" borderId="7" xfId="0" applyFont="1" applyFill="1" applyBorder="1" applyAlignment="1">
      <alignment horizontal="center" vertical="center"/>
    </xf>
    <xf numFmtId="177" fontId="1" fillId="2" borderId="0" xfId="0" applyNumberFormat="1" applyFont="1" applyFill="1" applyAlignment="1">
      <alignment horizontal="center" vertical="center"/>
    </xf>
    <xf numFmtId="177" fontId="1" fillId="3" borderId="0" xfId="0" applyNumberFormat="1" applyFont="1" applyFill="1" applyAlignment="1">
      <alignment horizontal="center" vertical="center"/>
    </xf>
    <xf numFmtId="177" fontId="1" fillId="0" borderId="0" xfId="0" applyNumberFormat="1" applyFont="1" applyFill="1" applyAlignment="1">
      <alignment horizontal="center" vertical="center"/>
    </xf>
    <xf numFmtId="177" fontId="5" fillId="5" borderId="7" xfId="0" applyNumberFormat="1" applyFont="1" applyFill="1" applyBorder="1" applyAlignment="1">
      <alignment horizontal="center" vertical="center"/>
    </xf>
    <xf numFmtId="0" fontId="8" fillId="3" borderId="0" xfId="0" applyFont="1" applyFill="1" applyAlignment="1">
      <alignment horizontal="center" vertical="center"/>
    </xf>
    <xf numFmtId="0" fontId="2" fillId="6" borderId="0" xfId="0" applyFont="1" applyFill="1" applyBorder="1" applyAlignment="1">
      <alignment horizontal="center" vertical="center"/>
    </xf>
    <xf numFmtId="0" fontId="1" fillId="2" borderId="0" xfId="0" applyFont="1" applyFill="1" applyBorder="1" applyAlignment="1">
      <alignment horizontal="center" vertical="center"/>
    </xf>
    <xf numFmtId="0" fontId="1" fillId="3" borderId="0" xfId="0" applyFont="1" applyFill="1" applyBorder="1" applyAlignment="1">
      <alignment horizontal="center" vertical="center"/>
    </xf>
    <xf numFmtId="0" fontId="1" fillId="6" borderId="0" xfId="0" applyFont="1" applyFill="1" applyBorder="1" applyAlignment="1">
      <alignment horizontal="center" vertical="center"/>
    </xf>
    <xf numFmtId="0" fontId="9" fillId="6" borderId="0" xfId="0" applyFont="1" applyFill="1" applyBorder="1" applyAlignment="1">
      <alignment horizontal="center" vertical="center"/>
    </xf>
    <xf numFmtId="0" fontId="10" fillId="6" borderId="0" xfId="0" applyFont="1" applyFill="1" applyBorder="1" applyAlignment="1">
      <alignment horizontal="center" vertical="center"/>
    </xf>
    <xf numFmtId="0" fontId="11" fillId="6" borderId="0" xfId="0" applyFont="1" applyFill="1" applyBorder="1" applyAlignment="1">
      <alignment horizontal="center" vertical="center"/>
    </xf>
    <xf numFmtId="14" fontId="11" fillId="6" borderId="0" xfId="0" applyNumberFormat="1" applyFont="1" applyFill="1" applyBorder="1" applyAlignment="1">
      <alignment horizontal="center" vertical="center"/>
    </xf>
    <xf numFmtId="0" fontId="5" fillId="5" borderId="8" xfId="0" applyFont="1" applyFill="1" applyBorder="1" applyAlignment="1">
      <alignment horizontal="center" vertical="center"/>
    </xf>
    <xf numFmtId="0" fontId="2" fillId="6" borderId="8" xfId="0" applyFont="1" applyFill="1" applyBorder="1" applyAlignment="1">
      <alignment horizontal="center" vertical="center"/>
    </xf>
    <xf numFmtId="0" fontId="5" fillId="6" borderId="1" xfId="0" applyFont="1" applyFill="1" applyBorder="1" applyAlignment="1">
      <alignment horizontal="center" vertical="center"/>
    </xf>
    <xf numFmtId="178" fontId="5" fillId="6" borderId="1" xfId="0" applyNumberFormat="1" applyFont="1" applyFill="1" applyBorder="1" applyAlignment="1">
      <alignment horizontal="center" vertical="center"/>
    </xf>
    <xf numFmtId="0" fontId="2" fillId="6" borderId="1" xfId="0" applyFont="1" applyFill="1" applyBorder="1" applyAlignment="1">
      <alignment horizontal="center" vertical="center"/>
    </xf>
    <xf numFmtId="0" fontId="1" fillId="6" borderId="9" xfId="0" applyFont="1" applyFill="1" applyBorder="1" applyAlignment="1">
      <alignment horizontal="center" vertical="center"/>
    </xf>
    <xf numFmtId="0" fontId="12" fillId="3" borderId="0" xfId="0" applyFont="1" applyFill="1" applyAlignment="1">
      <alignment horizontal="center" vertical="center"/>
    </xf>
    <xf numFmtId="14" fontId="0" fillId="0" borderId="0" xfId="0" applyNumberFormat="1">
      <alignment vertical="center"/>
    </xf>
    <xf numFmtId="0" fontId="13" fillId="7" borderId="0" xfId="0" applyFont="1" applyFill="1" applyAlignment="1" applyProtection="1">
      <alignment horizontal="left" vertical="center"/>
    </xf>
    <xf numFmtId="0" fontId="14" fillId="8" borderId="0" xfId="0" applyFont="1" applyFill="1" applyAlignment="1" applyProtection="1">
      <alignment vertical="center"/>
    </xf>
    <xf numFmtId="0" fontId="15" fillId="8" borderId="0" xfId="0" applyFont="1" applyFill="1" applyAlignment="1" applyProtection="1">
      <alignment horizontal="left" vertical="center"/>
    </xf>
    <xf numFmtId="0" fontId="15" fillId="6" borderId="0" xfId="0" applyFont="1" applyFill="1" applyAlignment="1" applyProtection="1">
      <alignment horizontal="left" vertical="center"/>
    </xf>
    <xf numFmtId="49" fontId="16" fillId="6" borderId="0" xfId="0" applyNumberFormat="1" applyFont="1" applyFill="1" applyAlignment="1" applyProtection="1">
      <alignment horizontal="right" vertical="center"/>
    </xf>
    <xf numFmtId="0" fontId="17" fillId="6" borderId="0" xfId="0" applyFont="1" applyFill="1" applyAlignment="1" applyProtection="1">
      <alignment horizontal="left" vertical="center"/>
    </xf>
    <xf numFmtId="0" fontId="18" fillId="7" borderId="0" xfId="0" applyFont="1" applyFill="1" applyAlignment="1" applyProtection="1">
      <alignment horizontal="center" vertical="center"/>
    </xf>
    <xf numFmtId="49" fontId="19" fillId="7" borderId="0" xfId="0" applyNumberFormat="1" applyFont="1" applyFill="1" applyAlignment="1" applyProtection="1">
      <alignment horizontal="left" vertical="center"/>
    </xf>
    <xf numFmtId="49" fontId="20" fillId="8" borderId="0" xfId="0" applyNumberFormat="1" applyFont="1" applyFill="1" applyAlignment="1" applyProtection="1">
      <alignment horizontal="right" vertical="center"/>
    </xf>
    <xf numFmtId="49" fontId="20" fillId="6" borderId="0" xfId="0" applyNumberFormat="1" applyFont="1" applyFill="1" applyAlignment="1" applyProtection="1">
      <alignment horizontal="center" vertical="center"/>
    </xf>
    <xf numFmtId="49" fontId="21" fillId="9" borderId="0" xfId="0" applyNumberFormat="1" applyFont="1" applyFill="1" applyAlignment="1" applyProtection="1">
      <alignment horizontal="center" vertical="center" wrapText="1"/>
    </xf>
    <xf numFmtId="0" fontId="22" fillId="9" borderId="0" xfId="0" applyFont="1" applyFill="1" applyAlignment="1" applyProtection="1">
      <alignment horizontal="center" vertical="center" wrapText="1"/>
    </xf>
    <xf numFmtId="179" fontId="23" fillId="9" borderId="0" xfId="0" applyNumberFormat="1" applyFont="1" applyFill="1" applyAlignment="1" applyProtection="1">
      <alignment horizontal="right" vertical="center" indent="1"/>
    </xf>
    <xf numFmtId="0" fontId="24" fillId="9" borderId="0" xfId="0" applyFont="1" applyFill="1" applyAlignment="1" applyProtection="1">
      <alignment horizontal="center" vertical="center" wrapText="1"/>
    </xf>
    <xf numFmtId="49" fontId="22" fillId="9" borderId="0" xfId="0" applyNumberFormat="1" applyFont="1" applyFill="1" applyAlignment="1" applyProtection="1">
      <alignment horizontal="center" vertical="center" wrapText="1"/>
    </xf>
    <xf numFmtId="0" fontId="24" fillId="9" borderId="0" xfId="0" applyFont="1" applyFill="1" applyAlignment="1" applyProtection="1">
      <alignment vertical="center" wrapText="1"/>
    </xf>
    <xf numFmtId="49" fontId="16" fillId="10" borderId="0" xfId="0" applyNumberFormat="1" applyFont="1" applyFill="1" applyAlignment="1" applyProtection="1">
      <alignment horizontal="center" vertical="center" wrapText="1"/>
    </xf>
    <xf numFmtId="0" fontId="25" fillId="10" borderId="0" xfId="0" applyFont="1" applyFill="1" applyAlignment="1" applyProtection="1">
      <alignment horizontal="center" vertical="center" wrapText="1"/>
    </xf>
    <xf numFmtId="0" fontId="17" fillId="10" borderId="0" xfId="0" applyFont="1" applyFill="1" applyAlignment="1" applyProtection="1">
      <alignment horizontal="left" vertical="center"/>
    </xf>
    <xf numFmtId="49" fontId="13" fillId="7" borderId="0" xfId="0" applyNumberFormat="1" applyFont="1" applyFill="1" applyAlignment="1" applyProtection="1">
      <alignment horizontal="left" vertical="center"/>
    </xf>
    <xf numFmtId="0" fontId="26" fillId="3" borderId="0" xfId="0" applyFont="1" applyFill="1" applyAlignment="1">
      <alignment vertical="center"/>
    </xf>
    <xf numFmtId="0" fontId="27" fillId="3" borderId="0" xfId="0" applyFont="1" applyFill="1" applyAlignment="1">
      <alignment vertical="center"/>
    </xf>
    <xf numFmtId="0" fontId="28" fillId="3" borderId="0" xfId="0" applyFont="1" applyFill="1" applyAlignment="1">
      <alignment vertical="center"/>
    </xf>
    <xf numFmtId="0" fontId="28" fillId="3" borderId="0" xfId="0" applyFont="1" applyFill="1" applyBorder="1" applyAlignment="1">
      <alignment vertical="center"/>
    </xf>
    <xf numFmtId="0" fontId="5" fillId="3" borderId="0" xfId="0" applyFont="1" applyFill="1" applyAlignment="1">
      <alignment vertical="center"/>
    </xf>
    <xf numFmtId="0" fontId="5" fillId="3" borderId="0" xfId="0" applyFont="1" applyFill="1" applyBorder="1" applyAlignment="1">
      <alignment vertical="center"/>
    </xf>
    <xf numFmtId="0" fontId="26" fillId="3"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ill>
        <patternFill patternType="solid">
          <bgColor theme="5" tint="0.8"/>
        </patternFill>
      </fill>
    </dxf>
    <dxf>
      <fill>
        <patternFill patternType="solid">
          <bgColor theme="7" tint="0.5999938962981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microsoft.com/office/2006/relationships/vbaProject" Target="vbaProject.bin"/><Relationship Id="rId21" Type="http://schemas.openxmlformats.org/officeDocument/2006/relationships/sharedStrings" Target="sharedStrings.xml"/><Relationship Id="rId20" Type="http://schemas.openxmlformats.org/officeDocument/2006/relationships/styles" Target="style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vmlDrawing6.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9</xdr:col>
      <xdr:colOff>266065</xdr:colOff>
      <xdr:row>0</xdr:row>
      <xdr:rowOff>0</xdr:rowOff>
    </xdr:from>
    <xdr:to>
      <xdr:col>40</xdr:col>
      <xdr:colOff>133350</xdr:colOff>
      <xdr:row>23</xdr:row>
      <xdr:rowOff>77470</xdr:rowOff>
    </xdr:to>
    <xdr:sp>
      <xdr:nvSpPr>
        <xdr:cNvPr id="9" name="同侧圆角矩形 30"/>
        <xdr:cNvSpPr/>
      </xdr:nvSpPr>
      <xdr:spPr>
        <a:xfrm rot="5400000" flipH="1">
          <a:off x="4431030" y="-1678940"/>
          <a:ext cx="5072380" cy="843026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4445</xdr:colOff>
      <xdr:row>0</xdr:row>
      <xdr:rowOff>0</xdr:rowOff>
    </xdr:from>
    <xdr:to>
      <xdr:col>9</xdr:col>
      <xdr:colOff>257175</xdr:colOff>
      <xdr:row>23</xdr:row>
      <xdr:rowOff>76835</xdr:rowOff>
    </xdr:to>
    <xdr:sp>
      <xdr:nvSpPr>
        <xdr:cNvPr id="25" name="同侧圆角矩形 32"/>
        <xdr:cNvSpPr/>
      </xdr:nvSpPr>
      <xdr:spPr>
        <a:xfrm rot="16200000">
          <a:off x="-1162050" y="1166495"/>
          <a:ext cx="5071745" cy="2738755"/>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32</xdr:col>
      <xdr:colOff>134620</xdr:colOff>
      <xdr:row>9</xdr:row>
      <xdr:rowOff>93980</xdr:rowOff>
    </xdr:from>
    <xdr:to>
      <xdr:col>38</xdr:col>
      <xdr:colOff>106874</xdr:colOff>
      <xdr:row>13</xdr:row>
      <xdr:rowOff>26670</xdr:rowOff>
    </xdr:to>
    <xdr:sp macro="[0]!asht10">
      <xdr:nvSpPr>
        <xdr:cNvPr id="27" name="圆角矩形 14"/>
        <xdr:cNvSpPr/>
      </xdr:nvSpPr>
      <xdr:spPr>
        <a:xfrm>
          <a:off x="8973820" y="204851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客户资料</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14</xdr:row>
      <xdr:rowOff>170180</xdr:rowOff>
    </xdr:from>
    <xdr:to>
      <xdr:col>16</xdr:col>
      <xdr:colOff>259274</xdr:colOff>
      <xdr:row>18</xdr:row>
      <xdr:rowOff>102870</xdr:rowOff>
    </xdr:to>
    <xdr:sp macro="[0]!asht11">
      <xdr:nvSpPr>
        <xdr:cNvPr id="28" name="圆角矩形 16"/>
        <xdr:cNvSpPr/>
      </xdr:nvSpPr>
      <xdr:spPr>
        <a:xfrm>
          <a:off x="304927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供应商资料</a:t>
          </a:r>
          <a:endParaRPr lang="zh-CN" altLang="en-US" sz="1600" b="1">
            <a:latin typeface="微软雅黑" panose="020B0503020204020204" charset="-122"/>
            <a:ea typeface="微软雅黑" panose="020B0503020204020204" charset="-122"/>
          </a:endParaRPr>
        </a:p>
      </xdr:txBody>
    </xdr:sp>
    <xdr:clientData/>
  </xdr:twoCellAnchor>
  <xdr:twoCellAnchor>
    <xdr:from>
      <xdr:col>18</xdr:col>
      <xdr:colOff>52217</xdr:colOff>
      <xdr:row>9</xdr:row>
      <xdr:rowOff>93980</xdr:rowOff>
    </xdr:from>
    <xdr:to>
      <xdr:col>24</xdr:col>
      <xdr:colOff>24471</xdr:colOff>
      <xdr:row>13</xdr:row>
      <xdr:rowOff>26670</xdr:rowOff>
    </xdr:to>
    <xdr:sp macro="[0]!asht8">
      <xdr:nvSpPr>
        <xdr:cNvPr id="29" name="圆角矩形 4"/>
        <xdr:cNvSpPr/>
      </xdr:nvSpPr>
      <xdr:spPr>
        <a:xfrm>
          <a:off x="5024120" y="204851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进出查询</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93639</xdr:colOff>
      <xdr:row>9</xdr:row>
      <xdr:rowOff>93980</xdr:rowOff>
    </xdr:from>
    <xdr:to>
      <xdr:col>31</xdr:col>
      <xdr:colOff>65893</xdr:colOff>
      <xdr:row>13</xdr:row>
      <xdr:rowOff>26670</xdr:rowOff>
    </xdr:to>
    <xdr:sp macro="[0]!asht9">
      <xdr:nvSpPr>
        <xdr:cNvPr id="30" name="圆角矩形 8"/>
        <xdr:cNvSpPr/>
      </xdr:nvSpPr>
      <xdr:spPr>
        <a:xfrm>
          <a:off x="6998970" y="204851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基础资料</a:t>
          </a:r>
          <a:endParaRPr lang="zh-CN" altLang="en-US" sz="1600" b="1">
            <a:latin typeface="微软雅黑" panose="020B0503020204020204" charset="-122"/>
            <a:ea typeface="微软雅黑" panose="020B0503020204020204" charset="-122"/>
          </a:endParaRPr>
        </a:p>
      </xdr:txBody>
    </xdr:sp>
    <xdr:clientData/>
  </xdr:twoCellAnchor>
  <xdr:twoCellAnchor>
    <xdr:from>
      <xdr:col>34</xdr:col>
      <xdr:colOff>142875</xdr:colOff>
      <xdr:row>20</xdr:row>
      <xdr:rowOff>172085</xdr:rowOff>
    </xdr:from>
    <xdr:to>
      <xdr:col>39</xdr:col>
      <xdr:colOff>218440</xdr:colOff>
      <xdr:row>22</xdr:row>
      <xdr:rowOff>189865</xdr:rowOff>
    </xdr:to>
    <xdr:sp>
      <xdr:nvSpPr>
        <xdr:cNvPr id="31" name="圆角矩形 24">
          <a:hlinkClick xmlns:r="http://schemas.openxmlformats.org/officeDocument/2006/relationships" r:id="rId1"/>
        </xdr:cNvPr>
        <xdr:cNvSpPr/>
      </xdr:nvSpPr>
      <xdr:spPr>
        <a:xfrm>
          <a:off x="953452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10795</xdr:colOff>
      <xdr:row>4</xdr:row>
      <xdr:rowOff>19050</xdr:rowOff>
    </xdr:from>
    <xdr:to>
      <xdr:col>16</xdr:col>
      <xdr:colOff>259274</xdr:colOff>
      <xdr:row>7</xdr:row>
      <xdr:rowOff>140970</xdr:rowOff>
    </xdr:to>
    <xdr:sp macro="[0]!asht4">
      <xdr:nvSpPr>
        <xdr:cNvPr id="33" name="圆角矩形 3"/>
        <xdr:cNvSpPr/>
      </xdr:nvSpPr>
      <xdr:spPr>
        <a:xfrm>
          <a:off x="30492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入库</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93639</xdr:colOff>
      <xdr:row>4</xdr:row>
      <xdr:rowOff>19050</xdr:rowOff>
    </xdr:from>
    <xdr:to>
      <xdr:col>31</xdr:col>
      <xdr:colOff>65893</xdr:colOff>
      <xdr:row>7</xdr:row>
      <xdr:rowOff>140970</xdr:rowOff>
    </xdr:to>
    <xdr:sp macro="[0]!asht5">
      <xdr:nvSpPr>
        <xdr:cNvPr id="34" name="圆角矩形 7"/>
        <xdr:cNvSpPr/>
      </xdr:nvSpPr>
      <xdr:spPr>
        <a:xfrm>
          <a:off x="69989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期初数</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135061</xdr:colOff>
      <xdr:row>4</xdr:row>
      <xdr:rowOff>19050</xdr:rowOff>
    </xdr:from>
    <xdr:to>
      <xdr:col>38</xdr:col>
      <xdr:colOff>107315</xdr:colOff>
      <xdr:row>7</xdr:row>
      <xdr:rowOff>140970</xdr:rowOff>
    </xdr:to>
    <xdr:sp macro="[0]!asht6">
      <xdr:nvSpPr>
        <xdr:cNvPr id="35" name="圆角矩形 13"/>
        <xdr:cNvSpPr/>
      </xdr:nvSpPr>
      <xdr:spPr>
        <a:xfrm>
          <a:off x="8973820" y="887730"/>
          <a:ext cx="1630045"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明细</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9</xdr:row>
      <xdr:rowOff>93980</xdr:rowOff>
    </xdr:from>
    <xdr:to>
      <xdr:col>16</xdr:col>
      <xdr:colOff>259274</xdr:colOff>
      <xdr:row>13</xdr:row>
      <xdr:rowOff>6350</xdr:rowOff>
    </xdr:to>
    <xdr:sp macro="[0]!asht7">
      <xdr:nvSpPr>
        <xdr:cNvPr id="36" name="圆角矩形 15"/>
        <xdr:cNvSpPr/>
      </xdr:nvSpPr>
      <xdr:spPr>
        <a:xfrm>
          <a:off x="3049270" y="2048510"/>
          <a:ext cx="1629410" cy="78105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进销存</a:t>
          </a:r>
          <a:endParaRPr lang="zh-CN" altLang="en-US" sz="1600" b="1">
            <a:latin typeface="微软雅黑" panose="020B0503020204020204" charset="-122"/>
            <a:ea typeface="微软雅黑" panose="020B0503020204020204" charset="-122"/>
          </a:endParaRPr>
        </a:p>
      </xdr:txBody>
    </xdr:sp>
    <xdr:clientData/>
  </xdr:twoCellAnchor>
  <xdr:twoCellAnchor>
    <xdr:from>
      <xdr:col>2</xdr:col>
      <xdr:colOff>28575</xdr:colOff>
      <xdr:row>0</xdr:row>
      <xdr:rowOff>21590</xdr:rowOff>
    </xdr:from>
    <xdr:to>
      <xdr:col>9</xdr:col>
      <xdr:colOff>93980</xdr:colOff>
      <xdr:row>23</xdr:row>
      <xdr:rowOff>73660</xdr:rowOff>
    </xdr:to>
    <xdr:sp>
      <xdr:nvSpPr>
        <xdr:cNvPr id="37" name="文本框 35"/>
        <xdr:cNvSpPr txBox="1"/>
      </xdr:nvSpPr>
      <xdr:spPr>
        <a:xfrm>
          <a:off x="581025" y="21590"/>
          <a:ext cx="1998980" cy="504698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进销存系统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0</xdr:col>
      <xdr:colOff>210185</xdr:colOff>
      <xdr:row>2</xdr:row>
      <xdr:rowOff>145415</xdr:rowOff>
    </xdr:from>
    <xdr:to>
      <xdr:col>2</xdr:col>
      <xdr:colOff>116840</xdr:colOff>
      <xdr:row>21</xdr:row>
      <xdr:rowOff>71120</xdr:rowOff>
    </xdr:to>
    <xdr:sp>
      <xdr:nvSpPr>
        <xdr:cNvPr id="38" name="文本框 37"/>
        <xdr:cNvSpPr txBox="1"/>
      </xdr:nvSpPr>
      <xdr:spPr>
        <a:xfrm>
          <a:off x="210185" y="579755"/>
          <a:ext cx="459105" cy="405193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Purchase-sale-storage System</a:t>
          </a:r>
          <a:endParaRPr lang="en-US" altLang="zh-CN" sz="2000">
            <a:solidFill>
              <a:schemeClr val="bg1"/>
            </a:solidFill>
            <a:latin typeface="微软雅黑" panose="020B0503020204020204" charset="-122"/>
            <a:ea typeface="微软雅黑" panose="020B0503020204020204" charset="-122"/>
          </a:endParaRPr>
        </a:p>
      </xdr:txBody>
    </xdr:sp>
    <xdr:clientData/>
  </xdr:twoCellAnchor>
  <xdr:twoCellAnchor>
    <xdr:from>
      <xdr:col>33</xdr:col>
      <xdr:colOff>96520</xdr:colOff>
      <xdr:row>0</xdr:row>
      <xdr:rowOff>106680</xdr:rowOff>
    </xdr:from>
    <xdr:to>
      <xdr:col>39</xdr:col>
      <xdr:colOff>46990</xdr:colOff>
      <xdr:row>2</xdr:row>
      <xdr:rowOff>127000</xdr:rowOff>
    </xdr:to>
    <xdr:sp>
      <xdr:nvSpPr>
        <xdr:cNvPr id="39" name="矩形 65"/>
        <xdr:cNvSpPr/>
      </xdr:nvSpPr>
      <xdr:spPr>
        <a:xfrm>
          <a:off x="9211945" y="106680"/>
          <a:ext cx="1607820" cy="454660"/>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twoCellAnchor>
    <xdr:from>
      <xdr:col>18</xdr:col>
      <xdr:colOff>52261</xdr:colOff>
      <xdr:row>14</xdr:row>
      <xdr:rowOff>170180</xdr:rowOff>
    </xdr:from>
    <xdr:to>
      <xdr:col>24</xdr:col>
      <xdr:colOff>24427</xdr:colOff>
      <xdr:row>18</xdr:row>
      <xdr:rowOff>102870</xdr:rowOff>
    </xdr:to>
    <xdr:sp macro="[0]!asht12">
      <xdr:nvSpPr>
        <xdr:cNvPr id="5" name="圆角矩形 4"/>
        <xdr:cNvSpPr/>
      </xdr:nvSpPr>
      <xdr:spPr>
        <a:xfrm>
          <a:off x="502412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笔记</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93345</xdr:colOff>
      <xdr:row>14</xdr:row>
      <xdr:rowOff>170180</xdr:rowOff>
    </xdr:from>
    <xdr:to>
      <xdr:col>31</xdr:col>
      <xdr:colOff>65511</xdr:colOff>
      <xdr:row>18</xdr:row>
      <xdr:rowOff>102870</xdr:rowOff>
    </xdr:to>
    <xdr:sp macro="[0]!asht13">
      <xdr:nvSpPr>
        <xdr:cNvPr id="6" name="圆角矩形 8"/>
        <xdr:cNvSpPr/>
      </xdr:nvSpPr>
      <xdr:spPr>
        <a:xfrm>
          <a:off x="699897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115570</xdr:colOff>
      <xdr:row>20</xdr:row>
      <xdr:rowOff>172085</xdr:rowOff>
    </xdr:from>
    <xdr:to>
      <xdr:col>16</xdr:col>
      <xdr:colOff>190500</xdr:colOff>
      <xdr:row>22</xdr:row>
      <xdr:rowOff>189865</xdr:rowOff>
    </xdr:to>
    <xdr:sp macro="[0]!denglu_show">
      <xdr:nvSpPr>
        <xdr:cNvPr id="3" name="圆角矩形 24"/>
        <xdr:cNvSpPr/>
      </xdr:nvSpPr>
      <xdr:spPr>
        <a:xfrm>
          <a:off x="3154045" y="4515485"/>
          <a:ext cx="1456055"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107315</xdr:colOff>
      <xdr:row>20</xdr:row>
      <xdr:rowOff>172085</xdr:rowOff>
    </xdr:from>
    <xdr:to>
      <xdr:col>23</xdr:col>
      <xdr:colOff>182880</xdr:colOff>
      <xdr:row>22</xdr:row>
      <xdr:rowOff>189865</xdr:rowOff>
    </xdr:to>
    <xdr:sp macro="[0]!xiugaimima_show">
      <xdr:nvSpPr>
        <xdr:cNvPr id="4" name="圆角矩形 24"/>
        <xdr:cNvSpPr/>
      </xdr:nvSpPr>
      <xdr:spPr>
        <a:xfrm>
          <a:off x="507936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修改密码</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52217</xdr:colOff>
      <xdr:row>4</xdr:row>
      <xdr:rowOff>19050</xdr:rowOff>
    </xdr:from>
    <xdr:to>
      <xdr:col>24</xdr:col>
      <xdr:colOff>24471</xdr:colOff>
      <xdr:row>7</xdr:row>
      <xdr:rowOff>140970</xdr:rowOff>
    </xdr:to>
    <xdr:sp macro="[0]!asht14">
      <xdr:nvSpPr>
        <xdr:cNvPr id="23" name="圆角矩形 3"/>
        <xdr:cNvSpPr/>
      </xdr:nvSpPr>
      <xdr:spPr>
        <a:xfrm>
          <a:off x="502412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出库</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134620</xdr:colOff>
      <xdr:row>14</xdr:row>
      <xdr:rowOff>170180</xdr:rowOff>
    </xdr:from>
    <xdr:to>
      <xdr:col>38</xdr:col>
      <xdr:colOff>106680</xdr:colOff>
      <xdr:row>18</xdr:row>
      <xdr:rowOff>102870</xdr:rowOff>
    </xdr:to>
    <xdr:sp macro="[0]!asht18">
      <xdr:nvSpPr>
        <xdr:cNvPr id="2" name="圆角矩形 8"/>
        <xdr:cNvSpPr/>
      </xdr:nvSpPr>
      <xdr:spPr>
        <a:xfrm>
          <a:off x="897382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二维码打印</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219710</xdr:rowOff>
    </xdr:to>
    <xdr:sp>
      <xdr:nvSpPr>
        <xdr:cNvPr id="4" name="文本框 3">
          <a:hlinkClick xmlns:r="http://schemas.openxmlformats.org/officeDocument/2006/relationships" r:id="rId1"/>
        </xdr:cNvPr>
        <xdr:cNvSpPr txBox="1"/>
      </xdr:nvSpPr>
      <xdr:spPr>
        <a:xfrm>
          <a:off x="9772650" y="912495"/>
          <a:ext cx="2181225" cy="435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11</xdr:col>
      <xdr:colOff>171450</xdr:colOff>
      <xdr:row>0</xdr:row>
      <xdr:rowOff>180975</xdr:rowOff>
    </xdr:from>
    <xdr:to>
      <xdr:col>11</xdr:col>
      <xdr:colOff>466725</xdr:colOff>
      <xdr:row>0</xdr:row>
      <xdr:rowOff>659765</xdr:rowOff>
    </xdr:to>
    <xdr:sp>
      <xdr:nvSpPr>
        <xdr:cNvPr id="7" name="下箭头 6"/>
        <xdr:cNvSpPr/>
      </xdr:nvSpPr>
      <xdr:spPr>
        <a:xfrm>
          <a:off x="10753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11</xdr:col>
      <xdr:colOff>581025</xdr:colOff>
      <xdr:row>0</xdr:row>
      <xdr:rowOff>180975</xdr:rowOff>
    </xdr:from>
    <xdr:to>
      <xdr:col>12</xdr:col>
      <xdr:colOff>190500</xdr:colOff>
      <xdr:row>0</xdr:row>
      <xdr:rowOff>659765</xdr:rowOff>
    </xdr:to>
    <xdr:sp>
      <xdr:nvSpPr>
        <xdr:cNvPr id="8" name="下箭头 7"/>
        <xdr:cNvSpPr/>
      </xdr:nvSpPr>
      <xdr:spPr>
        <a:xfrm>
          <a:off x="11163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10</xdr:col>
      <xdr:colOff>447675</xdr:colOff>
      <xdr:row>0</xdr:row>
      <xdr:rowOff>180975</xdr:rowOff>
    </xdr:from>
    <xdr:to>
      <xdr:col>11</xdr:col>
      <xdr:colOff>57150</xdr:colOff>
      <xdr:row>0</xdr:row>
      <xdr:rowOff>659765</xdr:rowOff>
    </xdr:to>
    <xdr:sp>
      <xdr:nvSpPr>
        <xdr:cNvPr id="9" name="下箭头 8"/>
        <xdr:cNvSpPr/>
      </xdr:nvSpPr>
      <xdr:spPr>
        <a:xfrm>
          <a:off x="10344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04">
      <xdr:nvSpPr>
        <xdr:cNvPr id="9" name="圆角矩形 8"/>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ruku">
      <xdr:nvSpPr>
        <xdr:cNvPr id="10" name="圆角矩形 9"/>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04_show">
      <xdr:nvSpPr>
        <xdr:cNvPr id="5" name="圆角矩形 4"/>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17</xdr:col>
      <xdr:colOff>560705</xdr:colOff>
      <xdr:row>0</xdr:row>
      <xdr:rowOff>624205</xdr:rowOff>
    </xdr:to>
    <xdr:sp>
      <xdr:nvSpPr>
        <xdr:cNvPr id="6"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11" name="3"/>
        <xdr:cNvSpPr/>
      </xdr:nvSpPr>
      <xdr:spPr>
        <a:xfrm>
          <a:off x="288480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12"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3"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4"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5"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6"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7"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8"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20"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21"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22" name="文本框 21"/>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23"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24"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5"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6"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7"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r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17</xdr:col>
      <xdr:colOff>46355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14">
      <xdr:nvSpPr>
        <xdr:cNvPr id="22" name="圆角矩形 2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chuku">
      <xdr:nvSpPr>
        <xdr:cNvPr id="23" name="圆角矩形 2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14_show">
      <xdr:nvSpPr>
        <xdr:cNvPr id="2" name="圆角矩形 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17</xdr:col>
      <xdr:colOff>560705</xdr:colOff>
      <xdr:row>0</xdr:row>
      <xdr:rowOff>624205</xdr:rowOff>
    </xdr:to>
    <xdr:sp>
      <xdr:nvSpPr>
        <xdr:cNvPr id="3"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28" name="5"/>
        <xdr:cNvSpPr/>
      </xdr:nvSpPr>
      <xdr:spPr>
        <a:xfrm>
          <a:off x="459422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3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ch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17</xdr:col>
      <xdr:colOff>46355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3</xdr:col>
      <xdr:colOff>1028700</xdr:colOff>
      <xdr:row>1</xdr:row>
      <xdr:rowOff>441325</xdr:rowOff>
    </xdr:to>
    <xdr:sp macro="[0]!select05">
      <xdr:nvSpPr>
        <xdr:cNvPr id="35" name="圆角矩形 34"/>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139700</xdr:colOff>
      <xdr:row>1</xdr:row>
      <xdr:rowOff>50800</xdr:rowOff>
    </xdr:from>
    <xdr:to>
      <xdr:col>4</xdr:col>
      <xdr:colOff>1206500</xdr:colOff>
      <xdr:row>1</xdr:row>
      <xdr:rowOff>441325</xdr:rowOff>
    </xdr:to>
    <xdr:sp macro="[0]!save05">
      <xdr:nvSpPr>
        <xdr:cNvPr id="36" name="圆角矩形 35"/>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xdr:twoCellAnchor>
  <xdr:twoCellAnchor editAs="absolute">
    <xdr:from>
      <xdr:col>5</xdr:col>
      <xdr:colOff>279400</xdr:colOff>
      <xdr:row>1</xdr:row>
      <xdr:rowOff>50800</xdr:rowOff>
    </xdr:from>
    <xdr:to>
      <xdr:col>6</xdr:col>
      <xdr:colOff>60325</xdr:colOff>
      <xdr:row>1</xdr:row>
      <xdr:rowOff>441325</xdr:rowOff>
    </xdr:to>
    <xdr:sp macro="[0]!PLSC_id">
      <xdr:nvSpPr>
        <xdr:cNvPr id="37" name="圆角矩形 36"/>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xdr:twoCellAnchor>
  <xdr:twoCellAnchor editAs="absolute">
    <xdr:from>
      <xdr:col>6</xdr:col>
      <xdr:colOff>381000</xdr:colOff>
      <xdr:row>1</xdr:row>
      <xdr:rowOff>50800</xdr:rowOff>
    </xdr:from>
    <xdr:to>
      <xdr:col>7</xdr:col>
      <xdr:colOff>161925</xdr:colOff>
      <xdr:row>1</xdr:row>
      <xdr:rowOff>441325</xdr:rowOff>
    </xdr:to>
    <xdr:sp macro="[0]!query_05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20</xdr:col>
      <xdr:colOff>474980</xdr:colOff>
      <xdr:row>0</xdr:row>
      <xdr:rowOff>624205</xdr:rowOff>
    </xdr:to>
    <xdr:sp>
      <xdr:nvSpPr>
        <xdr:cNvPr id="20"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7" name="7"/>
        <xdr:cNvSpPr/>
      </xdr:nvSpPr>
      <xdr:spPr>
        <a:xfrm>
          <a:off x="630364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期初数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12</xdr:col>
      <xdr:colOff>670560</xdr:colOff>
      <xdr:row>0</xdr:row>
      <xdr:rowOff>557530</xdr:rowOff>
    </xdr:to>
    <xdr:sp macro="[0]!asht15">
      <xdr:nvSpPr>
        <xdr:cNvPr id="31"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24130</xdr:colOff>
      <xdr:row>0</xdr:row>
      <xdr:rowOff>203200</xdr:rowOff>
    </xdr:from>
    <xdr:to>
      <xdr:col>14</xdr:col>
      <xdr:colOff>156210</xdr:colOff>
      <xdr:row>0</xdr:row>
      <xdr:rowOff>557530</xdr:rowOff>
    </xdr:to>
    <xdr:sp macro="[0]!asht9">
      <xdr:nvSpPr>
        <xdr:cNvPr id="32"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3" name="文本框 32"/>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期初数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195580</xdr:colOff>
      <xdr:row>0</xdr:row>
      <xdr:rowOff>203200</xdr:rowOff>
    </xdr:from>
    <xdr:to>
      <xdr:col>15</xdr:col>
      <xdr:colOff>327660</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367030</xdr:colOff>
      <xdr:row>0</xdr:row>
      <xdr:rowOff>203200</xdr:rowOff>
    </xdr:from>
    <xdr:to>
      <xdr:col>16</xdr:col>
      <xdr:colOff>499110</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538480</xdr:colOff>
      <xdr:row>0</xdr:row>
      <xdr:rowOff>203200</xdr:rowOff>
    </xdr:from>
    <xdr:to>
      <xdr:col>17</xdr:col>
      <xdr:colOff>670560</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24130</xdr:colOff>
      <xdr:row>0</xdr:row>
      <xdr:rowOff>203200</xdr:rowOff>
    </xdr:from>
    <xdr:to>
      <xdr:col>19</xdr:col>
      <xdr:colOff>156210</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195580</xdr:colOff>
      <xdr:row>0</xdr:row>
      <xdr:rowOff>203200</xdr:rowOff>
    </xdr:from>
    <xdr:to>
      <xdr:col>20</xdr:col>
      <xdr:colOff>327660</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6">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130810</xdr:colOff>
      <xdr:row>1</xdr:row>
      <xdr:rowOff>50800</xdr:rowOff>
    </xdr:from>
    <xdr:to>
      <xdr:col>4</xdr:col>
      <xdr:colOff>1197610</xdr:colOff>
      <xdr:row>1</xdr:row>
      <xdr:rowOff>441325</xdr:rowOff>
    </xdr:to>
    <xdr:sp macro="[0]!PLSC_id">
      <xdr:nvSpPr>
        <xdr:cNvPr id="22" name="圆角矩形 21"/>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261620</xdr:colOff>
      <xdr:row>1</xdr:row>
      <xdr:rowOff>50800</xdr:rowOff>
    </xdr:from>
    <xdr:to>
      <xdr:col>6</xdr:col>
      <xdr:colOff>42545</xdr:colOff>
      <xdr:row>1</xdr:row>
      <xdr:rowOff>441325</xdr:rowOff>
    </xdr:to>
    <xdr:sp macro="[0]!select06_query">
      <xdr:nvSpPr>
        <xdr:cNvPr id="23" name="圆角矩形 22"/>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392430</xdr:colOff>
      <xdr:row>1</xdr:row>
      <xdr:rowOff>50800</xdr:rowOff>
    </xdr:from>
    <xdr:to>
      <xdr:col>7</xdr:col>
      <xdr:colOff>173355</xdr:colOff>
      <xdr:row>1</xdr:row>
      <xdr:rowOff>441325</xdr:rowOff>
    </xdr:to>
    <xdr:sp macro="[0]!save06">
      <xdr:nvSpPr>
        <xdr:cNvPr id="24" name="圆角矩形 23"/>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523240</xdr:colOff>
      <xdr:row>1</xdr:row>
      <xdr:rowOff>50800</xdr:rowOff>
    </xdr:from>
    <xdr:to>
      <xdr:col>8</xdr:col>
      <xdr:colOff>304165</xdr:colOff>
      <xdr:row>1</xdr:row>
      <xdr:rowOff>441325</xdr:rowOff>
    </xdr:to>
    <xdr:sp macro="[0]!baocun_show">
      <xdr:nvSpPr>
        <xdr:cNvPr id="25" name="圆角矩形 24"/>
        <xdr:cNvSpPr/>
      </xdr:nvSpPr>
      <xdr:spPr>
        <a:xfrm>
          <a:off x="627634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17</xdr:col>
      <xdr:colOff>132080</xdr:colOff>
      <xdr:row>0</xdr:row>
      <xdr:rowOff>624205</xdr:rowOff>
    </xdr:to>
    <xdr:sp>
      <xdr:nvSpPr>
        <xdr:cNvPr id="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3" name="8"/>
        <xdr:cNvSpPr/>
      </xdr:nvSpPr>
      <xdr:spPr>
        <a:xfrm>
          <a:off x="715835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明细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明细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16</xdr:col>
      <xdr:colOff>670560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714375</xdr:colOff>
      <xdr:row>1</xdr:row>
      <xdr:rowOff>50800</xdr:rowOff>
    </xdr:from>
    <xdr:to>
      <xdr:col>9</xdr:col>
      <xdr:colOff>637540</xdr:colOff>
      <xdr:row>1</xdr:row>
      <xdr:rowOff>441325</xdr:rowOff>
    </xdr:to>
    <xdr:sp macro="[0]!qrcode06">
      <xdr:nvSpPr>
        <xdr:cNvPr id="3" name="圆角矩形 2"/>
        <xdr:cNvSpPr/>
      </xdr:nvSpPr>
      <xdr:spPr>
        <a:xfrm>
          <a:off x="7753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9</xdr:col>
      <xdr:colOff>1095375</xdr:colOff>
      <xdr:row>1</xdr:row>
      <xdr:rowOff>50800</xdr:rowOff>
    </xdr:from>
    <xdr:to>
      <xdr:col>10</xdr:col>
      <xdr:colOff>1018540</xdr:colOff>
      <xdr:row>1</xdr:row>
      <xdr:rowOff>441325</xdr:rowOff>
    </xdr:to>
    <xdr:sp macro="[0]!barcode06">
      <xdr:nvSpPr>
        <xdr:cNvPr id="4" name="圆角矩形 3"/>
        <xdr:cNvSpPr/>
      </xdr:nvSpPr>
      <xdr:spPr>
        <a:xfrm>
          <a:off x="942022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7">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95250</xdr:colOff>
      <xdr:row>1</xdr:row>
      <xdr:rowOff>50800</xdr:rowOff>
    </xdr:from>
    <xdr:to>
      <xdr:col>4</xdr:col>
      <xdr:colOff>1162050</xdr:colOff>
      <xdr:row>1</xdr:row>
      <xdr:rowOff>441325</xdr:rowOff>
    </xdr:to>
    <xdr:sp macro="[0]!select07_query">
      <xdr:nvSpPr>
        <xdr:cNvPr id="21" name="圆角矩形 20"/>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190500</xdr:colOff>
      <xdr:row>1</xdr:row>
      <xdr:rowOff>50800</xdr:rowOff>
    </xdr:from>
    <xdr:to>
      <xdr:col>5</xdr:col>
      <xdr:colOff>1257300</xdr:colOff>
      <xdr:row>1</xdr:row>
      <xdr:rowOff>441325</xdr:rowOff>
    </xdr:to>
    <xdr:sp macro="[0]!baocun_show">
      <xdr:nvSpPr>
        <xdr:cNvPr id="22" name="圆角矩形 2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14</xdr:col>
      <xdr:colOff>1075055</xdr:colOff>
      <xdr:row>0</xdr:row>
      <xdr:rowOff>624205</xdr:rowOff>
    </xdr:to>
    <xdr:sp>
      <xdr:nvSpPr>
        <xdr:cNvPr id="23"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2" name="9"/>
        <xdr:cNvSpPr/>
      </xdr:nvSpPr>
      <xdr:spPr>
        <a:xfrm>
          <a:off x="801306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进销存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进销存</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14</xdr:col>
      <xdr:colOff>927735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kehu_query">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客户查询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21" name="圆角矩形 20"/>
        <xdr:cNvSpPr/>
      </xdr:nvSpPr>
      <xdr:spPr>
        <a:xfrm>
          <a:off x="18954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20</xdr:col>
      <xdr:colOff>389255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10</xdr:col>
      <xdr:colOff>247015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286385</xdr:colOff>
      <xdr:row>0</xdr:row>
      <xdr:rowOff>203200</xdr:rowOff>
    </xdr:from>
    <xdr:to>
      <xdr:col>11</xdr:col>
      <xdr:colOff>415925</xdr:colOff>
      <xdr:row>0</xdr:row>
      <xdr:rowOff>557530</xdr:rowOff>
    </xdr:to>
    <xdr:sp macro="[0]!asht8">
      <xdr:nvSpPr>
        <xdr:cNvPr id="32" name="10"/>
        <xdr:cNvSpPr/>
      </xdr:nvSpPr>
      <xdr:spPr>
        <a:xfrm>
          <a:off x="886841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客户\供应商</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455295</xdr:colOff>
      <xdr:row>0</xdr:row>
      <xdr:rowOff>203200</xdr:rowOff>
    </xdr:from>
    <xdr:to>
      <xdr:col>12</xdr:col>
      <xdr:colOff>584835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624205</xdr:colOff>
      <xdr:row>0</xdr:row>
      <xdr:rowOff>203200</xdr:rowOff>
    </xdr:from>
    <xdr:to>
      <xdr:col>14</xdr:col>
      <xdr:colOff>70485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a:t>
          </a:r>
          <a:r>
            <a:rPr lang="en-US" altLang="zh-CN"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a:t>
          </a: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109855</xdr:colOff>
      <xdr:row>0</xdr:row>
      <xdr:rowOff>203200</xdr:rowOff>
    </xdr:from>
    <xdr:to>
      <xdr:col>15</xdr:col>
      <xdr:colOff>241935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281305</xdr:colOff>
      <xdr:row>0</xdr:row>
      <xdr:rowOff>203200</xdr:rowOff>
    </xdr:from>
    <xdr:to>
      <xdr:col>16</xdr:col>
      <xdr:colOff>413385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452755</xdr:colOff>
      <xdr:row>0</xdr:row>
      <xdr:rowOff>203200</xdr:rowOff>
    </xdr:from>
    <xdr:to>
      <xdr:col>17</xdr:col>
      <xdr:colOff>584835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624205</xdr:colOff>
      <xdr:row>0</xdr:row>
      <xdr:rowOff>203200</xdr:rowOff>
    </xdr:from>
    <xdr:to>
      <xdr:col>19</xdr:col>
      <xdr:colOff>70485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109855</xdr:colOff>
      <xdr:row>0</xdr:row>
      <xdr:rowOff>203200</xdr:rowOff>
    </xdr:from>
    <xdr:to>
      <xdr:col>20</xdr:col>
      <xdr:colOff>241935</xdr:colOff>
      <xdr:row>0</xdr:row>
      <xdr:rowOff>557530</xdr:rowOff>
    </xdr:to>
    <xdr:sp macro="[0]!asht18">
      <xdr:nvSpPr>
        <xdr:cNvPr id="40" name="12"/>
        <xdr:cNvSpPr/>
      </xdr:nvSpPr>
      <xdr:spPr>
        <a:xfrm>
          <a:off x="14864080" y="203200"/>
          <a:ext cx="81788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item_query">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商品查询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19</xdr:col>
      <xdr:colOff>322580</xdr:colOff>
      <xdr:row>0</xdr:row>
      <xdr:rowOff>624205</xdr:rowOff>
    </xdr:to>
    <xdr:sp>
      <xdr:nvSpPr>
        <xdr:cNvPr id="41"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42"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797560</xdr:colOff>
      <xdr:row>0</xdr:row>
      <xdr:rowOff>557530</xdr:rowOff>
    </xdr:to>
    <xdr:sp macro="[0]!asht2">
      <xdr:nvSpPr>
        <xdr:cNvPr id="43"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836930</xdr:colOff>
      <xdr:row>0</xdr:row>
      <xdr:rowOff>203200</xdr:rowOff>
    </xdr:from>
    <xdr:to>
      <xdr:col>5</xdr:col>
      <xdr:colOff>366395</xdr:colOff>
      <xdr:row>0</xdr:row>
      <xdr:rowOff>557530</xdr:rowOff>
    </xdr:to>
    <xdr:sp macro="[0]!asht4">
      <xdr:nvSpPr>
        <xdr:cNvPr id="44"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405765</xdr:colOff>
      <xdr:row>0</xdr:row>
      <xdr:rowOff>203200</xdr:rowOff>
    </xdr:from>
    <xdr:to>
      <xdr:col>5</xdr:col>
      <xdr:colOff>1221105</xdr:colOff>
      <xdr:row>0</xdr:row>
      <xdr:rowOff>557530</xdr:rowOff>
    </xdr:to>
    <xdr:sp macro="[0]!asht16">
      <xdr:nvSpPr>
        <xdr:cNvPr id="45"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1260475</xdr:colOff>
      <xdr:row>0</xdr:row>
      <xdr:rowOff>203200</xdr:rowOff>
    </xdr:from>
    <xdr:to>
      <xdr:col>6</xdr:col>
      <xdr:colOff>790575</xdr:colOff>
      <xdr:row>0</xdr:row>
      <xdr:rowOff>557530</xdr:rowOff>
    </xdr:to>
    <xdr:sp macro="[0]!asht14">
      <xdr:nvSpPr>
        <xdr:cNvPr id="46"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829945</xdr:colOff>
      <xdr:row>0</xdr:row>
      <xdr:rowOff>203200</xdr:rowOff>
    </xdr:from>
    <xdr:to>
      <xdr:col>7</xdr:col>
      <xdr:colOff>358775</xdr:colOff>
      <xdr:row>0</xdr:row>
      <xdr:rowOff>557530</xdr:rowOff>
    </xdr:to>
    <xdr:sp macro="[0]!asht17">
      <xdr:nvSpPr>
        <xdr:cNvPr id="47"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398145</xdr:colOff>
      <xdr:row>0</xdr:row>
      <xdr:rowOff>203200</xdr:rowOff>
    </xdr:from>
    <xdr:to>
      <xdr:col>7</xdr:col>
      <xdr:colOff>1213485</xdr:colOff>
      <xdr:row>0</xdr:row>
      <xdr:rowOff>557530</xdr:rowOff>
    </xdr:to>
    <xdr:sp macro="[0]!asht5">
      <xdr:nvSpPr>
        <xdr:cNvPr id="48"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1252855</xdr:colOff>
      <xdr:row>0</xdr:row>
      <xdr:rowOff>203200</xdr:rowOff>
    </xdr:from>
    <xdr:to>
      <xdr:col>8</xdr:col>
      <xdr:colOff>782320</xdr:colOff>
      <xdr:row>0</xdr:row>
      <xdr:rowOff>557530</xdr:rowOff>
    </xdr:to>
    <xdr:sp macro="[0]!asht6">
      <xdr:nvSpPr>
        <xdr:cNvPr id="49"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821690</xdr:colOff>
      <xdr:row>0</xdr:row>
      <xdr:rowOff>203200</xdr:rowOff>
    </xdr:from>
    <xdr:to>
      <xdr:col>9</xdr:col>
      <xdr:colOff>351790</xdr:colOff>
      <xdr:row>0</xdr:row>
      <xdr:rowOff>557530</xdr:rowOff>
    </xdr:to>
    <xdr:sp macro="[0]!asht7">
      <xdr:nvSpPr>
        <xdr:cNvPr id="50"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391160</xdr:colOff>
      <xdr:row>0</xdr:row>
      <xdr:rowOff>203200</xdr:rowOff>
    </xdr:from>
    <xdr:to>
      <xdr:col>9</xdr:col>
      <xdr:colOff>1206500</xdr:colOff>
      <xdr:row>0</xdr:row>
      <xdr:rowOff>557530</xdr:rowOff>
    </xdr:to>
    <xdr:sp macro="[0]!asht8">
      <xdr:nvSpPr>
        <xdr:cNvPr id="51"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1245870</xdr:colOff>
      <xdr:row>0</xdr:row>
      <xdr:rowOff>203200</xdr:rowOff>
    </xdr:from>
    <xdr:to>
      <xdr:col>11</xdr:col>
      <xdr:colOff>518160</xdr:colOff>
      <xdr:row>0</xdr:row>
      <xdr:rowOff>557530</xdr:rowOff>
    </xdr:to>
    <xdr:sp macro="[0]!asht15">
      <xdr:nvSpPr>
        <xdr:cNvPr id="52" name="11"/>
        <xdr:cNvSpPr/>
      </xdr:nvSpPr>
      <xdr:spPr>
        <a:xfrm>
          <a:off x="972312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商品进出</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557530</xdr:colOff>
      <xdr:row>0</xdr:row>
      <xdr:rowOff>203200</xdr:rowOff>
    </xdr:from>
    <xdr:to>
      <xdr:col>13</xdr:col>
      <xdr:colOff>3810</xdr:colOff>
      <xdr:row>0</xdr:row>
      <xdr:rowOff>557530</xdr:rowOff>
    </xdr:to>
    <xdr:sp macro="[0]!asht9">
      <xdr:nvSpPr>
        <xdr:cNvPr id="5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54" name="文本框 5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商品进出</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43180</xdr:colOff>
      <xdr:row>0</xdr:row>
      <xdr:rowOff>203200</xdr:rowOff>
    </xdr:from>
    <xdr:to>
      <xdr:col>14</xdr:col>
      <xdr:colOff>175260</xdr:colOff>
      <xdr:row>0</xdr:row>
      <xdr:rowOff>557530</xdr:rowOff>
    </xdr:to>
    <xdr:sp macro="[0]!asht10">
      <xdr:nvSpPr>
        <xdr:cNvPr id="55"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214630</xdr:colOff>
      <xdr:row>0</xdr:row>
      <xdr:rowOff>203200</xdr:rowOff>
    </xdr:from>
    <xdr:to>
      <xdr:col>15</xdr:col>
      <xdr:colOff>346710</xdr:colOff>
      <xdr:row>0</xdr:row>
      <xdr:rowOff>557530</xdr:rowOff>
    </xdr:to>
    <xdr:sp macro="[0]!asht11">
      <xdr:nvSpPr>
        <xdr:cNvPr id="5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386080</xdr:colOff>
      <xdr:row>0</xdr:row>
      <xdr:rowOff>203200</xdr:rowOff>
    </xdr:from>
    <xdr:to>
      <xdr:col>16</xdr:col>
      <xdr:colOff>518160</xdr:colOff>
      <xdr:row>0</xdr:row>
      <xdr:rowOff>557530</xdr:rowOff>
    </xdr:to>
    <xdr:sp macro="[0]!asht12">
      <xdr:nvSpPr>
        <xdr:cNvPr id="5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557530</xdr:colOff>
      <xdr:row>0</xdr:row>
      <xdr:rowOff>203200</xdr:rowOff>
    </xdr:from>
    <xdr:to>
      <xdr:col>18</xdr:col>
      <xdr:colOff>3810</xdr:colOff>
      <xdr:row>0</xdr:row>
      <xdr:rowOff>557530</xdr:rowOff>
    </xdr:to>
    <xdr:sp macro="[0]!asht13">
      <xdr:nvSpPr>
        <xdr:cNvPr id="58"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43180</xdr:colOff>
      <xdr:row>0</xdr:row>
      <xdr:rowOff>203200</xdr:rowOff>
    </xdr:from>
    <xdr:to>
      <xdr:col>19</xdr:col>
      <xdr:colOff>175260</xdr:colOff>
      <xdr:row>0</xdr:row>
      <xdr:rowOff>557530</xdr:rowOff>
    </xdr:to>
    <xdr:sp macro="[0]!asht18">
      <xdr:nvSpPr>
        <xdr:cNvPr id="59"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9">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09">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09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523875</xdr:colOff>
      <xdr:row>1</xdr:row>
      <xdr:rowOff>50800</xdr:rowOff>
    </xdr:from>
    <xdr:to>
      <xdr:col>8</xdr:col>
      <xdr:colOff>447040</xdr:colOff>
      <xdr:row>1</xdr:row>
      <xdr:rowOff>441325</xdr:rowOff>
    </xdr:to>
    <xdr:sp macro="[0]!qrcode09">
      <xdr:nvSpPr>
        <xdr:cNvPr id="24" name="圆角矩形 23"/>
        <xdr:cNvSpPr/>
      </xdr:nvSpPr>
      <xdr:spPr>
        <a:xfrm>
          <a:off x="62769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18</xdr:col>
      <xdr:colOff>646430</xdr:colOff>
      <xdr:row>0</xdr:row>
      <xdr:rowOff>624205</xdr:rowOff>
    </xdr:to>
    <xdr:sp>
      <xdr:nvSpPr>
        <xdr:cNvPr id="25"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7" name="12"/>
        <xdr:cNvSpPr/>
      </xdr:nvSpPr>
      <xdr:spPr>
        <a:xfrm>
          <a:off x="10577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基础资料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基础资料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14</xdr:col>
      <xdr:colOff>670560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24130</xdr:colOff>
      <xdr:row>0</xdr:row>
      <xdr:rowOff>203200</xdr:rowOff>
    </xdr:from>
    <xdr:to>
      <xdr:col>16</xdr:col>
      <xdr:colOff>156210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195580</xdr:colOff>
      <xdr:row>0</xdr:row>
      <xdr:rowOff>203200</xdr:rowOff>
    </xdr:from>
    <xdr:to>
      <xdr:col>17</xdr:col>
      <xdr:colOff>327660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367030</xdr:colOff>
      <xdr:row>0</xdr:row>
      <xdr:rowOff>203200</xdr:rowOff>
    </xdr:from>
    <xdr:to>
      <xdr:col>18</xdr:col>
      <xdr:colOff>499110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800100</xdr:colOff>
      <xdr:row>1</xdr:row>
      <xdr:rowOff>50800</xdr:rowOff>
    </xdr:from>
    <xdr:to>
      <xdr:col>9</xdr:col>
      <xdr:colOff>723265</xdr:colOff>
      <xdr:row>1</xdr:row>
      <xdr:rowOff>441325</xdr:rowOff>
    </xdr:to>
    <xdr:sp macro="[0]!qrcode09">
      <xdr:nvSpPr>
        <xdr:cNvPr id="2" name="圆角矩形 1"/>
        <xdr:cNvSpPr/>
      </xdr:nvSpPr>
      <xdr:spPr>
        <a:xfrm>
          <a:off x="78390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0">
      <xdr:nvSpPr>
        <xdr:cNvPr id="38" name="圆角矩形 37"/>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0">
      <xdr:nvSpPr>
        <xdr:cNvPr id="39" name="圆角矩形 38"/>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40" name="圆角矩形 39"/>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0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23</xdr:col>
      <xdr:colOff>217805</xdr:colOff>
      <xdr:row>0</xdr:row>
      <xdr:rowOff>624205</xdr:rowOff>
    </xdr:to>
    <xdr:sp>
      <xdr:nvSpPr>
        <xdr:cNvPr id="20"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27"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2"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4" name="文本框 3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5" name="12"/>
        <xdr:cNvSpPr/>
      </xdr:nvSpPr>
      <xdr:spPr>
        <a:xfrm>
          <a:off x="11435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3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1">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1">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1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23</xdr:col>
      <xdr:colOff>217805</xdr:colOff>
      <xdr:row>0</xdr:row>
      <xdr:rowOff>624205</xdr:rowOff>
    </xdr:to>
    <xdr:sp>
      <xdr:nvSpPr>
        <xdr:cNvPr id="24"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9" name="12"/>
        <xdr:cNvSpPr/>
      </xdr:nvSpPr>
      <xdr:spPr>
        <a:xfrm>
          <a:off x="122923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供应商资料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2">
      <xdr:nvSpPr>
        <xdr:cNvPr id="20" name="圆角矩形 19"/>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2">
      <xdr:nvSpPr>
        <xdr:cNvPr id="21" name="圆角矩形 20"/>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2_show">
      <xdr:nvSpPr>
        <xdr:cNvPr id="23" name="圆角矩形 22"/>
        <xdr:cNvSpPr/>
      </xdr:nvSpPr>
      <xdr:spPr>
        <a:xfrm>
          <a:off x="48672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21</xdr:col>
      <xdr:colOff>351155</xdr:colOff>
      <xdr:row>0</xdr:row>
      <xdr:rowOff>624205</xdr:rowOff>
    </xdr:to>
    <xdr:sp>
      <xdr:nvSpPr>
        <xdr:cNvPr id="24"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11</xdr:col>
      <xdr:colOff>208915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248285</xdr:colOff>
      <xdr:row>0</xdr:row>
      <xdr:rowOff>203200</xdr:rowOff>
    </xdr:from>
    <xdr:to>
      <xdr:col>12</xdr:col>
      <xdr:colOff>377825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417195</xdr:colOff>
      <xdr:row>0</xdr:row>
      <xdr:rowOff>203200</xdr:rowOff>
    </xdr:from>
    <xdr:to>
      <xdr:col>13</xdr:col>
      <xdr:colOff>546735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586105</xdr:colOff>
      <xdr:row>0</xdr:row>
      <xdr:rowOff>203200</xdr:rowOff>
    </xdr:from>
    <xdr:to>
      <xdr:col>15</xdr:col>
      <xdr:colOff>32385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笔记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15</xdr:col>
      <xdr:colOff>71755</xdr:colOff>
      <xdr:row>0</xdr:row>
      <xdr:rowOff>203200</xdr:rowOff>
    </xdr:from>
    <xdr:to>
      <xdr:col>16</xdr:col>
      <xdr:colOff>203835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243205</xdr:colOff>
      <xdr:row>0</xdr:row>
      <xdr:rowOff>203200</xdr:rowOff>
    </xdr:from>
    <xdr:to>
      <xdr:col>17</xdr:col>
      <xdr:colOff>375285</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414655</xdr:colOff>
      <xdr:row>0</xdr:row>
      <xdr:rowOff>203200</xdr:rowOff>
    </xdr:from>
    <xdr:to>
      <xdr:col>18</xdr:col>
      <xdr:colOff>546735</xdr:colOff>
      <xdr:row>0</xdr:row>
      <xdr:rowOff>557530</xdr:rowOff>
    </xdr:to>
    <xdr:sp macro="[0]!asht12">
      <xdr:nvSpPr>
        <xdr:cNvPr id="40" name="12"/>
        <xdr:cNvSpPr/>
      </xdr:nvSpPr>
      <xdr:spPr>
        <a:xfrm>
          <a:off x="131495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sym typeface="+mn-ea"/>
            </a:rPr>
            <a:t>笔记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586105</xdr:colOff>
      <xdr:row>0</xdr:row>
      <xdr:rowOff>203200</xdr:rowOff>
    </xdr:from>
    <xdr:to>
      <xdr:col>20</xdr:col>
      <xdr:colOff>32385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71755</xdr:colOff>
      <xdr:row>0</xdr:row>
      <xdr:rowOff>203200</xdr:rowOff>
    </xdr:from>
    <xdr:to>
      <xdr:col>21</xdr:col>
      <xdr:colOff>203835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5</xdr:col>
      <xdr:colOff>939800</xdr:colOff>
      <xdr:row>1</xdr:row>
      <xdr:rowOff>71755</xdr:rowOff>
    </xdr:from>
    <xdr:to>
      <xdr:col>6</xdr:col>
      <xdr:colOff>720725</xdr:colOff>
      <xdr:row>1</xdr:row>
      <xdr:rowOff>462280</xdr:rowOff>
    </xdr:to>
    <xdr:sp macro="[0]!select13_byname">
      <xdr:nvSpPr>
        <xdr:cNvPr id="23" name="圆角矩形 22"/>
        <xdr:cNvSpPr/>
      </xdr:nvSpPr>
      <xdr:spPr>
        <a:xfrm>
          <a:off x="414020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1079500</xdr:colOff>
      <xdr:row>1</xdr:row>
      <xdr:rowOff>71755</xdr:rowOff>
    </xdr:from>
    <xdr:to>
      <xdr:col>7</xdr:col>
      <xdr:colOff>860425</xdr:colOff>
      <xdr:row>1</xdr:row>
      <xdr:rowOff>462280</xdr:rowOff>
    </xdr:to>
    <xdr:sp macro="[0]!select13">
      <xdr:nvSpPr>
        <xdr:cNvPr id="31" name="圆角矩形 30"/>
        <xdr:cNvSpPr/>
      </xdr:nvSpPr>
      <xdr:spPr>
        <a:xfrm>
          <a:off x="5565775"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1219200</xdr:colOff>
      <xdr:row>1</xdr:row>
      <xdr:rowOff>71755</xdr:rowOff>
    </xdr:from>
    <xdr:to>
      <xdr:col>8</xdr:col>
      <xdr:colOff>1000125</xdr:colOff>
      <xdr:row>1</xdr:row>
      <xdr:rowOff>462280</xdr:rowOff>
    </xdr:to>
    <xdr:sp macro="[0]!save13">
      <xdr:nvSpPr>
        <xdr:cNvPr id="41" name="圆角矩形 40"/>
        <xdr:cNvSpPr/>
      </xdr:nvSpPr>
      <xdr:spPr>
        <a:xfrm>
          <a:off x="699135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新增</a:t>
          </a:r>
          <a:endParaRPr lang="zh-CN" altLang="en-US" sz="1400" b="1">
            <a:latin typeface="等线" panose="02010600030101010101" charset="-122"/>
            <a:ea typeface="等线" panose="02010600030101010101" charset="-122"/>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xdr:col>
          <xdr:colOff>847725</xdr:colOff>
          <xdr:row>1</xdr:row>
          <xdr:rowOff>128905</xdr:rowOff>
        </xdr:from>
        <xdr:to>
          <xdr:col>5</xdr:col>
          <xdr:colOff>800100</xdr:colOff>
          <xdr:row>1</xdr:row>
          <xdr:rowOff>443230</xdr:rowOff>
        </xdr:to>
        <xdr:sp>
          <xdr:nvSpPr>
            <xdr:cNvPr id="4098" name="TextBox1" hidden="1">
              <a:extLst>
                <a:ext uri="{63B3BB69-23CF-44E3-9099-C40C66FF867C}">
                  <a14:compatExt spid="_x0000_s4098"/>
                </a:ext>
              </a:extLst>
            </xdr:cNvPr>
            <xdr:cNvSpPr/>
          </xdr:nvSpPr>
          <xdr:spPr>
            <a:xfrm>
              <a:off x="1476375" y="890905"/>
              <a:ext cx="2524125" cy="314325"/>
            </a:xfrm>
            <a:prstGeom prst="rect">
              <a:avLst/>
            </a:prstGeom>
          </xdr:spPr>
        </xdr:sp>
        <xdr:clientData/>
      </xdr:twoCellAnchor>
    </mc:Choice>
    <mc:Fallback/>
  </mc:AlternateContent>
  <xdr:twoCellAnchor editAs="absolute">
    <xdr:from>
      <xdr:col>2</xdr:col>
      <xdr:colOff>0</xdr:colOff>
      <xdr:row>1</xdr:row>
      <xdr:rowOff>50800</xdr:rowOff>
    </xdr:from>
    <xdr:to>
      <xdr:col>3</xdr:col>
      <xdr:colOff>821055</xdr:colOff>
      <xdr:row>1</xdr:row>
      <xdr:rowOff>504190</xdr:rowOff>
    </xdr:to>
    <xdr:sp>
      <xdr:nvSpPr>
        <xdr:cNvPr id="43" name="文本框 42"/>
        <xdr:cNvSpPr txBox="1"/>
      </xdr:nvSpPr>
      <xdr:spPr>
        <a:xfrm>
          <a:off x="628650" y="812800"/>
          <a:ext cx="821055"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rPr>
            <a:t>用户名：</a:t>
          </a:r>
          <a:endPar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endParaRPr>
        </a:p>
      </xdr:txBody>
    </xdr:sp>
    <xdr:clientData/>
  </xdr:twoCellAnchor>
  <xdr:twoCellAnchor editAs="absolute">
    <xdr:from>
      <xdr:col>3</xdr:col>
      <xdr:colOff>489585</xdr:colOff>
      <xdr:row>0</xdr:row>
      <xdr:rowOff>127000</xdr:rowOff>
    </xdr:from>
    <xdr:to>
      <xdr:col>22</xdr:col>
      <xdr:colOff>436880</xdr:colOff>
      <xdr:row>0</xdr:row>
      <xdr:rowOff>624205</xdr:rowOff>
    </xdr:to>
    <xdr:sp>
      <xdr:nvSpPr>
        <xdr:cNvPr id="4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4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4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4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4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4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4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5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5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9</xdr:col>
      <xdr:colOff>485140</xdr:colOff>
      <xdr:row>0</xdr:row>
      <xdr:rowOff>557530</xdr:rowOff>
    </xdr:to>
    <xdr:sp macro="[0]!asht7">
      <xdr:nvSpPr>
        <xdr:cNvPr id="5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524510</xdr:colOff>
      <xdr:row>0</xdr:row>
      <xdr:rowOff>203200</xdr:rowOff>
    </xdr:from>
    <xdr:to>
      <xdr:col>10</xdr:col>
      <xdr:colOff>53975</xdr:colOff>
      <xdr:row>0</xdr:row>
      <xdr:rowOff>557530</xdr:rowOff>
    </xdr:to>
    <xdr:sp macro="[0]!asht8">
      <xdr:nvSpPr>
        <xdr:cNvPr id="5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93345</xdr:colOff>
      <xdr:row>0</xdr:row>
      <xdr:rowOff>203200</xdr:rowOff>
    </xdr:from>
    <xdr:to>
      <xdr:col>11</xdr:col>
      <xdr:colOff>632460</xdr:colOff>
      <xdr:row>0</xdr:row>
      <xdr:rowOff>557530</xdr:rowOff>
    </xdr:to>
    <xdr:sp macro="[0]!asht15">
      <xdr:nvSpPr>
        <xdr:cNvPr id="5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671830</xdr:colOff>
      <xdr:row>0</xdr:row>
      <xdr:rowOff>203200</xdr:rowOff>
    </xdr:from>
    <xdr:to>
      <xdr:col>13</xdr:col>
      <xdr:colOff>118110</xdr:colOff>
      <xdr:row>0</xdr:row>
      <xdr:rowOff>557530</xdr:rowOff>
    </xdr:to>
    <xdr:sp macro="[0]!asht9">
      <xdr:nvSpPr>
        <xdr:cNvPr id="5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56" name="文本框 5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用户管理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157480</xdr:colOff>
      <xdr:row>0</xdr:row>
      <xdr:rowOff>203200</xdr:rowOff>
    </xdr:from>
    <xdr:to>
      <xdr:col>14</xdr:col>
      <xdr:colOff>289560</xdr:colOff>
      <xdr:row>0</xdr:row>
      <xdr:rowOff>557530</xdr:rowOff>
    </xdr:to>
    <xdr:sp macro="[0]!asht10">
      <xdr:nvSpPr>
        <xdr:cNvPr id="5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328930</xdr:colOff>
      <xdr:row>0</xdr:row>
      <xdr:rowOff>203200</xdr:rowOff>
    </xdr:from>
    <xdr:to>
      <xdr:col>15</xdr:col>
      <xdr:colOff>461010</xdr:colOff>
      <xdr:row>0</xdr:row>
      <xdr:rowOff>557530</xdr:rowOff>
    </xdr:to>
    <xdr:sp macro="[0]!asht11">
      <xdr:nvSpPr>
        <xdr:cNvPr id="5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500380</xdr:colOff>
      <xdr:row>0</xdr:row>
      <xdr:rowOff>203200</xdr:rowOff>
    </xdr:from>
    <xdr:to>
      <xdr:col>19</xdr:col>
      <xdr:colOff>632460</xdr:colOff>
      <xdr:row>0</xdr:row>
      <xdr:rowOff>557530</xdr:rowOff>
    </xdr:to>
    <xdr:sp macro="[0]!asht12">
      <xdr:nvSpPr>
        <xdr:cNvPr id="5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671830</xdr:colOff>
      <xdr:row>0</xdr:row>
      <xdr:rowOff>203200</xdr:rowOff>
    </xdr:from>
    <xdr:to>
      <xdr:col>21</xdr:col>
      <xdr:colOff>118110</xdr:colOff>
      <xdr:row>0</xdr:row>
      <xdr:rowOff>557530</xdr:rowOff>
    </xdr:to>
    <xdr:sp macro="[0]!asht13">
      <xdr:nvSpPr>
        <xdr:cNvPr id="60" name="12"/>
        <xdr:cNvSpPr/>
      </xdr:nvSpPr>
      <xdr:spPr>
        <a:xfrm>
          <a:off x="14006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用户管理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21</xdr:col>
      <xdr:colOff>157480</xdr:colOff>
      <xdr:row>0</xdr:row>
      <xdr:rowOff>203200</xdr:rowOff>
    </xdr:from>
    <xdr:to>
      <xdr:col>22</xdr:col>
      <xdr:colOff>289560</xdr:colOff>
      <xdr:row>0</xdr:row>
      <xdr:rowOff>557530</xdr:rowOff>
    </xdr:to>
    <xdr:sp macro="[0]!asht18">
      <xdr:nvSpPr>
        <xdr:cNvPr id="6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24</xdr:col>
      <xdr:colOff>570230</xdr:colOff>
      <xdr:row>0</xdr:row>
      <xdr:rowOff>624205</xdr:rowOff>
    </xdr:to>
    <xdr:sp>
      <xdr:nvSpPr>
        <xdr:cNvPr id="25"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187960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227330</xdr:colOff>
      <xdr:row>0</xdr:row>
      <xdr:rowOff>203200</xdr:rowOff>
    </xdr:from>
    <xdr:to>
      <xdr:col>7</xdr:col>
      <xdr:colOff>99695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139065</xdr:colOff>
      <xdr:row>0</xdr:row>
      <xdr:rowOff>203200</xdr:rowOff>
    </xdr:from>
    <xdr:to>
      <xdr:col>8</xdr:col>
      <xdr:colOff>268605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307975</xdr:colOff>
      <xdr:row>0</xdr:row>
      <xdr:rowOff>203200</xdr:rowOff>
    </xdr:from>
    <xdr:to>
      <xdr:col>9</xdr:col>
      <xdr:colOff>438150</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477520</xdr:colOff>
      <xdr:row>0</xdr:row>
      <xdr:rowOff>203200</xdr:rowOff>
    </xdr:from>
    <xdr:to>
      <xdr:col>10</xdr:col>
      <xdr:colOff>606425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645795</xdr:colOff>
      <xdr:row>0</xdr:row>
      <xdr:rowOff>203200</xdr:rowOff>
    </xdr:from>
    <xdr:to>
      <xdr:col>12</xdr:col>
      <xdr:colOff>89535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128905</xdr:colOff>
      <xdr:row>0</xdr:row>
      <xdr:rowOff>203200</xdr:rowOff>
    </xdr:from>
    <xdr:to>
      <xdr:col>13</xdr:col>
      <xdr:colOff>258445</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297815</xdr:colOff>
      <xdr:row>0</xdr:row>
      <xdr:rowOff>203200</xdr:rowOff>
    </xdr:from>
    <xdr:to>
      <xdr:col>14</xdr:col>
      <xdr:colOff>427990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467360</xdr:colOff>
      <xdr:row>0</xdr:row>
      <xdr:rowOff>203200</xdr:rowOff>
    </xdr:from>
    <xdr:to>
      <xdr:col>15</xdr:col>
      <xdr:colOff>596900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636270</xdr:colOff>
      <xdr:row>0</xdr:row>
      <xdr:rowOff>203200</xdr:rowOff>
    </xdr:from>
    <xdr:to>
      <xdr:col>17</xdr:col>
      <xdr:colOff>80010</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119380</xdr:colOff>
      <xdr:row>0</xdr:row>
      <xdr:rowOff>203200</xdr:rowOff>
    </xdr:from>
    <xdr:to>
      <xdr:col>18</xdr:col>
      <xdr:colOff>251460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二维码打印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18</xdr:col>
      <xdr:colOff>290830</xdr:colOff>
      <xdr:row>0</xdr:row>
      <xdr:rowOff>203200</xdr:rowOff>
    </xdr:from>
    <xdr:to>
      <xdr:col>19</xdr:col>
      <xdr:colOff>422910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462280</xdr:colOff>
      <xdr:row>0</xdr:row>
      <xdr:rowOff>203200</xdr:rowOff>
    </xdr:from>
    <xdr:to>
      <xdr:col>20</xdr:col>
      <xdr:colOff>594360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633730</xdr:colOff>
      <xdr:row>0</xdr:row>
      <xdr:rowOff>203200</xdr:rowOff>
    </xdr:from>
    <xdr:to>
      <xdr:col>22</xdr:col>
      <xdr:colOff>80010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119380</xdr:colOff>
      <xdr:row>0</xdr:row>
      <xdr:rowOff>203200</xdr:rowOff>
    </xdr:from>
    <xdr:to>
      <xdr:col>23</xdr:col>
      <xdr:colOff>251460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290830</xdr:colOff>
      <xdr:row>0</xdr:row>
      <xdr:rowOff>203200</xdr:rowOff>
    </xdr:from>
    <xdr:to>
      <xdr:col>24</xdr:col>
      <xdr:colOff>422910</xdr:colOff>
      <xdr:row>0</xdr:row>
      <xdr:rowOff>557530</xdr:rowOff>
    </xdr:to>
    <xdr:sp macro="[0]!asht18">
      <xdr:nvSpPr>
        <xdr:cNvPr id="43" name="12"/>
        <xdr:cNvSpPr/>
      </xdr:nvSpPr>
      <xdr:spPr>
        <a:xfrm>
          <a:off x="14864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二维码打印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28575</xdr:colOff>
      <xdr:row>1</xdr:row>
      <xdr:rowOff>47625</xdr:rowOff>
    </xdr:from>
    <xdr:to>
      <xdr:col>3</xdr:col>
      <xdr:colOff>1095375</xdr:colOff>
      <xdr:row>1</xdr:row>
      <xdr:rowOff>438150</xdr:rowOff>
    </xdr:to>
    <xdr:sp macro="[0]!print_out">
      <xdr:nvSpPr>
        <xdr:cNvPr id="44" name="圆角矩形 43"/>
        <xdr:cNvSpPr/>
      </xdr:nvSpPr>
      <xdr:spPr>
        <a:xfrm>
          <a:off x="6381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xdr:from>
      <xdr:col>2</xdr:col>
      <xdr:colOff>0</xdr:colOff>
      <xdr:row>2</xdr:row>
      <xdr:rowOff>1771650</xdr:rowOff>
    </xdr:from>
    <xdr:to>
      <xdr:col>3</xdr:col>
      <xdr:colOff>2095500</xdr:colOff>
      <xdr:row>3</xdr:row>
      <xdr:rowOff>546100</xdr:rowOff>
    </xdr:to>
    <xdr:sp>
      <xdr:nvSpPr>
        <xdr:cNvPr id="1462" name="矩形 1461"/>
        <xdr:cNvSpPr/>
      </xdr:nvSpPr>
      <xdr:spPr>
        <a:xfrm>
          <a:off x="609600" y="3041015"/>
          <a:ext cx="2047875" cy="55245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clientData/>
  </xdr:twoCellAnchor>
  <xdr:twoCellAnchor>
    <xdr:from>
      <xdr:col>2</xdr:col>
      <xdr:colOff>0</xdr:colOff>
      <xdr:row>1</xdr:row>
      <xdr:rowOff>504825</xdr:rowOff>
    </xdr:from>
    <xdr:to>
      <xdr:col>3</xdr:col>
      <xdr:colOff>1397000</xdr:colOff>
      <xdr:row>2</xdr:row>
      <xdr:rowOff>534035</xdr:rowOff>
    </xdr:to>
    <xdr:grpSp>
      <xdr:nvGrpSpPr>
        <xdr:cNvPr id="49" name="组合 48"/>
        <xdr:cNvGrpSpPr/>
      </xdr:nvGrpSpPr>
      <xdr:grpSpPr>
        <a:xfrm>
          <a:off x="609600" y="1266825"/>
          <a:ext cx="1397000" cy="536575"/>
          <a:chOff x="945" y="1980"/>
          <a:chExt cx="2200" cy="841"/>
        </a:xfrm>
      </xdr:grpSpPr>
      <xdr:sp>
        <xdr:nvSpPr>
          <xdr:cNvPr id="2" name="矩形 1"/>
          <xdr:cNvSpPr/>
        </xdr:nvSpPr>
        <xdr:spPr>
          <a:xfrm>
            <a:off x="945" y="1980"/>
            <a:ext cx="2200" cy="80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3" name="矩形 2"/>
          <xdr:cNvSpPr/>
        </xdr:nvSpPr>
        <xdr:spPr>
          <a:xfrm>
            <a:off x="1165" y="204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4" name="矩形 3"/>
          <xdr:cNvSpPr/>
        </xdr:nvSpPr>
        <xdr:spPr>
          <a:xfrm>
            <a:off x="122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5" name="矩形 4"/>
          <xdr:cNvSpPr/>
        </xdr:nvSpPr>
        <xdr:spPr>
          <a:xfrm>
            <a:off x="128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6" name="矩形 5"/>
          <xdr:cNvSpPr/>
        </xdr:nvSpPr>
        <xdr:spPr>
          <a:xfrm>
            <a:off x="138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 name="矩形 6"/>
          <xdr:cNvSpPr/>
        </xdr:nvSpPr>
        <xdr:spPr>
          <a:xfrm>
            <a:off x="146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 name="矩形 7"/>
          <xdr:cNvSpPr/>
        </xdr:nvSpPr>
        <xdr:spPr>
          <a:xfrm>
            <a:off x="1545" y="204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 name="矩形 8"/>
          <xdr:cNvSpPr/>
        </xdr:nvSpPr>
        <xdr:spPr>
          <a:xfrm>
            <a:off x="1605" y="204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 name="矩形 9"/>
          <xdr:cNvSpPr/>
        </xdr:nvSpPr>
        <xdr:spPr>
          <a:xfrm>
            <a:off x="1665" y="204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1" name="矩形 10"/>
          <xdr:cNvSpPr/>
        </xdr:nvSpPr>
        <xdr:spPr>
          <a:xfrm>
            <a:off x="174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2" name="矩形 11"/>
          <xdr:cNvSpPr/>
        </xdr:nvSpPr>
        <xdr:spPr>
          <a:xfrm>
            <a:off x="182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3" name="矩形 12"/>
          <xdr:cNvSpPr/>
        </xdr:nvSpPr>
        <xdr:spPr>
          <a:xfrm>
            <a:off x="1885" y="204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4" name="矩形 13"/>
          <xdr:cNvSpPr/>
        </xdr:nvSpPr>
        <xdr:spPr>
          <a:xfrm>
            <a:off x="1965" y="204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5" name="矩形 14"/>
          <xdr:cNvSpPr/>
        </xdr:nvSpPr>
        <xdr:spPr>
          <a:xfrm>
            <a:off x="204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6" name="矩形 15"/>
          <xdr:cNvSpPr/>
        </xdr:nvSpPr>
        <xdr:spPr>
          <a:xfrm>
            <a:off x="2105" y="204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7" name="矩形 16"/>
          <xdr:cNvSpPr/>
        </xdr:nvSpPr>
        <xdr:spPr>
          <a:xfrm>
            <a:off x="2185" y="204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8" name="矩形 17"/>
          <xdr:cNvSpPr/>
        </xdr:nvSpPr>
        <xdr:spPr>
          <a:xfrm>
            <a:off x="226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9" name="矩形 18"/>
          <xdr:cNvSpPr/>
        </xdr:nvSpPr>
        <xdr:spPr>
          <a:xfrm>
            <a:off x="2325" y="204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20" name="矩形 19"/>
          <xdr:cNvSpPr/>
        </xdr:nvSpPr>
        <xdr:spPr>
          <a:xfrm>
            <a:off x="2425" y="204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21" name="矩形 20"/>
          <xdr:cNvSpPr/>
        </xdr:nvSpPr>
        <xdr:spPr>
          <a:xfrm>
            <a:off x="2485" y="204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22" name="矩形 21"/>
          <xdr:cNvSpPr/>
        </xdr:nvSpPr>
        <xdr:spPr>
          <a:xfrm>
            <a:off x="258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23" name="矩形 22"/>
          <xdr:cNvSpPr/>
        </xdr:nvSpPr>
        <xdr:spPr>
          <a:xfrm>
            <a:off x="2645" y="204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24" name="矩形 23"/>
          <xdr:cNvSpPr/>
        </xdr:nvSpPr>
        <xdr:spPr>
          <a:xfrm>
            <a:off x="2705" y="204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45" name="矩形 44"/>
          <xdr:cNvSpPr/>
        </xdr:nvSpPr>
        <xdr:spPr>
          <a:xfrm>
            <a:off x="2805" y="204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46" name="矩形 45"/>
          <xdr:cNvSpPr/>
        </xdr:nvSpPr>
        <xdr:spPr>
          <a:xfrm>
            <a:off x="288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47" name="矩形 46"/>
          <xdr:cNvSpPr/>
        </xdr:nvSpPr>
        <xdr:spPr>
          <a:xfrm>
            <a:off x="2925" y="204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48" name="矩形 47"/>
          <xdr:cNvSpPr/>
        </xdr:nvSpPr>
        <xdr:spPr>
          <a:xfrm>
            <a:off x="1145" y="2639"/>
            <a:ext cx="1800" cy="182"/>
          </a:xfrm>
          <a:prstGeom prst="rect">
            <a:avLst/>
          </a:prstGeom>
          <a:no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tIns="0" bIns="0" rtlCol="0" anchor="ctr" anchorCtr="1">
            <a:spAutoFit/>
          </a:bodyPr>
          <a:p>
            <a:pPr algn="ctr"/>
            <a:r>
              <a:rPr lang="zh-CN" altLang="en-US" sz="700" b="1" spc="400">
                <a:solidFill>
                  <a:srgbClr val="000000"/>
                </a:solidFill>
                <a:latin typeface="Arial" panose="020B0604020202020204" pitchFamily="7" charset="0"/>
                <a:ea typeface="等线" panose="02010600030101010101" charset="-122"/>
                <a:cs typeface="Arial" panose="020B0604020202020204" pitchFamily="7" charset="0"/>
              </a:rPr>
              <a:t>CS001</a:t>
            </a:r>
            <a:endParaRPr lang="zh-CN" altLang="en-US" sz="700" b="1" spc="400">
              <a:solidFill>
                <a:srgbClr val="000000"/>
              </a:solidFill>
              <a:latin typeface="Arial" panose="020B0604020202020204" pitchFamily="7" charset="0"/>
              <a:ea typeface="等线" panose="02010600030101010101" charset="-122"/>
              <a:cs typeface="Arial" panose="020B0604020202020204" pitchFamily="7" charset="0"/>
            </a:endParaRPr>
          </a:p>
        </xdr:txBody>
      </xdr:sp>
    </xdr:grpSp>
    <xdr:clientData/>
  </xdr:twoCellAnchor>
  <xdr:twoCellAnchor>
    <xdr:from>
      <xdr:col>2</xdr:col>
      <xdr:colOff>0</xdr:colOff>
      <xdr:row>2</xdr:row>
      <xdr:rowOff>1771650</xdr:rowOff>
    </xdr:from>
    <xdr:to>
      <xdr:col>3</xdr:col>
      <xdr:colOff>1397000</xdr:colOff>
      <xdr:row>3</xdr:row>
      <xdr:rowOff>534035</xdr:rowOff>
    </xdr:to>
    <xdr:grpSp>
      <xdr:nvGrpSpPr>
        <xdr:cNvPr id="77" name="组合 76"/>
        <xdr:cNvGrpSpPr/>
      </xdr:nvGrpSpPr>
      <xdr:grpSpPr>
        <a:xfrm>
          <a:off x="609600" y="3041015"/>
          <a:ext cx="1397000" cy="540385"/>
          <a:chOff x="945" y="4770"/>
          <a:chExt cx="2200" cy="841"/>
        </a:xfrm>
      </xdr:grpSpPr>
      <xdr:sp>
        <xdr:nvSpPr>
          <xdr:cNvPr id="50" name="矩形 49"/>
          <xdr:cNvSpPr/>
        </xdr:nvSpPr>
        <xdr:spPr>
          <a:xfrm>
            <a:off x="945" y="4770"/>
            <a:ext cx="2200" cy="80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51" name="矩形 50"/>
          <xdr:cNvSpPr/>
        </xdr:nvSpPr>
        <xdr:spPr>
          <a:xfrm>
            <a:off x="116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52" name="矩形 51"/>
          <xdr:cNvSpPr/>
        </xdr:nvSpPr>
        <xdr:spPr>
          <a:xfrm>
            <a:off x="1225" y="483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53" name="矩形 52"/>
          <xdr:cNvSpPr/>
        </xdr:nvSpPr>
        <xdr:spPr>
          <a:xfrm>
            <a:off x="1285" y="483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54" name="矩形 53"/>
          <xdr:cNvSpPr/>
        </xdr:nvSpPr>
        <xdr:spPr>
          <a:xfrm>
            <a:off x="1385" y="483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55" name="矩形 54"/>
          <xdr:cNvSpPr/>
        </xdr:nvSpPr>
        <xdr:spPr>
          <a:xfrm>
            <a:off x="1465" y="483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56" name="矩形 55"/>
          <xdr:cNvSpPr/>
        </xdr:nvSpPr>
        <xdr:spPr>
          <a:xfrm>
            <a:off x="154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57" name="矩形 56"/>
          <xdr:cNvSpPr/>
        </xdr:nvSpPr>
        <xdr:spPr>
          <a:xfrm>
            <a:off x="160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58" name="矩形 57"/>
          <xdr:cNvSpPr/>
        </xdr:nvSpPr>
        <xdr:spPr>
          <a:xfrm>
            <a:off x="1665" y="483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59" name="矩形 58"/>
          <xdr:cNvSpPr/>
        </xdr:nvSpPr>
        <xdr:spPr>
          <a:xfrm>
            <a:off x="1745" y="483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60" name="矩形 59"/>
          <xdr:cNvSpPr/>
        </xdr:nvSpPr>
        <xdr:spPr>
          <a:xfrm>
            <a:off x="1825" y="483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61" name="矩形 60"/>
          <xdr:cNvSpPr/>
        </xdr:nvSpPr>
        <xdr:spPr>
          <a:xfrm>
            <a:off x="1885" y="483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62" name="矩形 61"/>
          <xdr:cNvSpPr/>
        </xdr:nvSpPr>
        <xdr:spPr>
          <a:xfrm>
            <a:off x="196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63" name="矩形 62"/>
          <xdr:cNvSpPr/>
        </xdr:nvSpPr>
        <xdr:spPr>
          <a:xfrm>
            <a:off x="2045" y="483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64" name="矩形 63"/>
          <xdr:cNvSpPr/>
        </xdr:nvSpPr>
        <xdr:spPr>
          <a:xfrm>
            <a:off x="2105" y="483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65" name="矩形 64"/>
          <xdr:cNvSpPr/>
        </xdr:nvSpPr>
        <xdr:spPr>
          <a:xfrm>
            <a:off x="218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66" name="矩形 65"/>
          <xdr:cNvSpPr/>
        </xdr:nvSpPr>
        <xdr:spPr>
          <a:xfrm>
            <a:off x="226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67" name="矩形 66"/>
          <xdr:cNvSpPr/>
        </xdr:nvSpPr>
        <xdr:spPr>
          <a:xfrm>
            <a:off x="2345" y="483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68" name="矩形 67"/>
          <xdr:cNvSpPr/>
        </xdr:nvSpPr>
        <xdr:spPr>
          <a:xfrm>
            <a:off x="2445" y="483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69" name="矩形 68"/>
          <xdr:cNvSpPr/>
        </xdr:nvSpPr>
        <xdr:spPr>
          <a:xfrm>
            <a:off x="248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0" name="矩形 69"/>
          <xdr:cNvSpPr/>
        </xdr:nvSpPr>
        <xdr:spPr>
          <a:xfrm>
            <a:off x="254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1" name="矩形 70"/>
          <xdr:cNvSpPr/>
        </xdr:nvSpPr>
        <xdr:spPr>
          <a:xfrm>
            <a:off x="264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2" name="矩形 71"/>
          <xdr:cNvSpPr/>
        </xdr:nvSpPr>
        <xdr:spPr>
          <a:xfrm>
            <a:off x="270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3" name="矩形 72"/>
          <xdr:cNvSpPr/>
        </xdr:nvSpPr>
        <xdr:spPr>
          <a:xfrm>
            <a:off x="2805" y="483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4" name="矩形 73"/>
          <xdr:cNvSpPr/>
        </xdr:nvSpPr>
        <xdr:spPr>
          <a:xfrm>
            <a:off x="2885" y="483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5" name="矩形 74"/>
          <xdr:cNvSpPr/>
        </xdr:nvSpPr>
        <xdr:spPr>
          <a:xfrm>
            <a:off x="292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6" name="矩形 75"/>
          <xdr:cNvSpPr/>
        </xdr:nvSpPr>
        <xdr:spPr>
          <a:xfrm>
            <a:off x="1145" y="5429"/>
            <a:ext cx="1800" cy="182"/>
          </a:xfrm>
          <a:prstGeom prst="rect">
            <a:avLst/>
          </a:prstGeom>
          <a:no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tIns="0" bIns="0" rtlCol="0" anchor="ctr" anchorCtr="1">
            <a:spAutoFit/>
          </a:bodyPr>
          <a:p>
            <a:pPr algn="ctr"/>
            <a:r>
              <a:rPr lang="zh-CN" altLang="en-US" sz="700" b="1" spc="400">
                <a:solidFill>
                  <a:srgbClr val="000000"/>
                </a:solidFill>
                <a:latin typeface="Arial" panose="020B0604020202020204" pitchFamily="7" charset="0"/>
                <a:ea typeface="等线" panose="02010600030101010101" charset="-122"/>
                <a:cs typeface="Arial" panose="020B0604020202020204" pitchFamily="7" charset="0"/>
              </a:rPr>
              <a:t>CS002</a:t>
            </a:r>
            <a:endParaRPr lang="zh-CN" altLang="en-US" sz="700" b="1" spc="400">
              <a:solidFill>
                <a:srgbClr val="000000"/>
              </a:solidFill>
              <a:latin typeface="Arial" panose="020B0604020202020204" pitchFamily="7" charset="0"/>
              <a:ea typeface="等线" panose="02010600030101010101" charset="-122"/>
              <a:cs typeface="Arial" panose="020B0604020202020204" pitchFamily="7" charset="0"/>
            </a:endParaRPr>
          </a:p>
        </xdr:txBody>
      </xdr:sp>
    </xdr:grp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gradFill>
          <a:gsLst>
            <a:gs pos="0">
              <a:srgbClr val="007BD3"/>
            </a:gs>
            <a:gs pos="100000">
              <a:srgbClr val="034373"/>
            </a:gs>
          </a:gsLst>
          <a:lin scaled="0"/>
        </a:gradFill>
      </a:spPr>
      <a:bodyPr vertOverflow="clip" horzOverflow="clip" wrap="square" rtlCol="0" anchor="ctr" anchorCtr="0"/>
      <a:lstStyle>
        <a:defPPr algn="ctr">
          <a:defRPr lang="zh-CN" altLang="en-US" sz="1400" b="1">
            <a:latin typeface="等线" panose="02010600030101010101" charset="-122"/>
            <a:ea typeface="等线" panose="02010600030101010101"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6.vml"/><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A1" sqref="A1"/>
    </sheetView>
  </sheetViews>
  <sheetFormatPr defaultColWidth="3.625" defaultRowHeight="17.1" customHeight="1"/>
  <cols>
    <col min="1" max="1" width="3.625" style="83" customWidth="1"/>
    <col min="2" max="16384" width="3.625" style="83"/>
  </cols>
  <sheetData>
    <row r="4" customHeight="1" spans="1:42">
      <c r="A4" s="84"/>
      <c r="B4" s="84"/>
      <c r="C4" s="84"/>
      <c r="D4" s="84"/>
      <c r="E4" s="84"/>
      <c r="F4" s="84"/>
      <c r="G4" s="84"/>
      <c r="H4" s="84"/>
      <c r="I4" s="84"/>
      <c r="J4" s="84"/>
      <c r="K4" s="84"/>
      <c r="L4" s="84"/>
      <c r="M4" s="84"/>
      <c r="N4" s="84"/>
      <c r="O4" s="84"/>
      <c r="P4" s="84"/>
      <c r="Q4" s="84"/>
      <c r="R4" s="84"/>
      <c r="S4" s="84"/>
      <c r="T4" s="84"/>
      <c r="U4" s="84"/>
      <c r="V4" s="84"/>
      <c r="W4" s="84"/>
      <c r="X4" s="84"/>
      <c r="Y4" s="84"/>
      <c r="Z4" s="84"/>
      <c r="AA4" s="84"/>
      <c r="AB4" s="84"/>
      <c r="AC4" s="84"/>
      <c r="AD4" s="84"/>
      <c r="AE4" s="84"/>
      <c r="AF4" s="84"/>
      <c r="AG4" s="84"/>
      <c r="AH4" s="84"/>
      <c r="AI4" s="84"/>
      <c r="AJ4" s="84"/>
      <c r="AK4" s="84"/>
      <c r="AL4" s="84"/>
      <c r="AM4" s="84"/>
      <c r="AN4" s="84"/>
      <c r="AO4" s="84"/>
      <c r="AP4" s="84"/>
    </row>
    <row r="5" customHeight="1" spans="1:42">
      <c r="A5" s="84"/>
      <c r="B5" s="84"/>
      <c r="C5" s="84"/>
      <c r="D5" s="84"/>
      <c r="E5" s="84"/>
      <c r="F5" s="84"/>
      <c r="G5" s="84"/>
      <c r="H5" s="84"/>
      <c r="I5" s="84"/>
      <c r="J5" s="84"/>
      <c r="K5" s="84"/>
      <c r="L5" s="84"/>
      <c r="M5" s="84"/>
      <c r="N5" s="84"/>
      <c r="O5" s="84"/>
      <c r="P5" s="84"/>
      <c r="Q5" s="84"/>
      <c r="R5" s="84"/>
      <c r="S5" s="84"/>
      <c r="T5" s="84"/>
      <c r="U5" s="84"/>
      <c r="V5" s="84"/>
      <c r="W5" s="84"/>
      <c r="X5" s="84"/>
      <c r="Y5" s="84"/>
      <c r="Z5" s="84"/>
      <c r="AA5" s="84"/>
      <c r="AB5" s="84"/>
      <c r="AC5" s="84"/>
      <c r="AD5" s="84"/>
      <c r="AE5" s="84"/>
      <c r="AF5" s="84"/>
      <c r="AG5" s="84"/>
      <c r="AH5" s="84"/>
      <c r="AI5" s="84"/>
      <c r="AJ5" s="84"/>
      <c r="AK5" s="84"/>
      <c r="AL5" s="84"/>
      <c r="AM5" s="84"/>
      <c r="AN5" s="84"/>
      <c r="AO5" s="84"/>
      <c r="AP5" s="84"/>
    </row>
    <row r="6" customHeight="1" spans="1:42">
      <c r="A6" s="85"/>
      <c r="B6" s="85"/>
      <c r="C6" s="85"/>
      <c r="D6" s="85"/>
      <c r="E6" s="85"/>
      <c r="F6" s="85"/>
      <c r="G6" s="85"/>
      <c r="H6" s="86"/>
      <c r="I6" s="86"/>
      <c r="J6" s="86"/>
      <c r="K6" s="86"/>
      <c r="L6" s="86"/>
      <c r="M6" s="86"/>
      <c r="N6" s="86"/>
      <c r="O6" s="86"/>
      <c r="P6" s="86"/>
      <c r="Q6" s="86"/>
      <c r="R6" s="85"/>
      <c r="S6" s="85"/>
      <c r="T6" s="85"/>
      <c r="U6" s="85"/>
      <c r="V6" s="85"/>
      <c r="W6" s="85"/>
      <c r="X6" s="85"/>
      <c r="Y6" s="85"/>
      <c r="Z6" s="85"/>
      <c r="AA6" s="85"/>
      <c r="AB6" s="85"/>
      <c r="AC6" s="85"/>
      <c r="AD6" s="85"/>
      <c r="AE6" s="85"/>
      <c r="AF6" s="85"/>
      <c r="AG6" s="85"/>
      <c r="AH6" s="85"/>
      <c r="AI6" s="85"/>
      <c r="AJ6" s="85"/>
      <c r="AK6" s="85"/>
      <c r="AL6" s="85"/>
      <c r="AM6" s="85"/>
      <c r="AN6" s="85"/>
      <c r="AO6" s="85"/>
      <c r="AP6" s="85"/>
    </row>
    <row r="7" customHeight="1" spans="5:23">
      <c r="E7" s="87"/>
      <c r="F7" s="87"/>
      <c r="G7" s="87"/>
      <c r="H7" s="88"/>
      <c r="I7" s="88"/>
      <c r="J7" s="88"/>
      <c r="K7" s="88"/>
      <c r="L7" s="88"/>
      <c r="M7" s="88"/>
      <c r="N7" s="89"/>
      <c r="O7" s="89"/>
      <c r="P7" s="89"/>
      <c r="Q7" s="89"/>
      <c r="T7" s="89"/>
      <c r="U7" s="89"/>
      <c r="V7" s="89"/>
      <c r="W7" s="89"/>
    </row>
    <row r="8" customHeight="1" spans="8:23">
      <c r="H8" s="89"/>
      <c r="I8" s="89"/>
      <c r="J8" s="89"/>
      <c r="K8" s="89"/>
      <c r="L8" s="89"/>
      <c r="M8" s="89"/>
      <c r="N8" s="89"/>
      <c r="O8" s="89"/>
      <c r="P8" s="89"/>
      <c r="Q8" s="89"/>
      <c r="T8" s="89"/>
      <c r="U8" s="89"/>
      <c r="V8" s="89"/>
      <c r="W8" s="89"/>
    </row>
    <row r="9" customHeight="1" spans="8:23">
      <c r="H9" s="89"/>
      <c r="I9" s="89"/>
      <c r="J9" s="89"/>
      <c r="K9" s="89"/>
      <c r="L9" s="89"/>
      <c r="M9" s="89"/>
      <c r="N9" s="89"/>
      <c r="O9" s="89"/>
      <c r="P9" s="89"/>
      <c r="Q9" s="89"/>
      <c r="R9" s="89"/>
      <c r="S9" s="89"/>
      <c r="T9" s="89"/>
      <c r="U9" s="89"/>
      <c r="V9" s="89"/>
      <c r="W9" s="89"/>
    </row>
    <row r="10" customHeight="1" spans="17:23">
      <c r="Q10" s="89"/>
      <c r="R10" s="89"/>
      <c r="S10" s="89"/>
      <c r="T10" s="89"/>
      <c r="U10" s="89"/>
      <c r="V10" s="89"/>
      <c r="W10" s="89"/>
    </row>
    <row r="11" customHeight="1" spans="17:23">
      <c r="Q11" s="89"/>
      <c r="R11" s="89"/>
      <c r="S11" s="89"/>
      <c r="T11" s="89"/>
      <c r="U11" s="89"/>
      <c r="V11" s="89"/>
      <c r="W11" s="89"/>
    </row>
    <row r="12" customHeight="1" spans="17:23">
      <c r="Q12" s="89"/>
      <c r="R12" s="89"/>
      <c r="S12" s="89"/>
      <c r="T12" s="89"/>
      <c r="U12" s="89"/>
      <c r="V12" s="89"/>
      <c r="W12" s="89"/>
    </row>
    <row r="13" customHeight="1" spans="17:23">
      <c r="Q13" s="89"/>
      <c r="R13" s="89"/>
      <c r="S13" s="89"/>
      <c r="T13" s="89"/>
      <c r="U13" s="89"/>
      <c r="V13" s="89"/>
      <c r="W13" s="89"/>
    </row>
  </sheetData>
  <sheetProtection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C72" sqref="C72"/>
    </sheetView>
  </sheetViews>
  <sheetFormatPr defaultColWidth="9" defaultRowHeight="21.95" customHeight="1"/>
  <cols>
    <col min="1" max="1" width="1.625" style="65" customWidth="1"/>
    <col min="2" max="2" width="2.625" style="66" customWidth="1"/>
    <col min="3" max="3" width="15.25" style="67" customWidth="1"/>
    <col min="4" max="4" width="19.125" style="68" customWidth="1"/>
    <col min="5" max="5" width="10.5" style="68" customWidth="1"/>
    <col min="6" max="8" width="24.625" style="68" customWidth="1"/>
    <col min="9" max="9" width="2.625" style="66" customWidth="1"/>
    <col min="10" max="10" width="4.25" style="65" customWidth="1"/>
    <col min="11" max="16384" width="9" style="65"/>
  </cols>
  <sheetData>
    <row r="1" s="63" customFormat="1" ht="54.95" customHeight="1" spans="1:10">
      <c r="A1" s="69"/>
      <c r="C1" s="70"/>
      <c r="J1" s="82"/>
    </row>
    <row r="2" ht="15.95" customHeight="1" spans="2:9">
      <c r="B2" s="65"/>
      <c r="C2" s="71"/>
      <c r="D2" s="65"/>
      <c r="E2" s="65"/>
      <c r="F2" s="65"/>
      <c r="G2" s="65"/>
      <c r="H2" s="65"/>
      <c r="I2" s="65"/>
    </row>
    <row r="3" ht="15.95" customHeight="1" spans="3:8">
      <c r="C3" s="72"/>
      <c r="D3" s="66"/>
      <c r="E3" s="66"/>
      <c r="F3" s="66"/>
      <c r="G3" s="66"/>
      <c r="H3" s="66"/>
    </row>
    <row r="4" ht="75.95" customHeight="1" spans="3:8">
      <c r="C4" s="73" t="s">
        <v>0</v>
      </c>
      <c r="D4" s="74"/>
      <c r="E4" s="74"/>
      <c r="F4" s="75">
        <f>D7</f>
        <v>1</v>
      </c>
      <c r="G4" s="76" t="s">
        <v>1</v>
      </c>
      <c r="H4" s="76"/>
    </row>
    <row r="5" ht="6" customHeight="1" spans="3:8">
      <c r="C5" s="77"/>
      <c r="D5" s="74"/>
      <c r="E5" s="74"/>
      <c r="F5" s="78"/>
      <c r="G5" s="78"/>
      <c r="H5" s="78"/>
    </row>
    <row r="6" s="64" customFormat="1" ht="9" customHeight="1" spans="2:9">
      <c r="B6" s="66"/>
      <c r="C6" s="79"/>
      <c r="D6" s="80"/>
      <c r="E6" s="80"/>
      <c r="F6" s="81"/>
      <c r="G6" s="81"/>
      <c r="H6" s="81"/>
      <c r="I6" s="66"/>
    </row>
    <row r="7" hidden="1" customHeight="1" spans="2:4">
      <c r="B7" s="66" t="s">
        <v>2</v>
      </c>
      <c r="D7" s="68">
        <v>1</v>
      </c>
    </row>
    <row r="8" customHeight="1" spans="3:4">
      <c r="C8" s="67" t="s">
        <v>3</v>
      </c>
      <c r="D8" s="68" t="s">
        <v>4</v>
      </c>
    </row>
    <row r="9" customHeight="1" spans="3:4">
      <c r="C9" s="67" t="s">
        <v>5</v>
      </c>
      <c r="D9" s="68" t="s">
        <v>6</v>
      </c>
    </row>
    <row r="18" hidden="1" customHeight="1" spans="3:4">
      <c r="C18" s="67" t="s">
        <v>3</v>
      </c>
      <c r="D18" s="68" t="s">
        <v>7</v>
      </c>
    </row>
    <row r="19" hidden="1" customHeight="1" spans="3:4">
      <c r="C19" s="67" t="s">
        <v>5</v>
      </c>
      <c r="D19" s="68" t="s">
        <v>8</v>
      </c>
    </row>
    <row r="20" hidden="1" customHeight="1" spans="3:4">
      <c r="C20" s="67" t="s">
        <v>9</v>
      </c>
      <c r="D20" s="68" t="s">
        <v>10</v>
      </c>
    </row>
    <row r="21" hidden="1" customHeight="1"/>
    <row r="22" hidden="1" customHeight="1"/>
    <row r="23" hidden="1" customHeight="1"/>
    <row r="24" hidden="1" customHeight="1"/>
    <row r="25" hidden="1" customHeight="1"/>
    <row r="26" hidden="1" customHeight="1"/>
    <row r="27" hidden="1" customHeight="1"/>
    <row r="28" hidden="1" customHeight="1" spans="3:4">
      <c r="C28" s="67" t="s">
        <v>3</v>
      </c>
      <c r="D28" s="68" t="s">
        <v>11</v>
      </c>
    </row>
    <row r="29" hidden="1" customHeight="1" spans="3:4">
      <c r="C29" s="67" t="s">
        <v>5</v>
      </c>
      <c r="D29" s="68" t="s">
        <v>12</v>
      </c>
    </row>
    <row r="30" hidden="1" customHeight="1" spans="3:4">
      <c r="C30" s="67" t="s">
        <v>9</v>
      </c>
      <c r="D30" s="68" t="s">
        <v>10</v>
      </c>
    </row>
    <row r="31" hidden="1" customHeight="1"/>
    <row r="32" hidden="1" customHeight="1"/>
    <row r="33" hidden="1" customHeight="1"/>
    <row r="34" hidden="1" customHeight="1"/>
    <row r="35" hidden="1" customHeight="1"/>
    <row r="36" hidden="1" customHeight="1"/>
    <row r="37" hidden="1" customHeight="1"/>
    <row r="38" hidden="1" customHeight="1" spans="3:4">
      <c r="C38" s="67" t="s">
        <v>3</v>
      </c>
      <c r="D38" s="68" t="s">
        <v>13</v>
      </c>
    </row>
    <row r="39" hidden="1" customHeight="1" spans="3:4">
      <c r="C39" s="67" t="s">
        <v>5</v>
      </c>
      <c r="D39" s="68" t="s">
        <v>14</v>
      </c>
    </row>
    <row r="40" hidden="1" customHeight="1" spans="3:4">
      <c r="C40" s="67" t="s">
        <v>9</v>
      </c>
      <c r="D40" s="68" t="s">
        <v>12</v>
      </c>
    </row>
    <row r="41" hidden="1" customHeight="1"/>
    <row r="42" hidden="1" customHeight="1"/>
    <row r="43" hidden="1" customHeight="1"/>
    <row r="44" hidden="1" customHeight="1"/>
    <row r="45" hidden="1" customHeight="1"/>
    <row r="46" hidden="1" customHeight="1"/>
    <row r="47" hidden="1" customHeight="1"/>
    <row r="48" hidden="1" customHeight="1" spans="3:4">
      <c r="C48" s="67" t="s">
        <v>3</v>
      </c>
      <c r="D48" s="68" t="s">
        <v>15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4">
      <c r="C58" s="67" t="s">
        <v>3</v>
      </c>
      <c r="D58" s="68" t="s">
        <v>16</v>
      </c>
    </row>
    <row r="59" hidden="1" customHeight="1" spans="4:4">
      <c r="D59" s="68" t="s">
        <v>17</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67" t="s">
        <v>3</v>
      </c>
      <c r="D68" s="68" t="s">
        <v>18</v>
      </c>
    </row>
    <row r="69" hidden="1" customHeight="1" spans="3:4">
      <c r="C69" s="67" t="s">
        <v>5</v>
      </c>
      <c r="D69" s="68" t="s">
        <v>19</v>
      </c>
    </row>
    <row r="70" hidden="1" customHeight="1" spans="3:4">
      <c r="C70" s="67" t="s">
        <v>9</v>
      </c>
      <c r="D70" s="68" t="s">
        <v>20</v>
      </c>
    </row>
    <row r="71" hidden="1" customHeight="1" spans="3:4">
      <c r="C71" s="67" t="s">
        <v>21</v>
      </c>
      <c r="D71" s="68" t="s">
        <v>22</v>
      </c>
    </row>
    <row r="72" hidden="1" customHeight="1"/>
    <row r="73" hidden="1" customHeight="1"/>
    <row r="74" hidden="1" customHeight="1"/>
    <row r="75" hidden="1" customHeight="1"/>
    <row r="76" hidden="1" customHeight="1"/>
    <row r="77" hidden="1" customHeight="1"/>
    <row r="78" hidden="1" customHeight="1" spans="3:3">
      <c r="C78" s="67">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67">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67">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3"/>
  <sheetViews>
    <sheetView workbookViewId="0">
      <selection activeCell="E1" sqref="E1"/>
    </sheetView>
  </sheetViews>
  <sheetFormatPr defaultColWidth="9" defaultRowHeight="14.25" outlineLevelRow="2" outlineLevelCol="4"/>
  <sheetData>
    <row r="1" spans="1:5">
      <c r="A1" s="62">
        <v>58441</v>
      </c>
      <c r="C1" s="62">
        <v>47848</v>
      </c>
      <c r="D1">
        <v>1000</v>
      </c>
      <c r="E1">
        <v>10</v>
      </c>
    </row>
    <row r="3" spans="1:1">
      <c r="A3" t="s">
        <v>23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K4"/>
  <sheetViews>
    <sheetView showGridLines="0" workbookViewId="0">
      <pane ySplit="4" topLeftCell="A5" activePane="bottomLeft" state="frozen"/>
      <selection/>
      <selection pane="bottomLeft" activeCell="E8" sqref="E8"/>
    </sheetView>
  </sheetViews>
  <sheetFormatPr defaultColWidth="9" defaultRowHeight="20.1" customHeight="1" outlineLevelRow="3"/>
  <cols>
    <col min="1" max="1" width="4.625" style="3" customWidth="1"/>
    <col min="2" max="2" width="3.375" style="4" customWidth="1"/>
    <col min="3" max="10" width="16.875" style="59" customWidth="1"/>
    <col min="11" max="11" width="3.375" style="4" customWidth="1"/>
    <col min="12" max="16384" width="9" style="3"/>
  </cols>
  <sheetData>
    <row r="1" s="1" customFormat="1" ht="60" customHeight="1" spans="1:1">
      <c r="A1" s="7"/>
    </row>
    <row r="2" s="2" customFormat="1" ht="39.95" customHeight="1" spans="8:10">
      <c r="H2" s="61"/>
      <c r="I2" s="35" t="s">
        <v>24</v>
      </c>
      <c r="J2" s="35"/>
    </row>
    <row r="3" s="2" customFormat="1" customHeight="1" spans="2:11">
      <c r="B3" s="9"/>
      <c r="C3" s="60"/>
      <c r="D3" s="60"/>
      <c r="E3" s="60"/>
      <c r="F3" s="60"/>
      <c r="G3" s="60"/>
      <c r="H3" s="60"/>
      <c r="I3" s="60"/>
      <c r="J3" s="60"/>
      <c r="K3" s="9"/>
    </row>
    <row r="4" s="2" customFormat="1" ht="30" customHeight="1" spans="2:11">
      <c r="B4" s="9"/>
      <c r="C4" s="41" t="s">
        <v>25</v>
      </c>
      <c r="D4" s="41" t="s">
        <v>26</v>
      </c>
      <c r="E4" s="41" t="s">
        <v>27</v>
      </c>
      <c r="F4" s="41" t="s">
        <v>28</v>
      </c>
      <c r="G4" s="41" t="s">
        <v>29</v>
      </c>
      <c r="H4" s="41" t="s">
        <v>30</v>
      </c>
      <c r="I4" s="41" t="s">
        <v>31</v>
      </c>
      <c r="J4" s="41" t="s">
        <v>32</v>
      </c>
      <c r="K4" s="9"/>
    </row>
  </sheetData>
  <sheetProtection formatCells="0" formatColumns="0" formatRows="0" insertRows="0" insertColumns="0" insertHyperlinks="0" deleteColumns="0" deleteRows="0" sort="0" autoFilter="0" pivotTables="0"/>
  <mergeCells count="1">
    <mergeCell ref="I2:J2"/>
  </mergeCells>
  <dataValidations count="1">
    <dataValidation type="list" allowBlank="1" showInputMessage="1" sqref="E5:E1048576">
      <formula1>基础资料!$F$5:$F$165536</formula1>
    </dataValidation>
  </dataValidations>
  <pageMargins left="0.75" right="0.75" top="1" bottom="1" header="0.5" footer="0.5"/>
  <pageSetup paperSize="9" orientation="portrait"/>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pageSetUpPr fitToPage="1"/>
  </sheetPr>
  <dimension ref="A1:I19"/>
  <sheetViews>
    <sheetView showGridLines="0" workbookViewId="0">
      <selection activeCell="E10" sqref="E10"/>
    </sheetView>
  </sheetViews>
  <sheetFormatPr defaultColWidth="9" defaultRowHeight="20.1" customHeight="1"/>
  <cols>
    <col min="1" max="1" width="4.625" style="3" customWidth="1"/>
    <col min="2" max="2" width="3.375" style="4" customWidth="1"/>
    <col min="3" max="8" width="20.625" style="47" customWidth="1"/>
    <col min="9" max="9" width="3.375" style="4" customWidth="1"/>
    <col min="10" max="16384" width="9" style="3"/>
  </cols>
  <sheetData>
    <row r="1" s="1" customFormat="1" ht="60" customHeight="1" spans="1:8">
      <c r="A1" s="7"/>
      <c r="C1" s="48"/>
      <c r="D1" s="48"/>
      <c r="E1" s="48"/>
      <c r="F1" s="48"/>
      <c r="G1" s="48"/>
      <c r="H1" s="48"/>
    </row>
    <row r="2" s="2" customFormat="1" ht="39.95" customHeight="1" spans="3:8">
      <c r="C2" s="49"/>
      <c r="D2" s="49"/>
      <c r="E2" s="49"/>
      <c r="F2" s="49"/>
      <c r="G2" s="49"/>
      <c r="H2" s="49"/>
    </row>
    <row r="3" s="2" customFormat="1" customHeight="1" spans="2:9">
      <c r="B3" s="9"/>
      <c r="C3" s="50"/>
      <c r="D3" s="50"/>
      <c r="E3" s="50"/>
      <c r="F3" s="50"/>
      <c r="G3" s="50"/>
      <c r="H3" s="50"/>
      <c r="I3" s="9"/>
    </row>
    <row r="4" s="2" customFormat="1" ht="40" customHeight="1" spans="2:9">
      <c r="B4" s="9"/>
      <c r="C4" s="51" t="s">
        <v>33</v>
      </c>
      <c r="D4" s="51"/>
      <c r="E4" s="51"/>
      <c r="F4" s="51"/>
      <c r="G4" s="51"/>
      <c r="H4" s="51"/>
      <c r="I4" s="9"/>
    </row>
    <row r="5" s="2" customFormat="1" ht="30" customHeight="1" spans="2:9">
      <c r="B5" s="9"/>
      <c r="C5" s="52" t="s">
        <v>34</v>
      </c>
      <c r="D5" s="53" t="s">
        <v>35</v>
      </c>
      <c r="E5" s="52" t="s">
        <v>36</v>
      </c>
      <c r="F5" s="53" t="s">
        <v>37</v>
      </c>
      <c r="G5" s="52" t="s">
        <v>38</v>
      </c>
      <c r="H5" s="54">
        <v>45205</v>
      </c>
      <c r="I5" s="9"/>
    </row>
    <row r="6" s="2" customFormat="1" ht="30" customHeight="1" spans="2:9">
      <c r="B6" s="9"/>
      <c r="C6" s="55" t="s">
        <v>26</v>
      </c>
      <c r="D6" s="55" t="s">
        <v>27</v>
      </c>
      <c r="E6" s="55" t="s">
        <v>28</v>
      </c>
      <c r="F6" s="55" t="s">
        <v>30</v>
      </c>
      <c r="G6" s="55" t="s">
        <v>39</v>
      </c>
      <c r="H6" s="55" t="s">
        <v>31</v>
      </c>
      <c r="I6" s="9"/>
    </row>
    <row r="7" customHeight="1" spans="3:8">
      <c r="C7" s="56" t="s">
        <v>40</v>
      </c>
      <c r="D7" s="56" t="s">
        <v>41</v>
      </c>
      <c r="E7" s="56" t="s">
        <v>42</v>
      </c>
      <c r="F7" s="56">
        <v>10</v>
      </c>
      <c r="G7" s="56">
        <v>10</v>
      </c>
      <c r="H7" s="56">
        <v>100</v>
      </c>
    </row>
    <row r="8" customHeight="1" spans="3:8">
      <c r="C8" s="56" t="s">
        <v>43</v>
      </c>
      <c r="D8" s="56" t="s">
        <v>44</v>
      </c>
      <c r="E8" s="56" t="s">
        <v>42</v>
      </c>
      <c r="F8" s="56">
        <v>20</v>
      </c>
      <c r="G8" s="56">
        <v>2</v>
      </c>
      <c r="H8" s="56">
        <v>40</v>
      </c>
    </row>
    <row r="9" customHeight="1" spans="3:8">
      <c r="C9" s="56"/>
      <c r="D9" s="56"/>
      <c r="E9" s="56"/>
      <c r="F9" s="56"/>
      <c r="G9" s="56"/>
      <c r="H9" s="56"/>
    </row>
    <row r="10" customHeight="1" spans="3:8">
      <c r="C10" s="56"/>
      <c r="D10" s="56"/>
      <c r="E10" s="56"/>
      <c r="F10" s="56"/>
      <c r="G10" s="56"/>
      <c r="H10" s="56"/>
    </row>
    <row r="11" customHeight="1" spans="3:8">
      <c r="C11" s="56"/>
      <c r="D11" s="56"/>
      <c r="E11" s="56"/>
      <c r="F11" s="56"/>
      <c r="G11" s="56"/>
      <c r="H11" s="56"/>
    </row>
    <row r="12" customHeight="1" spans="3:8">
      <c r="C12" s="56"/>
      <c r="D12" s="56"/>
      <c r="E12" s="56"/>
      <c r="F12" s="56"/>
      <c r="G12" s="56"/>
      <c r="H12" s="56"/>
    </row>
    <row r="13" customHeight="1" spans="3:8">
      <c r="C13" s="56"/>
      <c r="D13" s="56"/>
      <c r="E13" s="56"/>
      <c r="F13" s="56"/>
      <c r="G13" s="56"/>
      <c r="H13" s="56"/>
    </row>
    <row r="14" customHeight="1" spans="3:8">
      <c r="C14" s="56"/>
      <c r="D14" s="56"/>
      <c r="E14" s="56"/>
      <c r="F14" s="56"/>
      <c r="G14" s="56"/>
      <c r="H14" s="56"/>
    </row>
    <row r="15" customHeight="1" spans="3:8">
      <c r="C15" s="56"/>
      <c r="D15" s="56"/>
      <c r="E15" s="56"/>
      <c r="F15" s="56"/>
      <c r="G15" s="56"/>
      <c r="H15" s="56"/>
    </row>
    <row r="16" customHeight="1" spans="3:8">
      <c r="C16" s="56"/>
      <c r="D16" s="56"/>
      <c r="E16" s="56"/>
      <c r="F16" s="56"/>
      <c r="G16" s="56"/>
      <c r="H16" s="56"/>
    </row>
    <row r="17" customHeight="1" spans="3:8">
      <c r="C17" s="56"/>
      <c r="D17" s="56"/>
      <c r="E17" s="56"/>
      <c r="F17" s="56"/>
      <c r="G17" s="56"/>
      <c r="H17" s="56"/>
    </row>
    <row r="18" customHeight="1" spans="3:8">
      <c r="C18" s="56"/>
      <c r="D18" s="56"/>
      <c r="E18" s="56"/>
      <c r="F18" s="56"/>
      <c r="G18" s="56"/>
      <c r="H18" s="56"/>
    </row>
    <row r="19" ht="30" customHeight="1" spans="3:8">
      <c r="C19" s="57" t="s">
        <v>45</v>
      </c>
      <c r="D19" s="58">
        <f>G19</f>
        <v>140</v>
      </c>
      <c r="E19" s="58"/>
      <c r="F19" s="57" t="s">
        <v>46</v>
      </c>
      <c r="G19" s="57">
        <f>SUM(H7:H18)</f>
        <v>140</v>
      </c>
      <c r="H19" s="57"/>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K4"/>
  <sheetViews>
    <sheetView showGridLines="0" workbookViewId="0">
      <pane ySplit="4" topLeftCell="A5" activePane="bottomLeft" state="frozen"/>
      <selection/>
      <selection pane="bottomLeft" activeCell="E8" sqref="E8"/>
    </sheetView>
  </sheetViews>
  <sheetFormatPr defaultColWidth="9" defaultRowHeight="20.1" customHeight="1" outlineLevelRow="3"/>
  <cols>
    <col min="1" max="1" width="4.625" style="3" customWidth="1"/>
    <col min="2" max="2" width="3.375" style="4" customWidth="1"/>
    <col min="3" max="10" width="16.875" style="59" customWidth="1"/>
    <col min="11" max="11" width="3.375" style="4" customWidth="1"/>
    <col min="12" max="16384" width="9" style="3"/>
  </cols>
  <sheetData>
    <row r="1" s="1" customFormat="1" ht="60" customHeight="1" spans="1:1">
      <c r="A1" s="7"/>
    </row>
    <row r="2" s="2" customFormat="1" ht="39.95" customHeight="1" spans="7:10">
      <c r="G2" s="35" t="s">
        <v>47</v>
      </c>
      <c r="H2" s="35"/>
      <c r="I2" s="35" t="s">
        <v>24</v>
      </c>
      <c r="J2" s="35"/>
    </row>
    <row r="3" s="2" customFormat="1" customHeight="1" spans="2:11">
      <c r="B3" s="9"/>
      <c r="C3" s="60"/>
      <c r="D3" s="60"/>
      <c r="E3" s="60"/>
      <c r="F3" s="60"/>
      <c r="G3" s="60"/>
      <c r="H3" s="60"/>
      <c r="I3" s="60"/>
      <c r="J3" s="60"/>
      <c r="K3" s="9"/>
    </row>
    <row r="4" s="2" customFormat="1" ht="30" customHeight="1" spans="2:11">
      <c r="B4" s="9"/>
      <c r="C4" s="41" t="s">
        <v>25</v>
      </c>
      <c r="D4" s="41" t="s">
        <v>26</v>
      </c>
      <c r="E4" s="41" t="s">
        <v>27</v>
      </c>
      <c r="F4" s="41" t="s">
        <v>28</v>
      </c>
      <c r="G4" s="41" t="s">
        <v>29</v>
      </c>
      <c r="H4" s="41" t="s">
        <v>30</v>
      </c>
      <c r="I4" s="41" t="s">
        <v>39</v>
      </c>
      <c r="J4" s="41" t="s">
        <v>32</v>
      </c>
      <c r="K4" s="9"/>
    </row>
  </sheetData>
  <sheetProtection formatCells="0" formatColumns="0" formatRows="0" insertRows="0" insertColumns="0" insertHyperlinks="0" deleteColumns="0" deleteRows="0" sort="0" autoFilter="0" pivotTables="0"/>
  <mergeCells count="2">
    <mergeCell ref="G2:H2"/>
    <mergeCell ref="I2:J2"/>
  </mergeCells>
  <dataValidations count="1">
    <dataValidation type="list" allowBlank="1" showInputMessage="1" sqref="E5:E1048576">
      <formula1>基础资料!$F$5:$F$65536</formula1>
    </dataValidation>
  </dataValidations>
  <pageMargins left="0.7" right="0.7" top="0.75" bottom="0.75" header="0.3" footer="0.3"/>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A1:I19"/>
  <sheetViews>
    <sheetView showGridLines="0" workbookViewId="0">
      <selection activeCell="E11" sqref="E11"/>
    </sheetView>
  </sheetViews>
  <sheetFormatPr defaultColWidth="9" defaultRowHeight="20.1" customHeight="1"/>
  <cols>
    <col min="1" max="1" width="4.625" style="3" customWidth="1"/>
    <col min="2" max="2" width="3.375" style="4" customWidth="1"/>
    <col min="3" max="8" width="20.625" style="47" customWidth="1"/>
    <col min="9" max="9" width="3.375" style="4" customWidth="1"/>
    <col min="10" max="16384" width="9" style="3"/>
  </cols>
  <sheetData>
    <row r="1" s="1" customFormat="1" ht="60" customHeight="1" spans="1:8">
      <c r="A1" s="7"/>
      <c r="C1" s="48"/>
      <c r="D1" s="48"/>
      <c r="E1" s="48"/>
      <c r="F1" s="48"/>
      <c r="G1" s="48"/>
      <c r="H1" s="48"/>
    </row>
    <row r="2" s="2" customFormat="1" ht="39.95" customHeight="1" spans="3:8">
      <c r="C2" s="49"/>
      <c r="D2" s="49"/>
      <c r="E2" s="49"/>
      <c r="F2" s="49"/>
      <c r="G2" s="49"/>
      <c r="H2" s="49"/>
    </row>
    <row r="3" s="2" customFormat="1" customHeight="1" spans="2:9">
      <c r="B3" s="9"/>
      <c r="C3" s="50"/>
      <c r="D3" s="50"/>
      <c r="E3" s="50"/>
      <c r="F3" s="50"/>
      <c r="G3" s="50"/>
      <c r="H3" s="50"/>
      <c r="I3" s="9"/>
    </row>
    <row r="4" s="2" customFormat="1" ht="40" customHeight="1" spans="2:9">
      <c r="B4" s="9"/>
      <c r="C4" s="51" t="s">
        <v>48</v>
      </c>
      <c r="D4" s="51"/>
      <c r="E4" s="51"/>
      <c r="F4" s="51"/>
      <c r="G4" s="51"/>
      <c r="H4" s="51"/>
      <c r="I4" s="9"/>
    </row>
    <row r="5" s="2" customFormat="1" ht="30" customHeight="1" spans="2:9">
      <c r="B5" s="9"/>
      <c r="C5" s="52" t="s">
        <v>34</v>
      </c>
      <c r="D5" s="53" t="s">
        <v>49</v>
      </c>
      <c r="E5" s="52" t="s">
        <v>50</v>
      </c>
      <c r="F5" s="53" t="s">
        <v>51</v>
      </c>
      <c r="G5" s="52" t="s">
        <v>52</v>
      </c>
      <c r="H5" s="54">
        <v>45205</v>
      </c>
      <c r="I5" s="9"/>
    </row>
    <row r="6" s="2" customFormat="1" ht="30" customHeight="1" spans="2:9">
      <c r="B6" s="9"/>
      <c r="C6" s="55" t="s">
        <v>26</v>
      </c>
      <c r="D6" s="55" t="s">
        <v>27</v>
      </c>
      <c r="E6" s="55" t="s">
        <v>28</v>
      </c>
      <c r="F6" s="55" t="s">
        <v>30</v>
      </c>
      <c r="G6" s="55" t="s">
        <v>39</v>
      </c>
      <c r="H6" s="55" t="s">
        <v>31</v>
      </c>
      <c r="I6" s="9"/>
    </row>
    <row r="7" s="3" customFormat="1" customHeight="1" spans="2:9">
      <c r="B7" s="4"/>
      <c r="C7" s="56" t="s">
        <v>40</v>
      </c>
      <c r="D7" s="56" t="s">
        <v>41</v>
      </c>
      <c r="E7" s="56" t="s">
        <v>42</v>
      </c>
      <c r="F7" s="56">
        <v>2</v>
      </c>
      <c r="G7" s="56">
        <v>12</v>
      </c>
      <c r="H7" s="56">
        <v>24</v>
      </c>
      <c r="I7" s="4"/>
    </row>
    <row r="8" s="3" customFormat="1" customHeight="1" spans="2:9">
      <c r="B8" s="4"/>
      <c r="C8" s="56" t="s">
        <v>43</v>
      </c>
      <c r="D8" s="56" t="s">
        <v>44</v>
      </c>
      <c r="E8" s="56" t="s">
        <v>42</v>
      </c>
      <c r="F8" s="56">
        <v>4</v>
      </c>
      <c r="G8" s="56">
        <v>12</v>
      </c>
      <c r="H8" s="56">
        <v>48</v>
      </c>
      <c r="I8" s="4"/>
    </row>
    <row r="9" s="3" customFormat="1" customHeight="1" spans="2:9">
      <c r="B9" s="4"/>
      <c r="C9" s="56"/>
      <c r="D9" s="56"/>
      <c r="E9" s="56"/>
      <c r="F9" s="56"/>
      <c r="G9" s="56"/>
      <c r="H9" s="56"/>
      <c r="I9" s="4"/>
    </row>
    <row r="10" s="3" customFormat="1" customHeight="1" spans="2:9">
      <c r="B10" s="4"/>
      <c r="C10" s="56"/>
      <c r="D10" s="56"/>
      <c r="E10" s="56"/>
      <c r="F10" s="56"/>
      <c r="G10" s="56"/>
      <c r="H10" s="56"/>
      <c r="I10" s="4"/>
    </row>
    <row r="11" s="3" customFormat="1" customHeight="1" spans="2:9">
      <c r="B11" s="4"/>
      <c r="C11" s="56"/>
      <c r="D11" s="56"/>
      <c r="E11" s="56"/>
      <c r="F11" s="56"/>
      <c r="G11" s="56"/>
      <c r="H11" s="56"/>
      <c r="I11" s="4"/>
    </row>
    <row r="12" s="3" customFormat="1" customHeight="1" spans="2:9">
      <c r="B12" s="4"/>
      <c r="C12" s="56"/>
      <c r="D12" s="56"/>
      <c r="E12" s="56"/>
      <c r="F12" s="56"/>
      <c r="G12" s="56"/>
      <c r="H12" s="56"/>
      <c r="I12" s="4"/>
    </row>
    <row r="13" s="3" customFormat="1" customHeight="1" spans="2:9">
      <c r="B13" s="4"/>
      <c r="C13" s="56"/>
      <c r="D13" s="56"/>
      <c r="E13" s="56"/>
      <c r="F13" s="56"/>
      <c r="G13" s="56"/>
      <c r="H13" s="56"/>
      <c r="I13" s="4"/>
    </row>
    <row r="14" s="3" customFormat="1" customHeight="1" spans="2:9">
      <c r="B14" s="4"/>
      <c r="C14" s="56"/>
      <c r="D14" s="56"/>
      <c r="E14" s="56"/>
      <c r="F14" s="56"/>
      <c r="G14" s="56"/>
      <c r="H14" s="56"/>
      <c r="I14" s="4"/>
    </row>
    <row r="15" s="3" customFormat="1" customHeight="1" spans="2:9">
      <c r="B15" s="4"/>
      <c r="C15" s="56"/>
      <c r="D15" s="56"/>
      <c r="E15" s="56"/>
      <c r="F15" s="56"/>
      <c r="G15" s="56"/>
      <c r="H15" s="56"/>
      <c r="I15" s="4"/>
    </row>
    <row r="16" s="3" customFormat="1" customHeight="1" spans="2:9">
      <c r="B16" s="4"/>
      <c r="C16" s="56"/>
      <c r="D16" s="56"/>
      <c r="E16" s="56"/>
      <c r="F16" s="56"/>
      <c r="G16" s="56"/>
      <c r="H16" s="56"/>
      <c r="I16" s="4"/>
    </row>
    <row r="17" s="3" customFormat="1" customHeight="1" spans="2:9">
      <c r="B17" s="4"/>
      <c r="C17" s="56"/>
      <c r="D17" s="56"/>
      <c r="E17" s="56"/>
      <c r="F17" s="56"/>
      <c r="G17" s="56"/>
      <c r="H17" s="56"/>
      <c r="I17" s="4"/>
    </row>
    <row r="18" s="3" customFormat="1" customHeight="1" spans="2:9">
      <c r="B18" s="4"/>
      <c r="C18" s="56"/>
      <c r="D18" s="56"/>
      <c r="E18" s="56"/>
      <c r="F18" s="56"/>
      <c r="G18" s="56"/>
      <c r="H18" s="56"/>
      <c r="I18" s="4"/>
    </row>
    <row r="19" s="3" customFormat="1" ht="30" customHeight="1" spans="2:9">
      <c r="B19" s="4"/>
      <c r="C19" s="57" t="s">
        <v>45</v>
      </c>
      <c r="D19" s="58">
        <f>G19</f>
        <v>72</v>
      </c>
      <c r="E19" s="58"/>
      <c r="F19" s="57" t="s">
        <v>46</v>
      </c>
      <c r="G19" s="57">
        <f>SUM(H7:H18)</f>
        <v>72</v>
      </c>
      <c r="H19" s="57"/>
      <c r="I19" s="4"/>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colBreaks count="1" manualBreakCount="1">
    <brk id="8" max="18" man="1"/>
  </colBreaks>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4"/>
  <sheetViews>
    <sheetView showGridLines="0" workbookViewId="0">
      <pane ySplit="4" topLeftCell="A5" activePane="bottomLeft" state="frozen"/>
      <selection/>
      <selection pane="bottomLeft" activeCell="F7" sqref="F7"/>
    </sheetView>
  </sheetViews>
  <sheetFormatPr defaultColWidth="9" defaultRowHeight="20.1" customHeight="1" outlineLevelRow="3"/>
  <cols>
    <col min="1" max="1" width="4.625" style="3" customWidth="1"/>
    <col min="2" max="2" width="3.375" style="4" customWidth="1"/>
    <col min="3" max="3" width="4.625" style="4" hidden="1" customWidth="1"/>
    <col min="4" max="10" width="16.875" style="13" customWidth="1"/>
    <col min="11" max="11" width="3.375" style="4" customWidth="1"/>
    <col min="12" max="12" width="4.25" style="3" hidden="1" customWidth="1"/>
    <col min="13" max="13" width="9" style="3"/>
    <col min="14" max="20" width="9" style="6"/>
  </cols>
  <sheetData>
    <row r="1" s="1" customFormat="1" ht="60" customHeight="1" spans="1:1">
      <c r="A1" s="7"/>
    </row>
    <row r="2" s="2" customFormat="1" ht="39.95" customHeight="1" spans="10:10">
      <c r="J2" s="46" t="s">
        <v>53</v>
      </c>
    </row>
    <row r="3" s="2" customFormat="1" customHeight="1" spans="2:11">
      <c r="B3" s="9"/>
      <c r="C3" s="9"/>
      <c r="D3" s="9"/>
      <c r="E3" s="9"/>
      <c r="F3" s="9"/>
      <c r="G3" s="9"/>
      <c r="H3" s="9"/>
      <c r="I3" s="9"/>
      <c r="J3" s="9"/>
      <c r="K3" s="9"/>
    </row>
    <row r="4" s="2" customFormat="1" ht="30" customHeight="1" spans="2:11">
      <c r="B4" s="9"/>
      <c r="C4" s="9" t="s">
        <v>54</v>
      </c>
      <c r="D4" s="41" t="s">
        <v>25</v>
      </c>
      <c r="E4" s="41" t="s">
        <v>26</v>
      </c>
      <c r="F4" s="41" t="s">
        <v>27</v>
      </c>
      <c r="G4" s="41" t="s">
        <v>28</v>
      </c>
      <c r="H4" s="41" t="s">
        <v>55</v>
      </c>
      <c r="I4" s="41" t="s">
        <v>56</v>
      </c>
      <c r="J4" s="41" t="s">
        <v>31</v>
      </c>
      <c r="K4" s="9"/>
    </row>
  </sheetData>
  <sheetProtection formatCells="0" formatColumns="0" formatRows="0" insertRows="0" insertColumns="0" insertHyperlinks="0" deleteColumns="0" deleteRows="0" sort="0" autoFilter="0" pivotTables="0"/>
  <dataValidations count="1">
    <dataValidation type="list" allowBlank="1" showInputMessage="1" sqref="F5:F1048576">
      <formula1>基础资料!$F$5:$F$65536</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O13"/>
  <sheetViews>
    <sheetView showGridLines="0" workbookViewId="0">
      <pane ySplit="4" topLeftCell="A5" activePane="bottomLeft" state="frozen"/>
      <selection/>
      <selection pane="bottomLeft" activeCell="I11" sqref="I11"/>
    </sheetView>
  </sheetViews>
  <sheetFormatPr defaultColWidth="9" defaultRowHeight="20.1" customHeight="1"/>
  <cols>
    <col min="1" max="1" width="4.625" style="3" customWidth="1"/>
    <col min="2" max="2" width="3.375" style="4" customWidth="1"/>
    <col min="3" max="3" width="4.625" style="4" hidden="1" customWidth="1"/>
    <col min="4" max="11" width="16.875" style="13" customWidth="1"/>
    <col min="12" max="12" width="16.875" style="40" customWidth="1"/>
    <col min="13" max="14" width="16.875" style="13" customWidth="1"/>
    <col min="15" max="15" width="3.375" style="4" customWidth="1"/>
    <col min="16" max="16" width="9" style="3" hidden="1" customWidth="1"/>
    <col min="17" max="17" width="9" style="3"/>
    <col min="18" max="16384" width="9" style="6"/>
  </cols>
  <sheetData>
    <row r="1" s="1" customFormat="1" ht="60" customHeight="1" spans="1:12">
      <c r="A1" s="7"/>
      <c r="L1" s="42"/>
    </row>
    <row r="2" s="2" customFormat="1" ht="39.95" customHeight="1" spans="12:12">
      <c r="L2" s="43"/>
    </row>
    <row r="3" s="2" customFormat="1" customHeight="1" spans="2:15">
      <c r="B3" s="9"/>
      <c r="C3" s="9"/>
      <c r="D3" s="9"/>
      <c r="E3" s="9"/>
      <c r="F3" s="9"/>
      <c r="G3" s="9"/>
      <c r="H3" s="9"/>
      <c r="I3" s="9"/>
      <c r="J3" s="9"/>
      <c r="K3" s="9"/>
      <c r="L3" s="44"/>
      <c r="M3" s="9"/>
      <c r="N3" s="9"/>
      <c r="O3" s="9"/>
    </row>
    <row r="4" s="2" customFormat="1" ht="30" customHeight="1" spans="2:15">
      <c r="B4" s="9"/>
      <c r="C4" s="9" t="s">
        <v>54</v>
      </c>
      <c r="D4" s="41" t="s">
        <v>25</v>
      </c>
      <c r="E4" s="41" t="s">
        <v>57</v>
      </c>
      <c r="F4" s="41" t="s">
        <v>27</v>
      </c>
      <c r="G4" s="41" t="s">
        <v>26</v>
      </c>
      <c r="H4" s="41" t="s">
        <v>28</v>
      </c>
      <c r="I4" s="41" t="s">
        <v>58</v>
      </c>
      <c r="J4" s="41" t="s">
        <v>30</v>
      </c>
      <c r="K4" s="41" t="s">
        <v>59</v>
      </c>
      <c r="L4" s="45" t="s">
        <v>60</v>
      </c>
      <c r="M4" s="41" t="s">
        <v>61</v>
      </c>
      <c r="N4" s="41" t="s">
        <v>62</v>
      </c>
      <c r="O4" s="9"/>
    </row>
    <row r="5" s="3" customFormat="1" customHeight="1" spans="2:15">
      <c r="B5" s="4"/>
      <c r="C5" s="4"/>
      <c r="D5" s="13"/>
      <c r="E5" s="13"/>
      <c r="F5" s="13"/>
      <c r="G5" s="13"/>
      <c r="H5" s="13"/>
      <c r="I5" s="13"/>
      <c r="J5" s="13"/>
      <c r="K5" s="13"/>
      <c r="L5" s="40"/>
      <c r="M5" s="13"/>
      <c r="N5" s="13"/>
      <c r="O5" s="4"/>
    </row>
    <row r="6" s="3" customFormat="1" customHeight="1" spans="2:15">
      <c r="B6" s="4"/>
      <c r="C6" s="4"/>
      <c r="D6" s="13"/>
      <c r="E6" s="13"/>
      <c r="F6" s="13"/>
      <c r="G6" s="13"/>
      <c r="H6" s="13"/>
      <c r="I6" s="13"/>
      <c r="J6" s="13"/>
      <c r="K6" s="13"/>
      <c r="L6" s="40"/>
      <c r="M6" s="13"/>
      <c r="N6" s="13"/>
      <c r="O6" s="4"/>
    </row>
    <row r="7" s="3" customFormat="1" customHeight="1" spans="2:15">
      <c r="B7" s="4"/>
      <c r="C7" s="4"/>
      <c r="D7" s="13"/>
      <c r="E7" s="13"/>
      <c r="F7" s="13"/>
      <c r="G7" s="13"/>
      <c r="H7" s="13"/>
      <c r="I7" s="13"/>
      <c r="J7" s="13"/>
      <c r="K7" s="13"/>
      <c r="L7" s="40"/>
      <c r="M7" s="13"/>
      <c r="N7" s="13"/>
      <c r="O7" s="4"/>
    </row>
    <row r="8" s="3" customFormat="1" customHeight="1" spans="2:15">
      <c r="B8" s="4"/>
      <c r="C8" s="4"/>
      <c r="D8" s="13"/>
      <c r="E8" s="13"/>
      <c r="F8" s="13"/>
      <c r="G8" s="13"/>
      <c r="H8" s="13"/>
      <c r="I8" s="13"/>
      <c r="J8" s="13"/>
      <c r="K8" s="13"/>
      <c r="L8" s="40"/>
      <c r="M8" s="13"/>
      <c r="N8" s="13"/>
      <c r="O8" s="4"/>
    </row>
    <row r="9" s="3" customFormat="1" customHeight="1" spans="2:15">
      <c r="B9" s="4"/>
      <c r="C9" s="4"/>
      <c r="D9" s="13"/>
      <c r="E9" s="13"/>
      <c r="F9" s="13"/>
      <c r="G9" s="13"/>
      <c r="H9" s="13"/>
      <c r="I9" s="13"/>
      <c r="J9" s="13"/>
      <c r="K9" s="13"/>
      <c r="L9" s="40"/>
      <c r="M9" s="13"/>
      <c r="N9" s="13"/>
      <c r="O9" s="4"/>
    </row>
    <row r="10" s="3" customFormat="1" customHeight="1" spans="2:15">
      <c r="B10" s="4"/>
      <c r="C10" s="4"/>
      <c r="D10" s="13"/>
      <c r="E10" s="13"/>
      <c r="F10" s="13"/>
      <c r="G10" s="13"/>
      <c r="H10" s="13"/>
      <c r="I10" s="13"/>
      <c r="J10" s="13"/>
      <c r="K10" s="13"/>
      <c r="L10" s="40"/>
      <c r="M10" s="13"/>
      <c r="N10" s="13"/>
      <c r="O10" s="4"/>
    </row>
    <row r="11" s="3" customFormat="1" customHeight="1" spans="2:15">
      <c r="B11" s="4"/>
      <c r="C11" s="4"/>
      <c r="D11" s="13"/>
      <c r="E11" s="13"/>
      <c r="F11" s="13"/>
      <c r="G11" s="13"/>
      <c r="H11" s="13"/>
      <c r="I11" s="13"/>
      <c r="J11" s="13"/>
      <c r="K11" s="13"/>
      <c r="L11" s="40"/>
      <c r="M11" s="13"/>
      <c r="N11" s="13"/>
      <c r="O11" s="4"/>
    </row>
    <row r="12" s="3" customFormat="1" customHeight="1" spans="2:15">
      <c r="B12" s="4"/>
      <c r="C12" s="4"/>
      <c r="D12" s="13"/>
      <c r="E12" s="13"/>
      <c r="F12" s="13"/>
      <c r="G12" s="13"/>
      <c r="H12" s="13"/>
      <c r="I12" s="13"/>
      <c r="J12" s="13"/>
      <c r="K12" s="13"/>
      <c r="L12" s="40"/>
      <c r="M12" s="13"/>
      <c r="N12" s="13"/>
      <c r="O12" s="4"/>
    </row>
    <row r="13" s="3" customFormat="1" customHeight="1" spans="2:15">
      <c r="B13" s="4"/>
      <c r="C13" s="4"/>
      <c r="D13" s="13"/>
      <c r="E13" s="13"/>
      <c r="F13" s="13"/>
      <c r="G13" s="13"/>
      <c r="H13" s="13"/>
      <c r="I13" s="13"/>
      <c r="J13" s="13"/>
      <c r="K13" s="13"/>
      <c r="L13" s="40"/>
      <c r="M13" s="13"/>
      <c r="N13" s="13"/>
      <c r="O13" s="4"/>
    </row>
  </sheetData>
  <sheetProtection formatCells="0" formatColumns="0" formatRows="0" insertRows="0" insertColumns="0" insertHyperlinks="0" deleteColumns="0" deleteRows="0" sort="0" autoFilter="0" pivotTables="0"/>
  <autoFilter ref="D4:K70">
    <extLst/>
  </autoFilter>
  <dataValidations count="1">
    <dataValidation type="list" allowBlank="1" showInputMessage="1" showErrorMessage="1" sqref="K19 K5:K18 K20:K1048576">
      <formula1>"入库,出库"</formula1>
    </dataValidation>
  </dataValidations>
  <pageMargins left="0.75" right="0.75" top="1" bottom="1" header="0.5" footer="0.5"/>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Q14"/>
  <sheetViews>
    <sheetView showGridLines="0" workbookViewId="0">
      <pane ySplit="5" topLeftCell="A6" activePane="bottomLeft" state="frozen"/>
      <selection/>
      <selection pane="bottomLeft" activeCell="H13" sqref="H13"/>
    </sheetView>
  </sheetViews>
  <sheetFormatPr defaultColWidth="9" defaultRowHeight="20.1" customHeight="1"/>
  <cols>
    <col min="1" max="1" width="4.625" style="28" customWidth="1"/>
    <col min="2" max="2" width="3.375" style="29" customWidth="1"/>
    <col min="3" max="3" width="4.625" style="29" hidden="1" customWidth="1"/>
    <col min="4" max="4" width="16.875" style="30" customWidth="1"/>
    <col min="5" max="7" width="16.875" style="17" customWidth="1"/>
    <col min="8" max="16" width="16.875" style="30" customWidth="1"/>
    <col min="17" max="17" width="3.375" style="29" customWidth="1"/>
    <col min="18" max="18" width="9" style="28" hidden="1" customWidth="1"/>
    <col min="19" max="19" width="9" style="28"/>
    <col min="20" max="16384" width="9" style="31"/>
  </cols>
  <sheetData>
    <row r="1" s="26" customFormat="1" ht="60" customHeight="1" spans="1:7">
      <c r="A1" s="32"/>
      <c r="E1" s="33"/>
      <c r="F1" s="33"/>
      <c r="G1" s="33"/>
    </row>
    <row r="2" s="27" customFormat="1" ht="39.95" customHeight="1" spans="5:9">
      <c r="E2" s="34"/>
      <c r="F2" s="34"/>
      <c r="G2" s="34"/>
      <c r="H2" s="35" t="s">
        <v>47</v>
      </c>
      <c r="I2" s="35"/>
    </row>
    <row r="3" s="27" customFormat="1" customHeight="1" spans="2:17">
      <c r="B3" s="36"/>
      <c r="C3" s="36"/>
      <c r="D3" s="36"/>
      <c r="E3" s="37"/>
      <c r="F3" s="37"/>
      <c r="G3" s="37"/>
      <c r="H3" s="36"/>
      <c r="I3" s="36"/>
      <c r="J3" s="36"/>
      <c r="K3" s="36"/>
      <c r="L3" s="36"/>
      <c r="M3" s="36"/>
      <c r="N3" s="36"/>
      <c r="O3" s="36"/>
      <c r="P3" s="36"/>
      <c r="Q3" s="36"/>
    </row>
    <row r="4" s="27" customFormat="1" ht="24.95" customHeight="1" spans="2:17">
      <c r="B4" s="36"/>
      <c r="C4" s="36" t="s">
        <v>54</v>
      </c>
      <c r="D4" s="15" t="s">
        <v>25</v>
      </c>
      <c r="E4" s="38" t="s">
        <v>27</v>
      </c>
      <c r="F4" s="38" t="s">
        <v>26</v>
      </c>
      <c r="G4" s="38" t="s">
        <v>28</v>
      </c>
      <c r="H4" s="15" t="s">
        <v>63</v>
      </c>
      <c r="I4" s="15"/>
      <c r="J4" s="15" t="s">
        <v>64</v>
      </c>
      <c r="K4" s="15"/>
      <c r="L4" s="15" t="s">
        <v>65</v>
      </c>
      <c r="M4" s="15"/>
      <c r="N4" s="15" t="s">
        <v>66</v>
      </c>
      <c r="O4" s="15"/>
      <c r="P4" s="15" t="s">
        <v>67</v>
      </c>
      <c r="Q4" s="36"/>
    </row>
    <row r="5" s="27" customFormat="1" ht="24.95" customHeight="1" spans="2:17">
      <c r="B5" s="36"/>
      <c r="C5" s="36"/>
      <c r="D5" s="24"/>
      <c r="E5" s="39"/>
      <c r="F5" s="39"/>
      <c r="G5" s="39"/>
      <c r="H5" s="24" t="s">
        <v>30</v>
      </c>
      <c r="I5" s="24" t="s">
        <v>31</v>
      </c>
      <c r="J5" s="24" t="s">
        <v>30</v>
      </c>
      <c r="K5" s="24" t="s">
        <v>31</v>
      </c>
      <c r="L5" s="24" t="s">
        <v>30</v>
      </c>
      <c r="M5" s="24" t="s">
        <v>31</v>
      </c>
      <c r="N5" s="24" t="s">
        <v>30</v>
      </c>
      <c r="O5" s="24" t="s">
        <v>31</v>
      </c>
      <c r="P5" s="24"/>
      <c r="Q5" s="36"/>
    </row>
    <row r="6" s="28" customFormat="1" customHeight="1" spans="2:17">
      <c r="B6" s="29"/>
      <c r="C6" s="29"/>
      <c r="D6" s="30"/>
      <c r="E6" s="17"/>
      <c r="F6" s="17"/>
      <c r="G6" s="17"/>
      <c r="H6" s="30"/>
      <c r="I6" s="30"/>
      <c r="J6" s="30"/>
      <c r="K6" s="30"/>
      <c r="L6" s="30"/>
      <c r="M6" s="30"/>
      <c r="N6" s="30"/>
      <c r="O6" s="30"/>
      <c r="P6" s="30"/>
      <c r="Q6" s="29"/>
    </row>
    <row r="7" s="28" customFormat="1" customHeight="1" spans="2:17">
      <c r="B7" s="29"/>
      <c r="C7" s="29"/>
      <c r="D7" s="30"/>
      <c r="E7" s="17"/>
      <c r="F7" s="17"/>
      <c r="G7" s="17"/>
      <c r="H7" s="30"/>
      <c r="I7" s="30"/>
      <c r="J7" s="30"/>
      <c r="K7" s="30"/>
      <c r="L7" s="30"/>
      <c r="M7" s="30"/>
      <c r="N7" s="30"/>
      <c r="O7" s="30"/>
      <c r="P7" s="30"/>
      <c r="Q7" s="29"/>
    </row>
    <row r="8" s="28" customFormat="1" customHeight="1" spans="2:17">
      <c r="B8" s="29"/>
      <c r="C8" s="29"/>
      <c r="D8" s="30"/>
      <c r="E8" s="17"/>
      <c r="F8" s="17"/>
      <c r="G8" s="17"/>
      <c r="H8" s="30"/>
      <c r="I8" s="30"/>
      <c r="J8" s="30"/>
      <c r="K8" s="30"/>
      <c r="L8" s="30"/>
      <c r="M8" s="30"/>
      <c r="N8" s="30"/>
      <c r="O8" s="30"/>
      <c r="P8" s="30"/>
      <c r="Q8" s="29"/>
    </row>
    <row r="9" s="28" customFormat="1" customHeight="1" spans="2:17">
      <c r="B9" s="29"/>
      <c r="C9" s="29"/>
      <c r="D9" s="30"/>
      <c r="E9" s="17"/>
      <c r="F9" s="17"/>
      <c r="G9" s="17"/>
      <c r="H9" s="30"/>
      <c r="I9" s="30"/>
      <c r="J9" s="30"/>
      <c r="K9" s="30"/>
      <c r="L9" s="30"/>
      <c r="M9" s="30"/>
      <c r="N9" s="30"/>
      <c r="O9" s="30"/>
      <c r="P9" s="30"/>
      <c r="Q9" s="29"/>
    </row>
    <row r="10" s="28" customFormat="1" customHeight="1" spans="2:17">
      <c r="B10" s="29"/>
      <c r="C10" s="29"/>
      <c r="D10" s="30"/>
      <c r="E10" s="17"/>
      <c r="F10" s="17"/>
      <c r="G10" s="17"/>
      <c r="H10" s="30"/>
      <c r="I10" s="30"/>
      <c r="J10" s="30"/>
      <c r="K10" s="30"/>
      <c r="L10" s="30"/>
      <c r="M10" s="30"/>
      <c r="N10" s="30"/>
      <c r="O10" s="30"/>
      <c r="P10" s="30"/>
      <c r="Q10" s="29"/>
    </row>
    <row r="11" s="28" customFormat="1" customHeight="1" spans="2:17">
      <c r="B11" s="29"/>
      <c r="C11" s="29"/>
      <c r="D11" s="30"/>
      <c r="E11" s="17"/>
      <c r="F11" s="17"/>
      <c r="G11" s="17"/>
      <c r="H11" s="30"/>
      <c r="I11" s="30"/>
      <c r="J11" s="30"/>
      <c r="K11" s="30"/>
      <c r="L11" s="30"/>
      <c r="M11" s="30"/>
      <c r="N11" s="30"/>
      <c r="O11" s="30"/>
      <c r="P11" s="30"/>
      <c r="Q11" s="29"/>
    </row>
    <row r="12" s="28" customFormat="1" customHeight="1" spans="2:17">
      <c r="B12" s="29"/>
      <c r="C12" s="29"/>
      <c r="D12" s="30"/>
      <c r="E12" s="17"/>
      <c r="F12" s="17"/>
      <c r="G12" s="17"/>
      <c r="H12" s="30"/>
      <c r="I12" s="30"/>
      <c r="J12" s="30"/>
      <c r="K12" s="30"/>
      <c r="L12" s="30"/>
      <c r="M12" s="30"/>
      <c r="N12" s="30"/>
      <c r="O12" s="30"/>
      <c r="P12" s="30"/>
      <c r="Q12" s="29"/>
    </row>
    <row r="13" s="28" customFormat="1" customHeight="1" spans="2:17">
      <c r="B13" s="29"/>
      <c r="C13" s="29"/>
      <c r="D13" s="30"/>
      <c r="E13" s="17"/>
      <c r="F13" s="17"/>
      <c r="G13" s="17"/>
      <c r="H13" s="30"/>
      <c r="I13" s="30"/>
      <c r="J13" s="30"/>
      <c r="K13" s="30"/>
      <c r="L13" s="30"/>
      <c r="M13" s="30"/>
      <c r="N13" s="30"/>
      <c r="O13" s="30"/>
      <c r="P13" s="30"/>
      <c r="Q13" s="29"/>
    </row>
    <row r="14" s="28" customFormat="1" customHeight="1" spans="2:17">
      <c r="B14" s="29"/>
      <c r="C14" s="29"/>
      <c r="D14" s="30"/>
      <c r="E14" s="17"/>
      <c r="F14" s="17"/>
      <c r="G14" s="17"/>
      <c r="H14" s="30"/>
      <c r="I14" s="30"/>
      <c r="J14" s="30"/>
      <c r="K14" s="30"/>
      <c r="L14" s="30"/>
      <c r="M14" s="30"/>
      <c r="N14" s="30"/>
      <c r="O14" s="30"/>
      <c r="P14" s="30"/>
      <c r="Q14" s="29"/>
    </row>
  </sheetData>
  <sheetProtection formatCells="0" formatColumns="0" formatRows="0" insertRows="0" insertColumns="0" insertHyperlinks="0" deleteColumns="0" deleteRows="0" sort="0" autoFilter="0" pivotTables="0"/>
  <mergeCells count="10">
    <mergeCell ref="H2:I2"/>
    <mergeCell ref="H4:I4"/>
    <mergeCell ref="J4:K4"/>
    <mergeCell ref="L4:M4"/>
    <mergeCell ref="N4:O4"/>
    <mergeCell ref="D4:D5"/>
    <mergeCell ref="E4:E5"/>
    <mergeCell ref="F4:F5"/>
    <mergeCell ref="G4:G5"/>
    <mergeCell ref="P4:P5"/>
  </mergeCells>
  <conditionalFormatting sqref="P6:P1048576">
    <cfRule type="expression" dxfId="0" priority="1">
      <formula>$N6&lt;$P6</formula>
    </cfRule>
  </conditionalFormatting>
  <pageMargins left="0.75" right="0.75" top="1" bottom="1" header="0.5" footer="0.5"/>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J5"/>
  <sheetViews>
    <sheetView showGridLines="0" workbookViewId="0">
      <pane ySplit="5" topLeftCell="A6" activePane="bottomLeft" state="frozen"/>
      <selection/>
      <selection pane="bottomLeft" activeCell="F11" sqref="F11"/>
    </sheetView>
  </sheetViews>
  <sheetFormatPr defaultColWidth="9" defaultRowHeight="20.1" customHeight="1" outlineLevelRow="4"/>
  <cols>
    <col min="1" max="1" width="4.625" style="3" customWidth="1"/>
    <col min="2" max="2" width="3.375" style="4" customWidth="1"/>
    <col min="3" max="3" width="4.625" style="4" hidden="1" customWidth="1"/>
    <col min="4" max="9" width="16.875" style="13" customWidth="1"/>
    <col min="10" max="10" width="3.375" style="4" customWidth="1"/>
    <col min="11" max="11" width="9" style="3" customWidth="1"/>
    <col min="12" max="16384" width="9" style="3"/>
  </cols>
  <sheetData>
    <row r="1" s="1" customFormat="1" ht="60" customHeight="1" spans="1:1">
      <c r="A1" s="7"/>
    </row>
    <row r="2" s="2" customFormat="1" ht="39.95" customHeight="1"/>
    <row r="3" s="2" customFormat="1" customHeight="1" spans="2:10">
      <c r="B3" s="9"/>
      <c r="C3" s="9"/>
      <c r="D3" s="9"/>
      <c r="E3" s="9"/>
      <c r="F3" s="9"/>
      <c r="G3" s="9"/>
      <c r="H3" s="9"/>
      <c r="I3" s="9"/>
      <c r="J3" s="9"/>
    </row>
    <row r="4" s="2" customFormat="1" ht="24.95" customHeight="1" spans="2:10">
      <c r="B4" s="9"/>
      <c r="C4" s="9" t="s">
        <v>54</v>
      </c>
      <c r="D4" s="15" t="s">
        <v>68</v>
      </c>
      <c r="E4" s="15" t="s">
        <v>27</v>
      </c>
      <c r="F4" s="15" t="s">
        <v>28</v>
      </c>
      <c r="G4" s="15" t="s">
        <v>26</v>
      </c>
      <c r="H4" s="24" t="s">
        <v>69</v>
      </c>
      <c r="I4" s="24" t="s">
        <v>70</v>
      </c>
      <c r="J4" s="9"/>
    </row>
    <row r="5" s="2" customFormat="1" ht="24.95" customHeight="1" spans="2:10">
      <c r="B5" s="9"/>
      <c r="C5" s="9"/>
      <c r="D5" s="15"/>
      <c r="E5" s="15"/>
      <c r="F5" s="15"/>
      <c r="G5" s="15"/>
      <c r="H5" s="25"/>
      <c r="I5" s="25"/>
      <c r="J5" s="9"/>
    </row>
  </sheetData>
  <sheetProtection formatCells="0" formatColumns="0" formatRows="0" insertRows="0" insertColumns="0" insertHyperlinks="0" deleteColumns="0" deleteRows="0" sort="0" autoFilter="0" pivotTables="0"/>
  <mergeCells count="6">
    <mergeCell ref="D4:D5"/>
    <mergeCell ref="E4:E5"/>
    <mergeCell ref="F4:F5"/>
    <mergeCell ref="G4:G5"/>
    <mergeCell ref="H4:H5"/>
    <mergeCell ref="I4:I5"/>
  </mergeCells>
  <pageMargins left="0.75" right="0.75" top="1" bottom="1" header="0.5" footer="0.5"/>
  <pageSetup paperSize="256" orientation="portrait"/>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K20"/>
  <sheetViews>
    <sheetView showGridLines="0" workbookViewId="0">
      <pane ySplit="5" topLeftCell="A6" activePane="bottomLeft" state="frozen"/>
      <selection/>
      <selection pane="bottomLeft" activeCell="G9" sqref="G9"/>
    </sheetView>
  </sheetViews>
  <sheetFormatPr defaultColWidth="9" defaultRowHeight="20.1" customHeight="1"/>
  <cols>
    <col min="1" max="1" width="4.625" style="3" customWidth="1"/>
    <col min="2" max="2" width="3.375" style="4" customWidth="1"/>
    <col min="3" max="3" width="4.625" style="4" hidden="1" customWidth="1"/>
    <col min="4" max="4" width="18.875" style="21" customWidth="1"/>
    <col min="5" max="10" width="16.875" style="13" customWidth="1"/>
    <col min="11" max="11" width="3.375" style="4" customWidth="1"/>
    <col min="12" max="12" width="9" style="3" customWidth="1"/>
    <col min="13" max="16384" width="9" style="3"/>
  </cols>
  <sheetData>
    <row r="1" s="1" customFormat="1" ht="60" customHeight="1" spans="1:1">
      <c r="A1" s="7"/>
    </row>
    <row r="2" s="2" customFormat="1" ht="39.95" customHeight="1"/>
    <row r="3" s="2" customFormat="1" customHeight="1" spans="2:11">
      <c r="B3" s="9"/>
      <c r="C3" s="9"/>
      <c r="D3" s="9"/>
      <c r="E3" s="9"/>
      <c r="F3" s="9"/>
      <c r="G3" s="9"/>
      <c r="H3" s="9"/>
      <c r="I3" s="9"/>
      <c r="J3" s="9"/>
      <c r="K3" s="9"/>
    </row>
    <row r="4" s="2" customFormat="1" ht="24.95" customHeight="1" spans="2:11">
      <c r="B4" s="9"/>
      <c r="C4" s="9" t="s">
        <v>54</v>
      </c>
      <c r="D4" s="15" t="s">
        <v>27</v>
      </c>
      <c r="E4" s="15" t="s">
        <v>26</v>
      </c>
      <c r="F4" s="15" t="s">
        <v>71</v>
      </c>
      <c r="G4" s="22" t="s">
        <v>64</v>
      </c>
      <c r="H4" s="23"/>
      <c r="I4" s="22" t="s">
        <v>65</v>
      </c>
      <c r="J4" s="23"/>
      <c r="K4" s="9"/>
    </row>
    <row r="5" s="2" customFormat="1" ht="24.95" customHeight="1" spans="2:11">
      <c r="B5" s="9"/>
      <c r="C5" s="9"/>
      <c r="D5" s="15"/>
      <c r="E5" s="15"/>
      <c r="F5" s="15"/>
      <c r="G5" s="15" t="s">
        <v>30</v>
      </c>
      <c r="H5" s="15" t="s">
        <v>31</v>
      </c>
      <c r="I5" s="15" t="s">
        <v>30</v>
      </c>
      <c r="J5" s="15" t="s">
        <v>31</v>
      </c>
      <c r="K5" s="9"/>
    </row>
    <row r="6" s="3" customFormat="1" customHeight="1" spans="2:11">
      <c r="B6" s="4"/>
      <c r="C6" s="4"/>
      <c r="D6" s="21" t="s">
        <v>41</v>
      </c>
      <c r="E6" s="13" t="s">
        <v>40</v>
      </c>
      <c r="F6" s="13" t="s">
        <v>42</v>
      </c>
      <c r="G6" s="13">
        <v>10</v>
      </c>
      <c r="H6" s="13">
        <v>100</v>
      </c>
      <c r="I6" s="13">
        <v>2</v>
      </c>
      <c r="J6" s="13">
        <v>24</v>
      </c>
      <c r="K6" s="4"/>
    </row>
    <row r="7" s="3" customFormat="1" customHeight="1" spans="2:11">
      <c r="B7" s="4"/>
      <c r="C7" s="4"/>
      <c r="D7" s="21"/>
      <c r="E7" s="13"/>
      <c r="F7" s="13"/>
      <c r="G7" s="13"/>
      <c r="H7" s="13"/>
      <c r="I7" s="13"/>
      <c r="J7" s="13"/>
      <c r="K7" s="4"/>
    </row>
    <row r="8" s="3" customFormat="1" customHeight="1" spans="2:11">
      <c r="B8" s="4"/>
      <c r="C8" s="4"/>
      <c r="D8" s="21"/>
      <c r="E8" s="13"/>
      <c r="F8" s="13"/>
      <c r="G8" s="13"/>
      <c r="H8" s="13"/>
      <c r="I8" s="13"/>
      <c r="J8" s="13"/>
      <c r="K8" s="4"/>
    </row>
    <row r="9" s="3" customFormat="1" customHeight="1" spans="2:11">
      <c r="B9" s="4"/>
      <c r="C9" s="4"/>
      <c r="D9" s="21"/>
      <c r="E9" s="13"/>
      <c r="F9" s="13"/>
      <c r="G9" s="13"/>
      <c r="H9" s="13"/>
      <c r="I9" s="13"/>
      <c r="J9" s="13"/>
      <c r="K9" s="4"/>
    </row>
    <row r="10" s="3" customFormat="1" customHeight="1" spans="2:11">
      <c r="B10" s="4"/>
      <c r="C10" s="4"/>
      <c r="D10" s="21"/>
      <c r="E10" s="13"/>
      <c r="F10" s="13"/>
      <c r="G10" s="13"/>
      <c r="H10" s="13"/>
      <c r="I10" s="13"/>
      <c r="J10" s="13"/>
      <c r="K10" s="4"/>
    </row>
    <row r="11" s="3" customFormat="1" customHeight="1" spans="2:11">
      <c r="B11" s="4"/>
      <c r="C11" s="4"/>
      <c r="D11" s="21"/>
      <c r="E11" s="13"/>
      <c r="F11" s="13"/>
      <c r="G11" s="13"/>
      <c r="H11" s="13"/>
      <c r="I11" s="13"/>
      <c r="J11" s="13"/>
      <c r="K11" s="4"/>
    </row>
    <row r="12" s="3" customFormat="1" customHeight="1" spans="2:11">
      <c r="B12" s="4"/>
      <c r="C12" s="4"/>
      <c r="D12" s="21"/>
      <c r="E12" s="13"/>
      <c r="F12" s="13"/>
      <c r="G12" s="13"/>
      <c r="H12" s="13"/>
      <c r="I12" s="13"/>
      <c r="J12" s="13"/>
      <c r="K12" s="4"/>
    </row>
    <row r="13" s="3" customFormat="1" customHeight="1" spans="2:11">
      <c r="B13" s="4"/>
      <c r="C13" s="4"/>
      <c r="D13" s="21"/>
      <c r="E13" s="13"/>
      <c r="F13" s="13"/>
      <c r="G13" s="13"/>
      <c r="H13" s="13"/>
      <c r="I13" s="13"/>
      <c r="J13" s="13"/>
      <c r="K13" s="4"/>
    </row>
    <row r="14" s="3" customFormat="1" customHeight="1" spans="2:11">
      <c r="B14" s="4"/>
      <c r="C14" s="4"/>
      <c r="D14" s="21"/>
      <c r="E14" s="13"/>
      <c r="F14" s="13"/>
      <c r="G14" s="13"/>
      <c r="H14" s="13"/>
      <c r="I14" s="13"/>
      <c r="J14" s="13"/>
      <c r="K14" s="4"/>
    </row>
    <row r="15" s="3" customFormat="1" customHeight="1" spans="2:11">
      <c r="B15" s="4"/>
      <c r="C15" s="4"/>
      <c r="D15" s="21"/>
      <c r="E15" s="13"/>
      <c r="F15" s="13"/>
      <c r="G15" s="13"/>
      <c r="H15" s="13"/>
      <c r="I15" s="13"/>
      <c r="J15" s="13"/>
      <c r="K15" s="4"/>
    </row>
    <row r="16" s="3" customFormat="1" customHeight="1" spans="2:11">
      <c r="B16" s="4"/>
      <c r="C16" s="4"/>
      <c r="D16" s="21"/>
      <c r="E16" s="13"/>
      <c r="F16" s="13"/>
      <c r="G16" s="13"/>
      <c r="H16" s="13"/>
      <c r="I16" s="13"/>
      <c r="J16" s="13"/>
      <c r="K16" s="4"/>
    </row>
    <row r="17" s="3" customFormat="1" customHeight="1" spans="2:11">
      <c r="B17" s="4"/>
      <c r="C17" s="4"/>
      <c r="D17" s="21"/>
      <c r="E17" s="13"/>
      <c r="F17" s="13"/>
      <c r="G17" s="13"/>
      <c r="H17" s="13"/>
      <c r="I17" s="13"/>
      <c r="J17" s="13"/>
      <c r="K17" s="4"/>
    </row>
    <row r="18" s="3" customFormat="1" customHeight="1" spans="2:11">
      <c r="B18" s="4"/>
      <c r="C18" s="4"/>
      <c r="D18" s="21"/>
      <c r="E18" s="13"/>
      <c r="F18" s="13"/>
      <c r="G18" s="13"/>
      <c r="H18" s="13"/>
      <c r="I18" s="13"/>
      <c r="J18" s="13"/>
      <c r="K18" s="4"/>
    </row>
    <row r="19" s="3" customFormat="1" customHeight="1" spans="2:11">
      <c r="B19" s="4"/>
      <c r="C19" s="4"/>
      <c r="D19" s="21"/>
      <c r="E19" s="13"/>
      <c r="F19" s="13"/>
      <c r="G19" s="13"/>
      <c r="H19" s="13"/>
      <c r="I19" s="13"/>
      <c r="J19" s="13"/>
      <c r="K19" s="4"/>
    </row>
    <row r="20" s="3" customFormat="1" customHeight="1" spans="2:11">
      <c r="B20" s="4"/>
      <c r="C20" s="4"/>
      <c r="D20" s="21"/>
      <c r="E20" s="13"/>
      <c r="F20" s="13"/>
      <c r="G20" s="13"/>
      <c r="H20" s="13"/>
      <c r="I20" s="13"/>
      <c r="J20" s="13"/>
      <c r="K20" s="4"/>
    </row>
  </sheetData>
  <mergeCells count="5">
    <mergeCell ref="G4:H4"/>
    <mergeCell ref="I4:J4"/>
    <mergeCell ref="D4:D5"/>
    <mergeCell ref="E4:E5"/>
    <mergeCell ref="F4:F5"/>
  </mergeCell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M6"/>
  <sheetViews>
    <sheetView showGridLines="0" workbookViewId="0">
      <pane ySplit="4" topLeftCell="A5" activePane="bottomLeft" state="frozen"/>
      <selection/>
      <selection pane="bottomLeft" activeCell="B6" sqref="B6"/>
    </sheetView>
  </sheetViews>
  <sheetFormatPr defaultColWidth="9" defaultRowHeight="20.1" customHeight="1" outlineLevelRow="5"/>
  <cols>
    <col min="1" max="1" width="4.625" style="3" customWidth="1"/>
    <col min="2" max="2" width="3.375" style="4" customWidth="1"/>
    <col min="3" max="3" width="4.625" style="4" hidden="1" customWidth="1"/>
    <col min="4" max="12" width="16.875" style="13" customWidth="1"/>
    <col min="13" max="13" width="3.375" style="4" customWidth="1"/>
    <col min="14" max="14" width="9" style="3" hidden="1" customWidth="1"/>
    <col min="15" max="16384" width="9" style="3"/>
  </cols>
  <sheetData>
    <row r="1" s="1" customFormat="1" ht="60" customHeight="1" spans="1:1">
      <c r="A1" s="7"/>
    </row>
    <row r="2" s="2" customFormat="1" ht="39.95" customHeight="1"/>
    <row r="3" s="2" customFormat="1" customHeight="1" spans="2:13">
      <c r="B3" s="9"/>
      <c r="C3" s="9"/>
      <c r="D3" s="18"/>
      <c r="E3" s="9"/>
      <c r="F3" s="9"/>
      <c r="G3" s="9"/>
      <c r="H3" s="9"/>
      <c r="I3" s="9"/>
      <c r="J3" s="9"/>
      <c r="K3" s="9"/>
      <c r="L3" s="9"/>
      <c r="M3" s="9"/>
    </row>
    <row r="4" s="2" customFormat="1" ht="30" customHeight="1" spans="2:13">
      <c r="B4" s="9"/>
      <c r="C4" s="9" t="s">
        <v>54</v>
      </c>
      <c r="D4" s="19" t="s">
        <v>25</v>
      </c>
      <c r="E4" s="15" t="s">
        <v>26</v>
      </c>
      <c r="F4" s="15" t="s">
        <v>27</v>
      </c>
      <c r="G4" s="15" t="s">
        <v>28</v>
      </c>
      <c r="H4" s="15" t="s">
        <v>29</v>
      </c>
      <c r="I4" s="15" t="s">
        <v>72</v>
      </c>
      <c r="J4" s="15" t="s">
        <v>68</v>
      </c>
      <c r="K4" s="15" t="s">
        <v>73</v>
      </c>
      <c r="L4" s="15" t="s">
        <v>67</v>
      </c>
      <c r="M4" s="9"/>
    </row>
    <row r="5" customHeight="1" spans="4:4">
      <c r="D5" s="20"/>
    </row>
    <row r="6" customHeight="1" spans="4:4">
      <c r="D6" s="20"/>
    </row>
  </sheetData>
  <sheetProtection formatCells="0" formatColumns="0" formatRows="0" insertRows="0" insertColumns="0" insertHyperlinks="0" deleteColumns="0" deleteRows="0" sort="0" autoFilter="0" pivotTables="0"/>
  <pageMargins left="0.75" right="0.75" top="1" bottom="1" header="0.5" footer="0.5"/>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13"/>
  <sheetViews>
    <sheetView showGridLines="0" workbookViewId="0">
      <pane ySplit="4" topLeftCell="A5" activePane="bottomLeft" state="frozen"/>
      <selection/>
      <selection pane="bottomLeft" activeCell="E9" sqref="E9"/>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4" width="9" style="6"/>
  </cols>
  <sheetData>
    <row r="1" s="1" customFormat="1" ht="60" customHeight="1" spans="1:1">
      <c r="A1" s="7"/>
    </row>
    <row r="2" s="2" customFormat="1" ht="39.95" customHeight="1"/>
    <row r="3" s="2" customFormat="1" customHeight="1" spans="2:8">
      <c r="B3" s="9"/>
      <c r="C3" s="9"/>
      <c r="D3" s="9"/>
      <c r="E3" s="9"/>
      <c r="F3" s="9"/>
      <c r="G3" s="9"/>
      <c r="H3" s="9"/>
    </row>
    <row r="4" s="2" customFormat="1" ht="30" customHeight="1" spans="2:8">
      <c r="B4" s="9"/>
      <c r="C4" s="9" t="s">
        <v>54</v>
      </c>
      <c r="D4" s="15" t="s">
        <v>25</v>
      </c>
      <c r="E4" s="15" t="s">
        <v>74</v>
      </c>
      <c r="F4" s="15" t="s">
        <v>75</v>
      </c>
      <c r="G4" s="15" t="s">
        <v>76</v>
      </c>
      <c r="H4" s="9"/>
    </row>
    <row r="5" s="3" customFormat="1" customHeight="1" spans="2:8">
      <c r="B5" s="4"/>
      <c r="C5" s="4"/>
      <c r="D5" s="13"/>
      <c r="E5" s="13"/>
      <c r="F5" s="13"/>
      <c r="G5" s="17"/>
      <c r="H5" s="4"/>
    </row>
    <row r="6" s="3" customFormat="1" customHeight="1" spans="2:8">
      <c r="B6" s="4"/>
      <c r="C6" s="4"/>
      <c r="D6" s="13"/>
      <c r="E6" s="13"/>
      <c r="F6" s="13"/>
      <c r="G6" s="17"/>
      <c r="H6" s="4"/>
    </row>
    <row r="7" s="3" customFormat="1" customHeight="1" spans="2:8">
      <c r="B7" s="4"/>
      <c r="C7" s="4"/>
      <c r="D7" s="13"/>
      <c r="E7" s="13"/>
      <c r="F7" s="13"/>
      <c r="G7" s="17"/>
      <c r="H7" s="4"/>
    </row>
    <row r="8" s="3" customFormat="1" customHeight="1" spans="2:8">
      <c r="B8" s="4"/>
      <c r="C8" s="4"/>
      <c r="D8" s="13"/>
      <c r="E8" s="13"/>
      <c r="F8" s="13"/>
      <c r="G8" s="17"/>
      <c r="H8" s="4"/>
    </row>
    <row r="9" s="3" customFormat="1" customHeight="1" spans="2:8">
      <c r="B9" s="4"/>
      <c r="C9" s="4"/>
      <c r="D9" s="13"/>
      <c r="E9" s="13"/>
      <c r="F9" s="13"/>
      <c r="G9" s="17"/>
      <c r="H9" s="4"/>
    </row>
    <row r="10" s="3" customFormat="1" customHeight="1" spans="2:8">
      <c r="B10" s="4"/>
      <c r="C10" s="4"/>
      <c r="D10" s="13"/>
      <c r="E10" s="13"/>
      <c r="F10" s="13"/>
      <c r="G10" s="17"/>
      <c r="H10" s="4"/>
    </row>
    <row r="11" s="3" customFormat="1" customHeight="1" spans="2:8">
      <c r="B11" s="4"/>
      <c r="C11" s="4"/>
      <c r="D11" s="13"/>
      <c r="E11" s="13"/>
      <c r="F11" s="13"/>
      <c r="G11" s="17"/>
      <c r="H11" s="4"/>
    </row>
    <row r="12" s="3" customFormat="1" customHeight="1" spans="2:8">
      <c r="B12" s="4"/>
      <c r="C12" s="4"/>
      <c r="D12" s="13"/>
      <c r="E12" s="13"/>
      <c r="F12" s="13"/>
      <c r="G12" s="17"/>
      <c r="H12" s="4"/>
    </row>
    <row r="13" s="3" customFormat="1" customHeight="1" spans="2: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H13"/>
  <sheetViews>
    <sheetView showGridLines="0" workbookViewId="0">
      <pane ySplit="4" topLeftCell="A5" activePane="bottomLeft" state="frozen"/>
      <selection/>
      <selection pane="bottomLeft" activeCell="F9" sqref="F9"/>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2" width="9" style="6"/>
    <col min="16384" max="16384" width="9" style="6"/>
  </cols>
  <sheetData>
    <row r="1" s="1" customFormat="1" ht="60" customHeight="1" spans="1:1">
      <c r="A1" s="7"/>
    </row>
    <row r="2" s="2" customFormat="1" ht="39.95" customHeight="1"/>
    <row r="3" s="2" customFormat="1" customHeight="1" spans="2:8">
      <c r="B3" s="9"/>
      <c r="C3" s="9"/>
      <c r="D3" s="9"/>
      <c r="E3" s="9"/>
      <c r="F3" s="9"/>
      <c r="G3" s="9"/>
      <c r="H3" s="9"/>
    </row>
    <row r="4" s="2" customFormat="1" ht="30" customHeight="1" spans="2:8">
      <c r="B4" s="9"/>
      <c r="C4" s="9" t="s">
        <v>54</v>
      </c>
      <c r="D4" s="15" t="s">
        <v>25</v>
      </c>
      <c r="E4" s="15" t="s">
        <v>77</v>
      </c>
      <c r="F4" s="15" t="s">
        <v>75</v>
      </c>
      <c r="G4" s="15" t="s">
        <v>76</v>
      </c>
      <c r="H4" s="9"/>
    </row>
    <row r="5" s="3" customFormat="1" customHeight="1" spans="2:8">
      <c r="B5" s="4"/>
      <c r="C5" s="4"/>
      <c r="D5" s="13"/>
      <c r="E5" s="13"/>
      <c r="F5" s="13"/>
      <c r="G5" s="17"/>
      <c r="H5" s="4"/>
    </row>
    <row r="6" s="3" customFormat="1" customHeight="1" spans="2:8">
      <c r="B6" s="4"/>
      <c r="C6" s="4"/>
      <c r="D6" s="13"/>
      <c r="E6" s="13"/>
      <c r="F6" s="13"/>
      <c r="G6" s="17"/>
      <c r="H6" s="4"/>
    </row>
    <row r="7" s="3" customFormat="1" customHeight="1" spans="2:8">
      <c r="B7" s="4"/>
      <c r="C7" s="4"/>
      <c r="D7" s="13"/>
      <c r="E7" s="13"/>
      <c r="F7" s="13"/>
      <c r="G7" s="17"/>
      <c r="H7" s="4"/>
    </row>
    <row r="8" s="3" customFormat="1" customHeight="1" spans="2:8">
      <c r="B8" s="4"/>
      <c r="C8" s="4"/>
      <c r="D8" s="13"/>
      <c r="E8" s="13"/>
      <c r="F8" s="13"/>
      <c r="G8" s="17"/>
      <c r="H8" s="4"/>
    </row>
    <row r="9" s="3" customFormat="1" customHeight="1" spans="2:8">
      <c r="B9" s="4"/>
      <c r="C9" s="4"/>
      <c r="D9" s="13"/>
      <c r="E9" s="13"/>
      <c r="F9" s="13"/>
      <c r="G9" s="17"/>
      <c r="H9" s="4"/>
    </row>
    <row r="10" s="3" customFormat="1" customHeight="1" spans="2:8">
      <c r="B10" s="4"/>
      <c r="C10" s="4"/>
      <c r="D10" s="13"/>
      <c r="E10" s="13"/>
      <c r="F10" s="13"/>
      <c r="G10" s="17"/>
      <c r="H10" s="4"/>
    </row>
    <row r="11" s="3" customFormat="1" customHeight="1" spans="2:8">
      <c r="B11" s="4"/>
      <c r="C11" s="4"/>
      <c r="D11" s="13"/>
      <c r="E11" s="13"/>
      <c r="F11" s="13"/>
      <c r="G11" s="17"/>
      <c r="H11" s="4"/>
    </row>
    <row r="12" s="3" customFormat="1" customHeight="1" spans="2:8">
      <c r="B12" s="4"/>
      <c r="C12" s="4"/>
      <c r="D12" s="13"/>
      <c r="E12" s="13"/>
      <c r="F12" s="13"/>
      <c r="G12" s="17"/>
      <c r="H12" s="4"/>
    </row>
    <row r="13" s="3" customFormat="1" customHeight="1" spans="2: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J13"/>
  <sheetViews>
    <sheetView showGridLines="0" workbookViewId="0">
      <pane ySplit="4" topLeftCell="A5" activePane="bottomLeft" state="frozen"/>
      <selection/>
      <selection pane="bottomLeft" activeCell="H7" sqref="H7"/>
    </sheetView>
  </sheetViews>
  <sheetFormatPr defaultColWidth="9" defaultRowHeight="20.1" customHeight="1"/>
  <cols>
    <col min="1" max="1" width="4.625" style="3" customWidth="1"/>
    <col min="2" max="2" width="3.625" style="4" customWidth="1"/>
    <col min="3" max="3" width="4" style="4" hidden="1" customWidth="1"/>
    <col min="4" max="6" width="16.875" style="13" customWidth="1"/>
    <col min="7" max="9" width="16.875" style="17" customWidth="1"/>
    <col min="10" max="10" width="3.625" style="4" customWidth="1"/>
    <col min="11" max="11" width="6.75" style="3" hidden="1" customWidth="1"/>
    <col min="12" max="20" width="9" style="3"/>
    <col min="21" max="16384" width="9" style="6"/>
  </cols>
  <sheetData>
    <row r="1" s="1" customFormat="1" ht="60" customHeight="1" spans="1:1">
      <c r="A1" s="7"/>
    </row>
    <row r="2" s="2" customFormat="1" ht="39.95" customHeight="1"/>
    <row r="3" s="2" customFormat="1" customHeight="1" spans="2:10">
      <c r="B3" s="9"/>
      <c r="C3" s="9"/>
      <c r="D3" s="9"/>
      <c r="E3" s="9"/>
      <c r="F3" s="9"/>
      <c r="G3" s="9"/>
      <c r="H3" s="9"/>
      <c r="I3" s="9"/>
      <c r="J3" s="9"/>
    </row>
    <row r="4" s="2" customFormat="1" ht="30" customHeight="1" spans="2:10">
      <c r="B4" s="9"/>
      <c r="C4" s="9" t="s">
        <v>54</v>
      </c>
      <c r="D4" s="15" t="s">
        <v>25</v>
      </c>
      <c r="E4" s="15" t="s">
        <v>27</v>
      </c>
      <c r="F4" s="15" t="s">
        <v>26</v>
      </c>
      <c r="G4" s="15" t="s">
        <v>28</v>
      </c>
      <c r="H4" s="15" t="s">
        <v>29</v>
      </c>
      <c r="I4" s="15" t="s">
        <v>78</v>
      </c>
      <c r="J4" s="9"/>
    </row>
    <row r="5" s="3" customFormat="1" customHeight="1" spans="2:10">
      <c r="B5" s="4"/>
      <c r="C5" s="4"/>
      <c r="D5" s="13"/>
      <c r="E5" s="13"/>
      <c r="F5" s="13"/>
      <c r="G5" s="17"/>
      <c r="H5" s="17"/>
      <c r="I5" s="17"/>
      <c r="J5" s="4"/>
    </row>
    <row r="6" s="3" customFormat="1" customHeight="1" spans="2:10">
      <c r="B6" s="4"/>
      <c r="C6" s="4"/>
      <c r="D6" s="13"/>
      <c r="E6" s="13"/>
      <c r="F6" s="13"/>
      <c r="G6" s="17"/>
      <c r="H6" s="17"/>
      <c r="I6" s="17"/>
      <c r="J6" s="4"/>
    </row>
    <row r="7" s="3" customFormat="1" customHeight="1" spans="2:10">
      <c r="B7" s="4"/>
      <c r="C7" s="4"/>
      <c r="D7" s="13"/>
      <c r="E7" s="13"/>
      <c r="F7" s="13"/>
      <c r="G7" s="17"/>
      <c r="H7" s="17"/>
      <c r="I7" s="17"/>
      <c r="J7" s="4"/>
    </row>
    <row r="8" s="3" customFormat="1" customHeight="1" spans="2:10">
      <c r="B8" s="4"/>
      <c r="C8" s="4"/>
      <c r="D8" s="13"/>
      <c r="E8" s="13"/>
      <c r="F8" s="13"/>
      <c r="G8" s="17"/>
      <c r="H8" s="17"/>
      <c r="I8" s="17"/>
      <c r="J8" s="4"/>
    </row>
    <row r="9" s="3" customFormat="1" customHeight="1" spans="2:10">
      <c r="B9" s="4"/>
      <c r="C9" s="4"/>
      <c r="D9" s="13"/>
      <c r="E9" s="13"/>
      <c r="F9" s="13"/>
      <c r="G9" s="17"/>
      <c r="H9" s="17"/>
      <c r="I9" s="17"/>
      <c r="J9" s="4"/>
    </row>
    <row r="10" s="3" customFormat="1" customHeight="1" spans="2:10">
      <c r="B10" s="4"/>
      <c r="C10" s="4"/>
      <c r="D10" s="13"/>
      <c r="E10" s="13"/>
      <c r="F10" s="13"/>
      <c r="G10" s="17"/>
      <c r="H10" s="17"/>
      <c r="I10" s="17"/>
      <c r="J10" s="4"/>
    </row>
    <row r="11" s="3" customFormat="1" customHeight="1" spans="2:10">
      <c r="B11" s="4"/>
      <c r="C11" s="4"/>
      <c r="D11" s="13"/>
      <c r="E11" s="13"/>
      <c r="F11" s="13"/>
      <c r="G11" s="17"/>
      <c r="H11" s="17"/>
      <c r="I11" s="17"/>
      <c r="J11" s="4"/>
    </row>
    <row r="12" s="3" customFormat="1" customHeight="1" spans="2:10">
      <c r="B12" s="4"/>
      <c r="C12" s="4"/>
      <c r="D12" s="13"/>
      <c r="E12" s="13"/>
      <c r="F12" s="13"/>
      <c r="G12" s="17"/>
      <c r="H12" s="17"/>
      <c r="I12" s="17"/>
      <c r="J12" s="4"/>
    </row>
    <row r="13" s="3" customFormat="1" customHeight="1" spans="2:10">
      <c r="B13" s="4"/>
      <c r="C13" s="4"/>
      <c r="D13" s="13"/>
      <c r="E13" s="13"/>
      <c r="F13" s="13"/>
      <c r="G13" s="17"/>
      <c r="H13" s="17"/>
      <c r="I13" s="17"/>
      <c r="J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T13"/>
  <sheetViews>
    <sheetView showGridLines="0" workbookViewId="0">
      <pane ySplit="4" topLeftCell="A5" activePane="bottomLeft" state="frozen"/>
      <selection/>
      <selection pane="bottomLeft" activeCell="G7" sqref="G7"/>
    </sheetView>
  </sheetViews>
  <sheetFormatPr defaultColWidth="9" defaultRowHeight="20.1" customHeight="1"/>
  <cols>
    <col min="1" max="1" width="4.625" style="3" customWidth="1"/>
    <col min="2" max="2" width="3.625" style="4" customWidth="1"/>
    <col min="3" max="3" width="4.5" style="12" hidden="1" customWidth="1"/>
    <col min="4" max="10" width="16.875" style="13" customWidth="1"/>
    <col min="11" max="11" width="3.625" style="4" customWidth="1"/>
    <col min="12" max="13" width="9" style="3"/>
    <col min="14" max="16" width="9" style="6"/>
    <col min="17" max="19" width="9" style="6" hidden="1" customWidth="1"/>
    <col min="20" max="20" width="9" style="6" customWidth="1"/>
    <col min="21" max="16384" width="9" style="6"/>
  </cols>
  <sheetData>
    <row r="1" s="1" customFormat="1" ht="60" customHeight="1" spans="1:20">
      <c r="A1" s="7"/>
      <c r="R1" s="16"/>
      <c r="S1" s="16"/>
      <c r="T1" s="16">
        <v>1</v>
      </c>
    </row>
    <row r="2" s="2" customFormat="1" ht="39.95" customHeight="1"/>
    <row r="3" s="2" customFormat="1" customHeight="1" spans="2:11">
      <c r="B3" s="9"/>
      <c r="C3" s="9"/>
      <c r="D3" s="9"/>
      <c r="E3" s="9"/>
      <c r="F3" s="9"/>
      <c r="G3" s="9"/>
      <c r="H3" s="9"/>
      <c r="I3" s="9"/>
      <c r="J3" s="9"/>
      <c r="K3" s="9"/>
    </row>
    <row r="4" s="2" customFormat="1" ht="30" customHeight="1" spans="2:11">
      <c r="B4" s="9"/>
      <c r="C4" s="14" t="s">
        <v>54</v>
      </c>
      <c r="D4" s="15" t="s">
        <v>79</v>
      </c>
      <c r="E4" s="15" t="s">
        <v>80</v>
      </c>
      <c r="F4" s="15" t="s">
        <v>81</v>
      </c>
      <c r="G4" s="15" t="s">
        <v>82</v>
      </c>
      <c r="H4" s="15" t="s">
        <v>83</v>
      </c>
      <c r="I4" s="15" t="s">
        <v>84</v>
      </c>
      <c r="J4" s="15" t="s">
        <v>85</v>
      </c>
      <c r="K4" s="9"/>
    </row>
    <row r="5" s="3" customFormat="1" customHeight="1" spans="2:11">
      <c r="B5" s="4"/>
      <c r="C5" s="12"/>
      <c r="D5" s="13"/>
      <c r="E5" s="13"/>
      <c r="F5" s="13"/>
      <c r="G5" s="13"/>
      <c r="H5" s="13"/>
      <c r="I5" s="13"/>
      <c r="J5" s="13"/>
      <c r="K5" s="4"/>
    </row>
    <row r="6" s="3" customFormat="1" customHeight="1" spans="2:11">
      <c r="B6" s="4"/>
      <c r="C6" s="12"/>
      <c r="D6" s="13"/>
      <c r="E6" s="13"/>
      <c r="F6" s="13"/>
      <c r="G6" s="13"/>
      <c r="H6" s="13"/>
      <c r="I6" s="13"/>
      <c r="J6" s="13"/>
      <c r="K6" s="4"/>
    </row>
    <row r="7" s="3" customFormat="1" customHeight="1" spans="2:11">
      <c r="B7" s="4"/>
      <c r="C7" s="12"/>
      <c r="D7" s="13"/>
      <c r="E7" s="13"/>
      <c r="F7" s="13"/>
      <c r="G7" s="13"/>
      <c r="H7" s="13"/>
      <c r="I7" s="13"/>
      <c r="J7" s="13"/>
      <c r="K7" s="4"/>
    </row>
    <row r="8" s="3" customFormat="1" customHeight="1" spans="2:11">
      <c r="B8" s="4"/>
      <c r="C8" s="12"/>
      <c r="D8" s="13"/>
      <c r="E8" s="13"/>
      <c r="F8" s="13"/>
      <c r="G8" s="13"/>
      <c r="H8" s="13"/>
      <c r="I8" s="13"/>
      <c r="J8" s="13"/>
      <c r="K8" s="4"/>
    </row>
    <row r="9" s="3" customFormat="1" customHeight="1" spans="2:11">
      <c r="B9" s="4"/>
      <c r="C9" s="12"/>
      <c r="D9" s="13"/>
      <c r="E9" s="13"/>
      <c r="F9" s="13"/>
      <c r="G9" s="13"/>
      <c r="H9" s="13"/>
      <c r="I9" s="13"/>
      <c r="J9" s="13"/>
      <c r="K9" s="4"/>
    </row>
    <row r="10" s="3" customFormat="1" customHeight="1" spans="2:11">
      <c r="B10" s="4"/>
      <c r="C10" s="12"/>
      <c r="D10" s="13"/>
      <c r="E10" s="13"/>
      <c r="F10" s="13"/>
      <c r="G10" s="13"/>
      <c r="H10" s="13"/>
      <c r="I10" s="13"/>
      <c r="J10" s="13"/>
      <c r="K10" s="4"/>
    </row>
    <row r="11" s="3" customFormat="1" customHeight="1" spans="2:11">
      <c r="B11" s="4"/>
      <c r="C11" s="12"/>
      <c r="D11" s="13"/>
      <c r="E11" s="13"/>
      <c r="F11" s="13"/>
      <c r="G11" s="13"/>
      <c r="H11" s="13"/>
      <c r="I11" s="13"/>
      <c r="J11" s="13"/>
      <c r="K11" s="4"/>
    </row>
    <row r="12" s="3" customFormat="1" customHeight="1" spans="2:11">
      <c r="B12" s="4"/>
      <c r="C12" s="12"/>
      <c r="D12" s="13"/>
      <c r="E12" s="13"/>
      <c r="F12" s="13"/>
      <c r="G12" s="13"/>
      <c r="H12" s="13"/>
      <c r="I12" s="13"/>
      <c r="J12" s="13"/>
      <c r="K12" s="4"/>
    </row>
    <row r="13" s="3" customFormat="1" customHeight="1" spans="2:11">
      <c r="B13" s="4"/>
      <c r="C13" s="12"/>
      <c r="D13" s="13"/>
      <c r="E13" s="13"/>
      <c r="F13" s="13"/>
      <c r="G13" s="13"/>
      <c r="H13" s="13"/>
      <c r="I13" s="13"/>
      <c r="J13" s="13"/>
      <c r="K13" s="4"/>
    </row>
  </sheetData>
  <sheetProtection formatCells="0" formatColumns="0" formatRows="0" insertRows="0" insertColumns="0" insertHyperlinks="0" deleteColumns="0" deleteRows="0" sort="0" autoFilter="0" pivotTables="0"/>
  <conditionalFormatting sqref="I5:I1048576">
    <cfRule type="cellIs" dxfId="1" priority="2" operator="equal">
      <formula>"双击修改"</formula>
    </cfRule>
  </conditionalFormatting>
  <conditionalFormatting sqref="J5:J1048576">
    <cfRule type="cellIs" dxfId="1" priority="1" operator="equal">
      <formula>"双击删除"</formula>
    </cfRule>
  </conditionalFormatting>
  <dataValidations count="2">
    <dataValidation type="list" allowBlank="1" showInputMessage="1" showErrorMessage="1" sqref="G5 G6 G7:G1048576">
      <formula1>"管理员,普通用户"</formula1>
    </dataValidation>
    <dataValidation type="list" allowBlank="1" showInputMessage="1" showErrorMessage="1" sqref="H5 H6 H7:H1048576">
      <formula1>"正常,锁定"</formula1>
    </dataValidation>
  </dataValidations>
  <pageMargins left="0.75" right="0.75" top="1" bottom="1" header="0.5" footer="0.5"/>
  <headerFooter/>
  <drawing r:id="rId1"/>
  <legacyDrawing r:id="rId2"/>
  <controls>
    <mc:AlternateContent xmlns:mc="http://schemas.openxmlformats.org/markup-compatibility/2006">
      <mc:Choice Requires="x14">
        <control shapeId="4098" r:id="rId3" name="TextBox1">
          <controlPr defaultSize="0" r:id="rId4">
            <anchor>
              <from>
                <xdr:col>3</xdr:col>
                <xdr:colOff>847725</xdr:colOff>
                <xdr:row>1</xdr:row>
                <xdr:rowOff>128905</xdr:rowOff>
              </from>
              <to>
                <xdr:col>5</xdr:col>
                <xdr:colOff>800100</xdr:colOff>
                <xdr:row>1</xdr:row>
                <xdr:rowOff>443230</xdr:rowOff>
              </to>
            </anchor>
          </controlPr>
        </control>
      </mc:Choice>
      <mc:Fallback>
        <control shapeId="4098" r:id="rId3" name="TextBox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E12"/>
  <sheetViews>
    <sheetView workbookViewId="0">
      <pane ySplit="2" topLeftCell="A3" activePane="bottomLeft" state="frozen"/>
      <selection/>
      <selection pane="bottomLeft" activeCell="H3" sqref="H3"/>
    </sheetView>
  </sheetViews>
  <sheetFormatPr defaultColWidth="9" defaultRowHeight="140" customHeight="1" outlineLevelCol="4"/>
  <cols>
    <col min="1" max="1" width="4.625" style="3" customWidth="1"/>
    <col min="2" max="2" width="3.375" style="4" customWidth="1"/>
    <col min="3" max="3" width="4" style="4" hidden="1" customWidth="1"/>
    <col min="4" max="4" width="26.875" style="5" customWidth="1"/>
    <col min="5" max="5" width="3.375" style="4" customWidth="1"/>
    <col min="6" max="6" width="6.75" style="3" hidden="1" customWidth="1"/>
    <col min="7" max="15" width="9" style="3"/>
    <col min="16" max="16384" width="9" style="6"/>
  </cols>
  <sheetData>
    <row r="1" s="1" customFormat="1" ht="60" customHeight="1" spans="1:4">
      <c r="A1" s="7"/>
      <c r="D1" s="8"/>
    </row>
    <row r="2" s="2" customFormat="1" ht="39.95" customHeight="1" spans="4:4">
      <c r="D2" s="3"/>
    </row>
    <row r="3" s="2" customFormat="1" customHeight="1" spans="2:5">
      <c r="B3" s="9"/>
      <c r="C3" s="9"/>
      <c r="D3" s="10" t="s">
        <v>86</v>
      </c>
      <c r="E3" s="9"/>
    </row>
    <row r="4" s="3" customFormat="1" customHeight="1" spans="2:5">
      <c r="B4" s="4"/>
      <c r="C4" s="4"/>
      <c r="D4" s="11" t="s">
        <v>87</v>
      </c>
      <c r="E4" s="4"/>
    </row>
    <row r="5" s="3" customFormat="1" customHeight="1" spans="2:5">
      <c r="B5" s="4"/>
      <c r="C5" s="4"/>
      <c r="D5" s="11"/>
      <c r="E5" s="4"/>
    </row>
    <row r="6" s="3" customFormat="1" customHeight="1" spans="2:5">
      <c r="B6" s="4"/>
      <c r="C6" s="4"/>
      <c r="D6" s="11"/>
      <c r="E6" s="4"/>
    </row>
    <row r="7" s="3" customFormat="1" customHeight="1" spans="2:5">
      <c r="B7" s="4"/>
      <c r="C7" s="4"/>
      <c r="D7" s="11"/>
      <c r="E7" s="4"/>
    </row>
    <row r="8" s="3" customFormat="1" customHeight="1" spans="2:5">
      <c r="B8" s="4"/>
      <c r="C8" s="4"/>
      <c r="D8" s="5"/>
      <c r="E8" s="4"/>
    </row>
    <row r="9" s="3" customFormat="1" customHeight="1" spans="2:5">
      <c r="B9" s="4"/>
      <c r="C9" s="4"/>
      <c r="D9" s="5"/>
      <c r="E9" s="4"/>
    </row>
    <row r="10" s="3" customFormat="1" customHeight="1" spans="2:5">
      <c r="B10" s="4"/>
      <c r="C10" s="4"/>
      <c r="D10" s="5"/>
      <c r="E10" s="4"/>
    </row>
    <row r="11" s="3" customFormat="1" customHeight="1" spans="2:5">
      <c r="B11" s="4"/>
      <c r="C11" s="4"/>
      <c r="D11" s="5"/>
      <c r="E11" s="4"/>
    </row>
    <row r="12" s="3" customFormat="1" customHeight="1" spans="2:5">
      <c r="B12" s="4"/>
      <c r="C12" s="4"/>
      <c r="D12" s="5"/>
      <c r="E12" s="4"/>
    </row>
  </sheetData>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18</vt:i4>
      </vt:variant>
    </vt:vector>
  </HeadingPairs>
  <TitlesOfParts>
    <vt:vector size="18" baseType="lpstr">
      <vt:lpstr>首页</vt:lpstr>
      <vt:lpstr>说明书</vt:lpstr>
      <vt:lpstr>加密</vt:lpstr>
      <vt:lpstr>入库</vt:lpstr>
      <vt:lpstr>入库单</vt:lpstr>
      <vt:lpstr>出库</vt:lpstr>
      <vt:lpstr>出库单</vt:lpstr>
      <vt:lpstr>期初数</vt:lpstr>
      <vt:lpstr>明细</vt:lpstr>
      <vt:lpstr>进销存</vt:lpstr>
      <vt:lpstr>客户|供应商查询</vt:lpstr>
      <vt:lpstr>商品进出查询</vt:lpstr>
      <vt:lpstr>基础资料</vt:lpstr>
      <vt:lpstr>客户资料</vt:lpstr>
      <vt:lpstr>供应商资料</vt:lpstr>
      <vt:lpstr>笔记</vt:lpstr>
      <vt:lpstr>用户管理</vt:lpstr>
      <vt:lpstr>二维码打印</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云合Excel</cp:lastModifiedBy>
  <dcterms:created xsi:type="dcterms:W3CDTF">2021-02-01T06:30:00Z</dcterms:created>
  <dcterms:modified xsi:type="dcterms:W3CDTF">2023-10-07T08:05:24Z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2052-11.1.0.14309</vt:lpwstr>
  </property>
  <property fmtid="{D5CDD505-2E9C-101B-9397-08002B2CF9AE}" pid="3" name="ICV">
    <vt:lpwstr>2880E496AE9040DCA7CC04DAC228E7B9</vt:lpwstr>
  </property>
  <property fmtid="{D5CDD505-2E9C-101B-9397-08002B2CF9AE}" pid="4" name="commondata">
    <vt:lpwstr>eyJoZGlkIjoiODI2NTdlNmIyYjhkYWM0NDQwYWU3Y2Q0NmEyMTJiMWEifQ==</vt:lpwstr>
  </property>
</Properties>
</file>