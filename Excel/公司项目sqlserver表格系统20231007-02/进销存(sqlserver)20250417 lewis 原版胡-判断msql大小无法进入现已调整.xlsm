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<sst xmlns="http://schemas.openxmlformats.org/spreadsheetml/2006/main" count="195" uniqueCount="88">
  <si>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</si>
  <si>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</si>
  <si>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</si>
  <si>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</si>
  <si>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</si>
  <si>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</si>
  <si>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</si>
  <si>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</si>
  <si>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</si>
  <si>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</si>
  <si>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</si>
  <si>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</si>
  <si>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</si>
  <si>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</si>
  <si>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</si>
  <si>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</si>
  <si>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</si>
  <si>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</si>
  <si>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</si>
  <si>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</si>
  <si>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</si>
  <si>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</si>
  <si>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</si>
  <si>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</si>
  <si>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</si>
  <si>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</si>
  <si>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</si>
  <si>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</si>
  <si>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</si>
  <si>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</si>
  <si>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</si>
  <si>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</si>
  <si>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</si>
  <si>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</si>
  <si>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</si>
  <si>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</si>
  <si>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</si>
  <si>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</si>
  <si>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</si>
  <si>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</si>
  <si>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</si>
  <si>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</si>
  <si>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</si>
  <si>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</si>
  <si>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</si>
  <si>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</si>
  <si>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</si>
  <si>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</si>
  <si>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</si>
  <si>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DD20231006002</t>
  </si>
  <si>
    <t>客户：</t>
  </si>
  <si>
    <t>奥迪</t>
  </si>
  <si>
    <t>出库时间：</t>
  </si>
  <si>
    <t>合计金额：240</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</si>
  <si>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</si>
  <si>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</si>
  <si>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</si>
  <si>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</si>
  <si>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</si>
  <si>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</si>
  <si>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</si>
  <si>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</si>
  <si>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</si>
  <si>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</si>
  <si>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</si>
  <si>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</si>
  <si>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</si>
  <si>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</si>
  <si>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</si>
  <si>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</si>
  <si>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</si>
  <si>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</si>
  <si>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</si>
  <si>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</si>
  <si>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</si>
  <si>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</si>
  <si>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</si>
  <si>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</si>
  <si>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</si>
  <si>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</si>
  <si>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</si>
  <si>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</si>
  <si>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</si>
  <si>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</si>
  <si>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</si>
  <si>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</si>
  <si>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商品代码：CS001
 商品名称：笔记本</t>
  </si>
  <si>
    <t xml:space="preserve"> 商品代码：CS002
 商品名称：中性笔</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</si>
</sst>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4" fillId="0" borderId="0" applyFont="0" applyFill="0" applyBorder="0" applyAlignment="0" applyProtection="0">
      <alignment vertical="center"/>
    </xf>
    <xf numFmtId="44" fontId="14" fillId="0" borderId="0" applyFont="0" applyFill="0" applyBorder="0" applyAlignment="0" applyProtection="0">
      <alignment vertical="center"/>
    </xf>
    <xf numFmtId="9" fontId="14" fillId="0" borderId="0" applyFont="0" applyFill="0" applyBorder="0" applyAlignment="0" applyProtection="0">
      <alignment vertical="center"/>
    </xf>
    <xf numFmtId="41" fontId="14" fillId="0" borderId="0" applyFont="0" applyFill="0" applyBorder="0" applyAlignment="0" applyProtection="0">
      <alignment vertical="center"/>
    </xf>
    <xf numFmtId="42" fontId="14" fillId="0" borderId="0" applyFon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14" fillId="11" borderId="10" applyNumberFormat="0" applyFont="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1" applyNumberFormat="0" applyFill="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6" fillId="0" borderId="0" applyNumberFormat="0" applyFill="0" applyBorder="0" applyAlignment="0" applyProtection="0">
      <alignment vertical="center"/>
    </xf>
    <xf numFmtId="0" fontId="37" fillId="12" borderId="13" applyNumberFormat="0" applyAlignment="0" applyProtection="0">
      <alignment vertical="center"/>
    </xf>
    <xf numFmtId="0" fontId="38" fillId="13" borderId="14" applyNumberFormat="0" applyAlignment="0" applyProtection="0">
      <alignment vertical="center"/>
    </xf>
    <xf numFmtId="0" fontId="39" fillId="13" borderId="13" applyNumberFormat="0" applyAlignment="0" applyProtection="0">
      <alignment vertical="center"/>
    </xf>
    <xf numFmtId="0" fontId="40" fillId="14" borderId="15" applyNumberFormat="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15" borderId="0" applyNumberFormat="0" applyBorder="0" applyAlignment="0" applyProtection="0">
      <alignment vertical="center"/>
    </xf>
    <xf numFmtId="0" fontId="44" fillId="16" borderId="0" applyNumberFormat="0" applyBorder="0" applyAlignment="0" applyProtection="0">
      <alignment vertical="center"/>
    </xf>
    <xf numFmtId="0" fontId="45" fillId="17" borderId="0" applyNumberFormat="0" applyBorder="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7" fillId="3"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7" fillId="22" borderId="0" applyNumberFormat="0" applyBorder="0" applyAlignment="0" applyProtection="0">
      <alignment vertical="center"/>
    </xf>
    <xf numFmtId="0" fontId="47"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7" fillId="26" borderId="0" applyNumberFormat="0" applyBorder="0" applyAlignment="0" applyProtection="0">
      <alignment vertical="center"/>
    </xf>
    <xf numFmtId="0" fontId="47"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7" fillId="30" borderId="0" applyNumberFormat="0" applyBorder="0" applyAlignment="0" applyProtection="0">
      <alignment vertical="center"/>
    </xf>
    <xf numFmtId="0" fontId="47"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7" fillId="34" borderId="0" applyNumberFormat="0" applyBorder="0" applyAlignment="0" applyProtection="0">
      <alignment vertical="center"/>
    </xf>
    <xf numFmtId="0" fontId="47" fillId="35" borderId="0" applyNumberFormat="0" applyBorder="0" applyAlignment="0" applyProtection="0">
      <alignment vertical="center"/>
    </xf>
    <xf numFmtId="0" fontId="46" fillId="36" borderId="0" applyNumberFormat="0" applyBorder="0" applyAlignment="0" applyProtection="0">
      <alignment vertical="center"/>
    </xf>
    <xf numFmtId="0" fontId="46" fillId="37" borderId="0" applyNumberFormat="0" applyBorder="0" applyAlignment="0" applyProtection="0">
      <alignment vertical="center"/>
    </xf>
    <xf numFmtId="0" fontId="47" fillId="38" borderId="0" applyNumberFormat="0" applyBorder="0" applyAlignment="0" applyProtection="0">
      <alignment vertical="center"/>
    </xf>
    <xf numFmtId="0" fontId="47" fillId="39" borderId="0" applyNumberFormat="0" applyBorder="0" applyAlignment="0" applyProtection="0">
      <alignment vertical="center"/>
    </xf>
    <xf numFmtId="0" fontId="46"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14"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1</xdr:row>
      <xdr:rowOff>504825</xdr:rowOff>
    </xdr:from>
    <xdr:to>
      <xdr:col>3</xdr:col>
      <xdr:colOff>1397000</xdr:colOff>
      <xdr:row>2</xdr:row>
      <xdr:rowOff>534035</xdr:rowOff>
    </xdr:to>
    <xdr:grpSp>
      <xdr:nvGrpSpPr>
        <xdr:cNvPr id="49" name="组合 48"/>
        <xdr:cNvGrpSpPr/>
      </xdr:nvGrpSpPr>
      <xdr:grpSpPr>
        <a:xfrm>
          <a:off x="609600" y="1266825"/>
          <a:ext cx="1397000" cy="536575"/>
          <a:chOff x="945" y="1980"/>
          <a:chExt cx="2200" cy="841"/>
        </a:xfrm>
      </xdr:grpSpPr>
      <xdr:sp>
        <xdr:nvSpPr>
          <xdr:cNvPr id="2" name="矩形 1"/>
          <xdr:cNvSpPr/>
        </xdr:nvSpPr>
        <xdr:spPr>
          <a:xfrm>
            <a:off x="945" y="1980"/>
            <a:ext cx="22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3" name="矩形 2"/>
          <xdr:cNvSpPr/>
        </xdr:nvSpPr>
        <xdr:spPr>
          <a:xfrm>
            <a:off x="11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 name="矩形 3"/>
          <xdr:cNvSpPr/>
        </xdr:nvSpPr>
        <xdr:spPr>
          <a:xfrm>
            <a:off x="12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 name="矩形 4"/>
          <xdr:cNvSpPr/>
        </xdr:nvSpPr>
        <xdr:spPr>
          <a:xfrm>
            <a:off x="12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 name="矩形 5"/>
          <xdr:cNvSpPr/>
        </xdr:nvSpPr>
        <xdr:spPr>
          <a:xfrm>
            <a:off x="13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 name="矩形 6"/>
          <xdr:cNvSpPr/>
        </xdr:nvSpPr>
        <xdr:spPr>
          <a:xfrm>
            <a:off x="14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 name="矩形 7"/>
          <xdr:cNvSpPr/>
        </xdr:nvSpPr>
        <xdr:spPr>
          <a:xfrm>
            <a:off x="15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 name="矩形 8"/>
          <xdr:cNvSpPr/>
        </xdr:nvSpPr>
        <xdr:spPr>
          <a:xfrm>
            <a:off x="160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 name="矩形 9"/>
          <xdr:cNvSpPr/>
        </xdr:nvSpPr>
        <xdr:spPr>
          <a:xfrm>
            <a:off x="166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 name="矩形 10"/>
          <xdr:cNvSpPr/>
        </xdr:nvSpPr>
        <xdr:spPr>
          <a:xfrm>
            <a:off x="17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2" name="矩形 11"/>
          <xdr:cNvSpPr/>
        </xdr:nvSpPr>
        <xdr:spPr>
          <a:xfrm>
            <a:off x="18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3" name="矩形 12"/>
          <xdr:cNvSpPr/>
        </xdr:nvSpPr>
        <xdr:spPr>
          <a:xfrm>
            <a:off x="188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4" name="矩形 13"/>
          <xdr:cNvSpPr/>
        </xdr:nvSpPr>
        <xdr:spPr>
          <a:xfrm>
            <a:off x="19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5" name="矩形 14"/>
          <xdr:cNvSpPr/>
        </xdr:nvSpPr>
        <xdr:spPr>
          <a:xfrm>
            <a:off x="20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6" name="矩形 15"/>
          <xdr:cNvSpPr/>
        </xdr:nvSpPr>
        <xdr:spPr>
          <a:xfrm>
            <a:off x="210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7" name="矩形 16"/>
          <xdr:cNvSpPr/>
        </xdr:nvSpPr>
        <xdr:spPr>
          <a:xfrm>
            <a:off x="21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8" name="矩形 17"/>
          <xdr:cNvSpPr/>
        </xdr:nvSpPr>
        <xdr:spPr>
          <a:xfrm>
            <a:off x="22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9" name="矩形 18"/>
          <xdr:cNvSpPr/>
        </xdr:nvSpPr>
        <xdr:spPr>
          <a:xfrm>
            <a:off x="232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0" name="矩形 19"/>
          <xdr:cNvSpPr/>
        </xdr:nvSpPr>
        <xdr:spPr>
          <a:xfrm>
            <a:off x="24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1" name="矩形 20"/>
          <xdr:cNvSpPr/>
        </xdr:nvSpPr>
        <xdr:spPr>
          <a:xfrm>
            <a:off x="248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2" name="矩形 21"/>
          <xdr:cNvSpPr/>
        </xdr:nvSpPr>
        <xdr:spPr>
          <a:xfrm>
            <a:off x="25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3" name="矩形 22"/>
          <xdr:cNvSpPr/>
        </xdr:nvSpPr>
        <xdr:spPr>
          <a:xfrm>
            <a:off x="26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24" name="矩形 23"/>
          <xdr:cNvSpPr/>
        </xdr:nvSpPr>
        <xdr:spPr>
          <a:xfrm>
            <a:off x="270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5" name="矩形 44"/>
          <xdr:cNvSpPr/>
        </xdr:nvSpPr>
        <xdr:spPr>
          <a:xfrm>
            <a:off x="280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6" name="矩形 45"/>
          <xdr:cNvSpPr/>
        </xdr:nvSpPr>
        <xdr:spPr>
          <a:xfrm>
            <a:off x="28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7" name="矩形 46"/>
          <xdr:cNvSpPr/>
        </xdr:nvSpPr>
        <xdr:spPr>
          <a:xfrm>
            <a:off x="29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48" name="矩形 47"/>
          <xdr:cNvSpPr/>
        </xdr:nvSpPr>
        <xdr:spPr>
          <a:xfrm>
            <a:off x="1145" y="2639"/>
            <a:ext cx="18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CS001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2</xdr:row>
      <xdr:rowOff>1771650</xdr:rowOff>
    </xdr:from>
    <xdr:to>
      <xdr:col>3</xdr:col>
      <xdr:colOff>1397000</xdr:colOff>
      <xdr:row>3</xdr:row>
      <xdr:rowOff>534035</xdr:rowOff>
    </xdr:to>
    <xdr:grpSp>
      <xdr:nvGrpSpPr>
        <xdr:cNvPr id="77" name="组合 76"/>
        <xdr:cNvGrpSpPr/>
      </xdr:nvGrpSpPr>
      <xdr:grpSpPr>
        <a:xfrm>
          <a:off x="609600" y="3041015"/>
          <a:ext cx="1397000" cy="540385"/>
          <a:chOff x="945" y="4770"/>
          <a:chExt cx="2200" cy="841"/>
        </a:xfrm>
      </xdr:grpSpPr>
      <xdr:sp>
        <xdr:nvSpPr>
          <xdr:cNvPr id="50" name="矩形 49"/>
          <xdr:cNvSpPr/>
        </xdr:nvSpPr>
        <xdr:spPr>
          <a:xfrm>
            <a:off x="945" y="4770"/>
            <a:ext cx="22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1" name="矩形 50"/>
          <xdr:cNvSpPr/>
        </xdr:nvSpPr>
        <xdr:spPr>
          <a:xfrm>
            <a:off x="11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2" name="矩形 51"/>
          <xdr:cNvSpPr/>
        </xdr:nvSpPr>
        <xdr:spPr>
          <a:xfrm>
            <a:off x="12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3" name="矩形 52"/>
          <xdr:cNvSpPr/>
        </xdr:nvSpPr>
        <xdr:spPr>
          <a:xfrm>
            <a:off x="12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4" name="矩形 53"/>
          <xdr:cNvSpPr/>
        </xdr:nvSpPr>
        <xdr:spPr>
          <a:xfrm>
            <a:off x="13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5" name="矩形 54"/>
          <xdr:cNvSpPr/>
        </xdr:nvSpPr>
        <xdr:spPr>
          <a:xfrm>
            <a:off x="146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6" name="矩形 55"/>
          <xdr:cNvSpPr/>
        </xdr:nvSpPr>
        <xdr:spPr>
          <a:xfrm>
            <a:off x="15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7" name="矩形 56"/>
          <xdr:cNvSpPr/>
        </xdr:nvSpPr>
        <xdr:spPr>
          <a:xfrm>
            <a:off x="160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8" name="矩形 57"/>
          <xdr:cNvSpPr/>
        </xdr:nvSpPr>
        <xdr:spPr>
          <a:xfrm>
            <a:off x="166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59" name="矩形 58"/>
          <xdr:cNvSpPr/>
        </xdr:nvSpPr>
        <xdr:spPr>
          <a:xfrm>
            <a:off x="17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0" name="矩形 59"/>
          <xdr:cNvSpPr/>
        </xdr:nvSpPr>
        <xdr:spPr>
          <a:xfrm>
            <a:off x="18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1" name="矩形 60"/>
          <xdr:cNvSpPr/>
        </xdr:nvSpPr>
        <xdr:spPr>
          <a:xfrm>
            <a:off x="188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2" name="矩形 61"/>
          <xdr:cNvSpPr/>
        </xdr:nvSpPr>
        <xdr:spPr>
          <a:xfrm>
            <a:off x="19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3" name="矩形 62"/>
          <xdr:cNvSpPr/>
        </xdr:nvSpPr>
        <xdr:spPr>
          <a:xfrm>
            <a:off x="20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4" name="矩形 63"/>
          <xdr:cNvSpPr/>
        </xdr:nvSpPr>
        <xdr:spPr>
          <a:xfrm>
            <a:off x="210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5" name="矩形 64"/>
          <xdr:cNvSpPr/>
        </xdr:nvSpPr>
        <xdr:spPr>
          <a:xfrm>
            <a:off x="21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6" name="矩形 65"/>
          <xdr:cNvSpPr/>
        </xdr:nvSpPr>
        <xdr:spPr>
          <a:xfrm>
            <a:off x="22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7" name="矩形 66"/>
          <xdr:cNvSpPr/>
        </xdr:nvSpPr>
        <xdr:spPr>
          <a:xfrm>
            <a:off x="234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8" name="矩形 67"/>
          <xdr:cNvSpPr/>
        </xdr:nvSpPr>
        <xdr:spPr>
          <a:xfrm>
            <a:off x="24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69" name="矩形 68"/>
          <xdr:cNvSpPr/>
        </xdr:nvSpPr>
        <xdr:spPr>
          <a:xfrm>
            <a:off x="24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0" name="矩形 69"/>
          <xdr:cNvSpPr/>
        </xdr:nvSpPr>
        <xdr:spPr>
          <a:xfrm>
            <a:off x="25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1" name="矩形 70"/>
          <xdr:cNvSpPr/>
        </xdr:nvSpPr>
        <xdr:spPr>
          <a:xfrm>
            <a:off x="26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 name="矩形 71"/>
          <xdr:cNvSpPr/>
        </xdr:nvSpPr>
        <xdr:spPr>
          <a:xfrm>
            <a:off x="270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 name="矩形 72"/>
          <xdr:cNvSpPr/>
        </xdr:nvSpPr>
        <xdr:spPr>
          <a:xfrm>
            <a:off x="280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 name="矩形 73"/>
          <xdr:cNvSpPr/>
        </xdr:nvSpPr>
        <xdr:spPr>
          <a:xfrm>
            <a:off x="28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 name="矩形 74"/>
          <xdr:cNvSpPr/>
        </xdr:nvSpPr>
        <xdr:spPr>
          <a:xfrm>
            <a:off x="29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 name="矩形 75"/>
          <xdr:cNvSpPr/>
        </xdr:nvSpPr>
        <xdr:spPr>
          <a:xfrm>
            <a:off x="1145" y="5429"/>
            <a:ext cx="18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CS002</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5:23">
      <c r="E7" s="87"/>
      <c r="F7" s="87"/>
      <c r="G7" s="87"/>
      <c r="H7" s="88"/>
      <c r="I7" s="88"/>
      <c r="J7" s="88"/>
      <c r="K7" s="88"/>
      <c r="L7" s="88"/>
      <c r="M7" s="88"/>
      <c r="N7" s="89"/>
      <c r="O7" s="89"/>
      <c r="P7" s="89"/>
      <c r="Q7" s="89"/>
      <c r="T7" s="89"/>
      <c r="U7" s="89"/>
      <c r="V7" s="89"/>
      <c r="W7" s="89"/>
    </row>
    <row r="8" customHeight="1" spans="8:23">
      <c r="H8" s="89"/>
      <c r="I8" s="89"/>
      <c r="J8" s="89"/>
      <c r="K8" s="89"/>
      <c r="L8" s="89"/>
      <c r="M8" s="89"/>
      <c r="N8" s="89"/>
      <c r="O8" s="89"/>
      <c r="P8" s="89"/>
      <c r="Q8" s="89"/>
      <c r="T8" s="89"/>
      <c r="U8" s="89"/>
      <c r="V8" s="89"/>
      <c r="W8" s="89"/>
    </row>
    <row r="9" customHeight="1" spans="8:23">
      <c r="H9" s="89"/>
      <c r="I9" s="89"/>
      <c r="J9" s="89"/>
      <c r="K9" s="89"/>
      <c r="L9" s="89"/>
      <c r="M9" s="89"/>
      <c r="N9" s="89"/>
      <c r="O9" s="89"/>
      <c r="P9" s="89"/>
      <c r="Q9" s="89"/>
      <c r="R9" s="89"/>
      <c r="S9" s="89"/>
      <c r="T9" s="89"/>
      <c r="U9" s="89"/>
      <c r="V9" s="89"/>
      <c r="W9" s="89"/>
    </row>
    <row r="10" customHeight="1" spans="17:23">
      <c r="Q10" s="89"/>
      <c r="R10" s="89"/>
      <c r="S10" s="89"/>
      <c r="T10" s="89"/>
      <c r="U10" s="89"/>
      <c r="V10" s="89"/>
      <c r="W10" s="89"/>
    </row>
    <row r="11" customHeight="1" spans="17:23">
      <c r="Q11" s="89"/>
      <c r="R11" s="89"/>
      <c r="S11" s="89"/>
      <c r="T11" s="89"/>
      <c r="U11" s="89"/>
      <c r="V11" s="89"/>
      <c r="W11" s="89"/>
    </row>
    <row r="12" customHeight="1" spans="17:23">
      <c r="Q12" s="89"/>
      <c r="R12" s="89"/>
      <c r="S12" s="89"/>
      <c r="T12" s="89"/>
      <c r="U12" s="89"/>
      <c r="V12" s="89"/>
      <c r="W12" s="89"/>
    </row>
    <row r="13" customHeight="1" spans="17:23">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82"/>
    </row>
    <row r="2" ht="15.95" customHeight="1" spans="2:9">
      <c r="B2" s="65"/>
      <c r="C2" s="71"/>
      <c r="D2" s="65"/>
      <c r="E2" s="65"/>
      <c r="F2" s="65"/>
      <c r="G2" s="65"/>
      <c r="H2" s="65"/>
      <c r="I2" s="65"/>
    </row>
    <row r="3" ht="15.95" customHeight="1" spans="3:8">
      <c r="C3" s="72"/>
      <c r="D3" s="66"/>
      <c r="E3" s="66"/>
      <c r="F3" s="66"/>
      <c r="G3" s="66"/>
      <c r="H3" s="66"/>
    </row>
    <row r="4" ht="75.95" customHeight="1" spans="3:8">
      <c r="C4" s="73" t="s">
        <v>0</v>
      </c>
      <c r="D4" s="74"/>
      <c r="E4" s="74"/>
      <c r="F4" s="75">
        <f>D7</f>
        <v>1</v>
      </c>
      <c r="G4" s="76" t="s">
        <v>1</v>
      </c>
      <c r="H4" s="76"/>
    </row>
    <row r="5" ht="6" customHeight="1" spans="3:8">
      <c r="C5" s="77"/>
      <c r="D5" s="74"/>
      <c r="E5" s="74"/>
      <c r="F5" s="78"/>
      <c r="G5" s="78"/>
      <c r="H5" s="78"/>
    </row>
    <row r="6" s="64" customFormat="1" ht="9" customHeight="1" spans="2:9">
      <c r="B6" s="66"/>
      <c r="C6" s="79"/>
      <c r="D6" s="80"/>
      <c r="E6" s="80"/>
      <c r="F6" s="81"/>
      <c r="G6" s="81"/>
      <c r="H6" s="81"/>
      <c r="I6" s="66"/>
    </row>
    <row r="7" hidden="1" customHeight="1" spans="2:4">
      <c r="B7" s="66" t="s">
        <v>2</v>
      </c>
      <c r="D7" s="68">
        <v>1</v>
      </c>
    </row>
    <row r="8" customHeight="1" spans="3:4">
      <c r="C8" s="67" t="s">
        <v>3</v>
      </c>
      <c r="D8" s="68" t="s">
        <v>4</v>
      </c>
    </row>
    <row r="9" customHeight="1" spans="3:4">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4: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3">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2">
        <v>58441</v>
      </c>
      <c r="C1" s="62">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5" sqref="F5"/>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31</v>
      </c>
      <c r="J4" s="41"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0" sqref="E10"/>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33</v>
      </c>
      <c r="D4" s="51"/>
      <c r="E4" s="51"/>
      <c r="F4" s="51"/>
      <c r="G4" s="51"/>
      <c r="H4" s="51"/>
      <c r="I4" s="9"/>
    </row>
    <row r="5" s="2" customFormat="1" ht="30" customHeight="1" spans="2:9">
      <c r="B5" s="9"/>
      <c r="C5" s="52" t="s">
        <v>34</v>
      </c>
      <c r="D5" s="53" t="s">
        <v>35</v>
      </c>
      <c r="E5" s="52" t="s">
        <v>36</v>
      </c>
      <c r="F5" s="53" t="s">
        <v>37</v>
      </c>
      <c r="G5" s="52" t="s">
        <v>38</v>
      </c>
      <c r="H5" s="54">
        <v>45205</v>
      </c>
      <c r="I5" s="9"/>
    </row>
    <row r="6" s="2" customFormat="1" ht="30" customHeight="1" spans="2:9">
      <c r="B6" s="9"/>
      <c r="C6" s="55" t="s">
        <v>26</v>
      </c>
      <c r="D6" s="55" t="s">
        <v>27</v>
      </c>
      <c r="E6" s="55" t="s">
        <v>28</v>
      </c>
      <c r="F6" s="55" t="s">
        <v>30</v>
      </c>
      <c r="G6" s="55" t="s">
        <v>39</v>
      </c>
      <c r="H6" s="55" t="s">
        <v>31</v>
      </c>
      <c r="I6" s="9"/>
    </row>
    <row r="7" customHeight="1" spans="3:8">
      <c r="C7" s="56" t="s">
        <v>40</v>
      </c>
      <c r="D7" s="56" t="s">
        <v>41</v>
      </c>
      <c r="E7" s="56" t="s">
        <v>42</v>
      </c>
      <c r="F7" s="56">
        <v>10</v>
      </c>
      <c r="G7" s="56">
        <v>10</v>
      </c>
      <c r="H7" s="56">
        <v>100</v>
      </c>
    </row>
    <row r="8" customHeight="1" spans="3:8">
      <c r="C8" s="56" t="s">
        <v>43</v>
      </c>
      <c r="D8" s="56" t="s">
        <v>44</v>
      </c>
      <c r="E8" s="56" t="s">
        <v>42</v>
      </c>
      <c r="F8" s="56">
        <v>20</v>
      </c>
      <c r="G8" s="56">
        <v>2</v>
      </c>
      <c r="H8" s="56">
        <v>40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45</v>
      </c>
      <c r="D19" s="58">
        <f>G19</f>
        <v>140</v>
      </c>
      <c r="E19" s="58"/>
      <c r="F19" s="57" t="s">
        <v>46</v>
      </c>
      <c r="G19" s="57">
        <f>SUM(H7:H18)</f>
        <v>140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E8" sqref="E8"/>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47</v>
      </c>
      <c r="H2" s="35"/>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39</v>
      </c>
      <c r="J4" s="41"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48</v>
      </c>
      <c r="D4" s="51"/>
      <c r="E4" s="51"/>
      <c r="F4" s="51"/>
      <c r="G4" s="51"/>
      <c r="H4" s="51"/>
      <c r="I4" s="9"/>
    </row>
    <row r="5" s="2" customFormat="1" ht="30" customHeight="1" spans="2:9">
      <c r="B5" s="9"/>
      <c r="C5" s="52" t="s">
        <v>34</v>
      </c>
      <c r="D5" s="53" t="s">
        <v>49</v>
      </c>
      <c r="E5" s="52" t="s">
        <v>50</v>
      </c>
      <c r="F5" s="53" t="s">
        <v>51</v>
      </c>
      <c r="G5" s="52" t="s">
        <v>52</v>
      </c>
      <c r="H5" s="54">
        <v>45205</v>
      </c>
      <c r="I5" s="9"/>
    </row>
    <row r="6" s="2" customFormat="1" ht="30" customHeight="1" spans="2:9">
      <c r="B6" s="9"/>
      <c r="C6" s="55" t="s">
        <v>26</v>
      </c>
      <c r="D6" s="55" t="s">
        <v>27</v>
      </c>
      <c r="E6" s="55" t="s">
        <v>28</v>
      </c>
      <c r="F6" s="55" t="s">
        <v>30</v>
      </c>
      <c r="G6" s="55" t="s">
        <v>39</v>
      </c>
      <c r="H6" s="55" t="s">
        <v>31</v>
      </c>
      <c r="I6" s="9"/>
    </row>
    <row r="7" s="3" customFormat="1" customHeight="1" spans="2:9">
      <c r="B7" s="4"/>
      <c r="C7" s="56" t="s">
        <v>40</v>
      </c>
      <c r="D7" s="56" t="s">
        <v>41</v>
      </c>
      <c r="E7" s="56" t="s">
        <v>42</v>
      </c>
      <c r="F7" s="56">
        <v>2</v>
      </c>
      <c r="G7" s="56">
        <v>12</v>
      </c>
      <c r="H7" s="56">
        <v>24</v>
      </c>
      <c r="I7" s="4"/>
    </row>
    <row r="8" s="3" customFormat="1" customHeight="1" spans="2:9">
      <c r="B8" s="4"/>
      <c r="C8" s="56" t="s">
        <v>43</v>
      </c>
      <c r="D8" s="56" t="s">
        <v>44</v>
      </c>
      <c r="E8" s="56" t="s">
        <v>42</v>
      </c>
      <c r="F8" s="56">
        <v>4</v>
      </c>
      <c r="G8" s="56">
        <v>12</v>
      </c>
      <c r="H8" s="56">
        <v>48</v>
      </c>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45</v>
      </c>
      <c r="D19" s="58">
        <f>G19</f>
        <v>72</v>
      </c>
      <c r="E19" s="58"/>
      <c r="F19" s="57" t="s">
        <v>46</v>
      </c>
      <c r="G19" s="57">
        <f>SUM(H7:H18)</f>
        <v>72</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F7" sqref="F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53</v>
      </c>
    </row>
    <row r="3" s="2" customFormat="1" customHeight="1" spans="2:11">
      <c r="B3" s="9"/>
      <c r="C3" s="9"/>
      <c r="D3" s="9"/>
      <c r="E3" s="9"/>
      <c r="F3" s="9"/>
      <c r="G3" s="9"/>
      <c r="H3" s="9"/>
      <c r="I3" s="9"/>
      <c r="J3" s="9"/>
      <c r="K3" s="9"/>
    </row>
    <row r="4" s="2" customFormat="1" ht="30" customHeight="1" spans="2:11">
      <c r="B4" s="9"/>
      <c r="C4" s="9" t="s">
        <v>54</v>
      </c>
      <c r="D4" s="41" t="s">
        <v>25</v>
      </c>
      <c r="E4" s="41" t="s">
        <v>26</v>
      </c>
      <c r="F4" s="41" t="s">
        <v>27</v>
      </c>
      <c r="G4" s="41" t="s">
        <v>28</v>
      </c>
      <c r="H4" s="41" t="s">
        <v>55</v>
      </c>
      <c r="I4" s="41" t="s">
        <v>56</v>
      </c>
      <c r="J4" s="41"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I11" sqref="I11"/>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54</v>
      </c>
      <c r="D4" s="41" t="s">
        <v>25</v>
      </c>
      <c r="E4" s="41" t="s">
        <v>57</v>
      </c>
      <c r="F4" s="41" t="s">
        <v>27</v>
      </c>
      <c r="G4" s="41" t="s">
        <v>26</v>
      </c>
      <c r="H4" s="41" t="s">
        <v>28</v>
      </c>
      <c r="I4" s="41" t="s">
        <v>58</v>
      </c>
      <c r="J4" s="41" t="s">
        <v>30</v>
      </c>
      <c r="K4" s="41" t="s">
        <v>59</v>
      </c>
      <c r="L4" s="45" t="s">
        <v>60</v>
      </c>
      <c r="M4" s="41" t="s">
        <v>61</v>
      </c>
      <c r="N4" s="41" t="s">
        <v>62</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9" sqref="H9"/>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47</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54</v>
      </c>
      <c r="D4" s="15" t="s">
        <v>25</v>
      </c>
      <c r="E4" s="38" t="s">
        <v>27</v>
      </c>
      <c r="F4" s="38" t="s">
        <v>26</v>
      </c>
      <c r="G4" s="38" t="s">
        <v>28</v>
      </c>
      <c r="H4" s="15" t="s">
        <v>63</v>
      </c>
      <c r="I4" s="15"/>
      <c r="J4" s="15" t="s">
        <v>64</v>
      </c>
      <c r="K4" s="15"/>
      <c r="L4" s="15" t="s">
        <v>65</v>
      </c>
      <c r="M4" s="15"/>
      <c r="N4" s="15" t="s">
        <v>66</v>
      </c>
      <c r="O4" s="15"/>
      <c r="P4" s="15" t="s">
        <v>67</v>
      </c>
      <c r="Q4" s="36"/>
    </row>
    <row r="5" s="27" customFormat="1" ht="24.95" customHeight="1" spans="2: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F11" sqref="F1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54</v>
      </c>
      <c r="D4" s="15" t="s">
        <v>68</v>
      </c>
      <c r="E4" s="15" t="s">
        <v>27</v>
      </c>
      <c r="F4" s="15" t="s">
        <v>28</v>
      </c>
      <c r="G4" s="15" t="s">
        <v>26</v>
      </c>
      <c r="H4" s="24" t="s">
        <v>69</v>
      </c>
      <c r="I4" s="24" t="s">
        <v>70</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pane ySplit="5" topLeftCell="A6" activePane="bottomLeft" state="frozen"/>
      <selection/>
      <selection pane="bottomLeft" activeCell="G9" sqref="G9"/>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54</v>
      </c>
      <c r="D4" s="15" t="s">
        <v>27</v>
      </c>
      <c r="E4" s="15" t="s">
        <v>26</v>
      </c>
      <c r="F4" s="15" t="s">
        <v>71</v>
      </c>
      <c r="G4" s="22" t="s">
        <v>64</v>
      </c>
      <c r="H4" s="23"/>
      <c r="I4" s="22" t="s">
        <v>65</v>
      </c>
      <c r="J4" s="23"/>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1" t="s">
        <v>41</v>
      </c>
      <c r="E6" s="13" t="s">
        <v>40</v>
      </c>
      <c r="F6" s="13" t="s">
        <v>42</v>
      </c>
      <c r="G6" s="13">
        <v>10</v>
      </c>
      <c r="H6" s="13">
        <v>100</v>
      </c>
      <c r="I6" s="13">
        <v>2</v>
      </c>
      <c r="J6" s="13">
        <v>24</v>
      </c>
      <c r="K6" s="4"/>
    </row>
    <row r="7" s="3" customFormat="1" customHeight="1" spans="2:11">
      <c r="B7" s="4"/>
      <c r="C7" s="4"/>
      <c r="D7" s="21"/>
      <c r="E7" s="13"/>
      <c r="F7" s="13"/>
      <c r="G7" s="13"/>
      <c r="H7" s="13"/>
      <c r="I7" s="13"/>
      <c r="J7" s="13"/>
      <c r="K7" s="4"/>
    </row>
    <row r="8" s="3" customFormat="1" customHeight="1" spans="2:11">
      <c r="B8" s="4"/>
      <c r="C8" s="4"/>
      <c r="D8" s="21"/>
      <c r="E8" s="13"/>
      <c r="F8" s="13"/>
      <c r="G8" s="13"/>
      <c r="H8" s="13"/>
      <c r="I8" s="13"/>
      <c r="J8" s="13"/>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6" sqref="B6"/>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54</v>
      </c>
      <c r="D4" s="19" t="s">
        <v>25</v>
      </c>
      <c r="E4" s="15" t="s">
        <v>26</v>
      </c>
      <c r="F4" s="15" t="s">
        <v>27</v>
      </c>
      <c r="G4" s="15" t="s">
        <v>28</v>
      </c>
      <c r="H4" s="15" t="s">
        <v>29</v>
      </c>
      <c r="I4" s="15" t="s">
        <v>72</v>
      </c>
      <c r="J4" s="15" t="s">
        <v>68</v>
      </c>
      <c r="K4" s="15" t="s">
        <v>73</v>
      </c>
      <c r="L4" s="15" t="s">
        <v>67</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F5" sqref="F5"/>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54</v>
      </c>
      <c r="D4" s="15" t="s">
        <v>25</v>
      </c>
      <c r="E4" s="15" t="s">
        <v>74</v>
      </c>
      <c r="F4" s="15" t="s">
        <v>75</v>
      </c>
      <c r="G4" s="15" t="s">
        <v>76</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F9" sqref="F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54</v>
      </c>
      <c r="D4" s="15" t="s">
        <v>25</v>
      </c>
      <c r="E4" s="15" t="s">
        <v>77</v>
      </c>
      <c r="F4" s="15" t="s">
        <v>75</v>
      </c>
      <c r="G4" s="15" t="s">
        <v>76</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H7" sqref="H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54</v>
      </c>
      <c r="D4" s="15" t="s">
        <v>25</v>
      </c>
      <c r="E4" s="15" t="s">
        <v>27</v>
      </c>
      <c r="F4" s="15" t="s">
        <v>26</v>
      </c>
      <c r="G4" s="15" t="s">
        <v>28</v>
      </c>
      <c r="H4" s="15" t="s">
        <v>29</v>
      </c>
      <c r="I4" s="15" t="s">
        <v>78</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54</v>
      </c>
      <c r="D4" s="15" t="s">
        <v>79</v>
      </c>
      <c r="E4" s="15" t="s">
        <v>80</v>
      </c>
      <c r="F4" s="15" t="s">
        <v>81</v>
      </c>
      <c r="G4" s="15" t="s">
        <v>82</v>
      </c>
      <c r="H4" s="15" t="s">
        <v>83</v>
      </c>
      <c r="I4" s="15" t="s">
        <v>84</v>
      </c>
      <c r="J4" s="15" t="s">
        <v>85</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H3" sqref="H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86</v>
      </c>
      <c r="E3" s="9"/>
    </row>
    <row r="4" s="3" customFormat="1" customHeight="1" spans="2:5">
      <c r="B4" s="4"/>
      <c r="C4" s="4"/>
      <c r="D4" s="11" t="s">
        <v>87</v>
      </c>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云合未来</cp:lastModifiedBy>
  <dcterms:created xsi:type="dcterms:W3CDTF">2021-02-01T06:30:00Z</dcterms:created>
  <dcterms:modified xsi:type="dcterms:W3CDTF">2025-04-17T03:27:05Z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2052-12.1.0.20784</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