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二维码打印!$D$3:$D$11</definedName>
    <definedName name="_xlnm.Print_Area" localSheetId="22">商品进出查询!$D$4:$J$10</definedName>
    <definedName name="_xlnm.Print_Area" localSheetId="24">基础资料!$D$5:$I$12</definedName>
    <definedName name="_xlnm.Print_Area" localSheetId="23">'客户|供应商查询'!$D$4:$I$10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<sst xmlns="http://schemas.openxmlformats.org/spreadsheetml/2006/main" count="716" uniqueCount="167">
  <si>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</si>
  <si>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</si>
  <si>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</si>
  <si>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</si>
  <si>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</si>
  <si>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</si>
  <si>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</si>
  <si>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</si>
  <si>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</si>
  <si>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</si>
  <si>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</si>
  <si>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</si>
  <si>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</si>
  <si>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</si>
  <si>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</si>
  <si>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</si>
  <si>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</si>
  <si>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</si>
  <si>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</si>
  <si>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</si>
  <si>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</si>
  <si>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</si>
  <si>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</si>
  <si>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</si>
  <si>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</si>
  <si>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</si>
  <si>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</si>
  <si>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</si>
  <si>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</si>
  <si>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</si>
  <si>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</si>
  <si>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</si>
  <si>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</si>
  <si>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选中此处扫描订单二维码</t>
  </si>
  <si>
    <t>单价</t>
  </si>
  <si>
    <t>C仓库</t>
  </si>
  <si>
    <t>无线耳机</t>
  </si>
  <si>
    <t>JTP0091</t>
  </si>
  <si>
    <t>外设1</t>
  </si>
  <si>
    <t>件</t>
  </si>
  <si>
    <t>充电器</t>
  </si>
  <si>
    <t>CDQ0001</t>
  </si>
  <si>
    <t>电器</t>
  </si>
  <si>
    <t>个</t>
  </si>
  <si>
    <t>笔记本N4</t>
  </si>
  <si>
    <t>BJB0032</t>
  </si>
  <si>
    <t>办公用品</t>
  </si>
  <si>
    <t>台</t>
  </si>
  <si>
    <t>路由器</t>
  </si>
  <si>
    <t>U盘</t>
  </si>
  <si>
    <t>srfs</t>
  </si>
  <si>
    <t>电子设备</t>
  </si>
  <si>
    <t>保温水杯</t>
  </si>
  <si>
    <t>baowenshuibei</t>
  </si>
  <si>
    <t>生活用品</t>
  </si>
  <si>
    <t>钢笔</t>
  </si>
  <si>
    <t>GB</t>
  </si>
  <si>
    <t>文具</t>
  </si>
  <si>
    <t>支</t>
  </si>
  <si>
    <t>鼠标键盘</t>
  </si>
  <si>
    <t>sbjp</t>
  </si>
  <si>
    <t>外接设备</t>
  </si>
  <si>
    <t>套</t>
  </si>
  <si>
    <t>散热风扇</t>
  </si>
  <si>
    <t>A仓库</t>
  </si>
  <si>
    <t>实际数量</t>
  </si>
  <si>
    <t>总退货数量</t>
  </si>
  <si>
    <t>总退货金额</t>
  </si>
  <si>
    <t>平均退货数量</t>
  </si>
  <si>
    <t>涉及商品数</t>
  </si>
  <si>
    <t>B仓库</t>
  </si>
  <si>
    <t>D</t>
  </si>
  <si>
    <t>kk</t>
  </si>
  <si>
    <t>a</t>
  </si>
  <si>
    <t>C仓库44</t>
  </si>
  <si>
    <t>aas</t>
  </si>
  <si>
    <t>类别</t>
  </si>
  <si>
    <t>名称</t>
  </si>
  <si>
    <t>售价</t>
  </si>
  <si>
    <t>仓库</t>
  </si>
  <si>
    <t>外设</t>
  </si>
  <si>
    <t>散热风扇3</t>
  </si>
  <si>
    <t>散热风扇2</t>
  </si>
  <si>
    <t>电器1</t>
  </si>
  <si>
    <t>散热风扇1</t>
  </si>
  <si>
    <t>aa</t>
  </si>
  <si>
    <t>123a</t>
  </si>
  <si>
    <t>双击
勾选</t>
  </si>
  <si>
    <t>id</t>
  </si>
  <si>
    <t>订单号</t>
  </si>
  <si>
    <t>价格</t>
  </si>
  <si>
    <t>类型</t>
  </si>
  <si>
    <t>时间</t>
  </si>
  <si>
    <t>公司名</t>
  </si>
  <si>
    <t>进货方</t>
  </si>
  <si>
    <t>采购</t>
  </si>
  <si>
    <t>科创</t>
  </si>
  <si>
    <t>up</t>
  </si>
  <si>
    <t>安卓</t>
  </si>
  <si>
    <t>采购单</t>
  </si>
  <si>
    <t>订单号:</t>
  </si>
  <si>
    <t>入库时间:</t>
  </si>
  <si>
    <t>供应商:</t>
  </si>
  <si>
    <t>仓库:</t>
  </si>
  <si>
    <t>合计金额(大写):</t>
  </si>
  <si>
    <t>合计金额(小写):</t>
  </si>
  <si>
    <t>入库单</t>
  </si>
  <si>
    <t>订单号：</t>
  </si>
  <si>
    <t>CS001</t>
  </si>
  <si>
    <t>供应商：</t>
  </si>
  <si>
    <t>华为</t>
  </si>
  <si>
    <t>入库时间：</t>
  </si>
  <si>
    <t>JTP0091测试</t>
  </si>
  <si>
    <t>测试商品1</t>
  </si>
  <si>
    <t>qe231</t>
  </si>
  <si>
    <t>undefined</t>
  </si>
  <si>
    <t>出库单</t>
  </si>
  <si>
    <t>cs002</t>
  </si>
  <si>
    <t>客户：</t>
  </si>
  <si>
    <t>长城</t>
  </si>
  <si>
    <t>出库时间：</t>
  </si>
  <si>
    <t>合计金额：9037</t>
  </si>
  <si>
    <t>商品售价</t>
  </si>
  <si>
    <t>商品数量</t>
  </si>
  <si>
    <t>开始合计金额：110729</t>
  </si>
  <si>
    <t>结束合计金额：111490</t>
  </si>
  <si>
    <t>期初数量</t>
  </si>
  <si>
    <t>期初金额</t>
  </si>
  <si>
    <t>期末数量</t>
  </si>
  <si>
    <t>期末金额</t>
  </si>
  <si>
    <t>库存金额</t>
  </si>
  <si>
    <t>明细类型</t>
  </si>
  <si>
    <t>收/进货方</t>
  </si>
  <si>
    <t>期初</t>
  </si>
  <si>
    <t>入库</t>
  </si>
  <si>
    <t>出库</t>
  </si>
  <si>
    <t>结存</t>
  </si>
  <si>
    <t>边缘存量</t>
  </si>
  <si>
    <t>JP0037</t>
  </si>
  <si>
    <t>XP0024</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</si>
  <si>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</si>
  <si>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</si>
  <si>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</si>
  <si>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</si>
  <si>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</si>
  <si>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</si>
  <si>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</si>
  <si>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</si>
  <si>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</si>
  <si>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</si>
  <si>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</si>
  <si>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</si>
  <si>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</si>
  <si>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</si>
  <si>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</si>
  <si>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</si>
  <si>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</si>
  <si>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</si>
  <si>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</si>
  <si>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</si>
  <si>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</si>
  <si>
    <t xml:space="preserve"> 订单号：CK20210813001
 时间：2021/8/13 15:07:32</t>
  </si>
  <si>
    <t xml:space="preserve"> 订单号：DD20210813001
 时间：2021/8/13 9:23:05</t>
  </si>
  <si>
    <t xml:space="preserve"> 订单号：DD202107271723
 时间：2021/7/27 17:24:02</t>
  </si>
  <si>
    <t xml:space="preserve"> 订单号：rk0081
 时间：2024/10/28 4:11:49</t>
  </si>
  <si>
    <t xml:space="preserve"> 订单号：DD20210813003
 时间：2023/2/13 15:06:52</t>
  </si>
  <si>
    <t xml:space="preserve"> 订单号：122223
 时间：2023/3/13 17:00:58</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</si>
</sst>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8" fillId="0" borderId="0" applyFont="0" applyFill="0" applyBorder="0" applyAlignment="0" applyProtection="0">
      <alignment vertical="center"/>
    </xf>
    <xf numFmtId="44"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42" fontId="18" fillId="0" borderId="0" applyFon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18"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1">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9"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0"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22" fontId="13"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4" fillId="8" borderId="0" xfId="0" applyFont="1" applyFill="1" applyAlignment="1">
      <alignment horizontal="center" vertical="center"/>
    </xf>
    <xf numFmtId="0" fontId="15"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6" fillId="3" borderId="0" xfId="0" applyFont="1" applyFill="1" applyAlignment="1">
      <alignment horizontal="center" vertical="center"/>
    </xf>
    <xf numFmtId="0" fontId="16"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7" fillId="11" borderId="0" xfId="0" applyFont="1" applyFill="1" applyAlignment="1" applyProtection="1">
      <alignment horizontal="left" vertical="center"/>
    </xf>
    <xf numFmtId="0" fontId="18" fillId="12" borderId="0" xfId="0" applyFont="1" applyFill="1" applyAlignment="1" applyProtection="1">
      <alignment vertical="center"/>
    </xf>
    <xf numFmtId="0" fontId="19" fillId="12" borderId="0" xfId="0" applyFont="1" applyFill="1" applyAlignment="1" applyProtection="1">
      <alignment horizontal="left" vertical="center"/>
    </xf>
    <xf numFmtId="0" fontId="19" fillId="7" borderId="0" xfId="0" applyFont="1" applyFill="1" applyAlignment="1" applyProtection="1">
      <alignment horizontal="left" vertical="center"/>
    </xf>
    <xf numFmtId="49" fontId="20" fillId="7" borderId="0" xfId="0" applyNumberFormat="1" applyFont="1" applyFill="1" applyAlignment="1" applyProtection="1">
      <alignment horizontal="right" vertical="center"/>
    </xf>
    <xf numFmtId="0" fontId="21" fillId="7" borderId="0" xfId="0" applyFont="1" applyFill="1" applyAlignment="1" applyProtection="1">
      <alignment horizontal="left" vertical="center"/>
    </xf>
    <xf numFmtId="0" fontId="22" fillId="11" borderId="0" xfId="0" applyFont="1" applyFill="1" applyAlignment="1" applyProtection="1">
      <alignment horizontal="center" vertical="center"/>
    </xf>
    <xf numFmtId="49" fontId="23" fillId="11" borderId="0" xfId="0" applyNumberFormat="1" applyFont="1" applyFill="1" applyAlignment="1" applyProtection="1">
      <alignment horizontal="left" vertical="center"/>
    </xf>
    <xf numFmtId="49" fontId="17" fillId="11" borderId="0" xfId="0" applyNumberFormat="1" applyFont="1" applyFill="1" applyAlignment="1" applyProtection="1">
      <alignment horizontal="left" vertical="center"/>
    </xf>
    <xf numFmtId="49" fontId="24" fillId="12" borderId="0" xfId="0" applyNumberFormat="1" applyFont="1" applyFill="1" applyAlignment="1" applyProtection="1">
      <alignment horizontal="right" vertical="center"/>
    </xf>
    <xf numFmtId="49" fontId="24" fillId="7" borderId="0" xfId="0" applyNumberFormat="1" applyFont="1" applyFill="1" applyAlignment="1" applyProtection="1">
      <alignment horizontal="center" vertical="center"/>
    </xf>
    <xf numFmtId="49" fontId="25" fillId="13" borderId="0" xfId="0" applyNumberFormat="1" applyFont="1" applyFill="1" applyAlignment="1" applyProtection="1">
      <alignment horizontal="center" vertical="center" wrapText="1"/>
    </xf>
    <xf numFmtId="0" fontId="26" fillId="13" borderId="0" xfId="0" applyFont="1" applyFill="1" applyAlignment="1" applyProtection="1">
      <alignment horizontal="center" vertical="center" wrapText="1"/>
    </xf>
    <xf numFmtId="180" fontId="27" fillId="13" borderId="0" xfId="0" applyNumberFormat="1" applyFont="1" applyFill="1" applyAlignment="1" applyProtection="1">
      <alignment horizontal="right" vertical="center" indent="1"/>
    </xf>
    <xf numFmtId="0" fontId="28" fillId="13" borderId="0" xfId="0" applyFont="1" applyFill="1" applyAlignment="1" applyProtection="1">
      <alignment horizontal="center" vertical="center" wrapText="1"/>
    </xf>
    <xf numFmtId="49" fontId="26" fillId="13" borderId="0" xfId="0" applyNumberFormat="1" applyFont="1" applyFill="1" applyAlignment="1" applyProtection="1">
      <alignment horizontal="center" vertical="center" wrapText="1"/>
    </xf>
    <xf numFmtId="0" fontId="28" fillId="13" borderId="0" xfId="0" applyFont="1" applyFill="1" applyAlignment="1" applyProtection="1">
      <alignment vertical="center" wrapText="1"/>
    </xf>
    <xf numFmtId="49" fontId="20" fillId="14" borderId="0" xfId="0" applyNumberFormat="1" applyFont="1" applyFill="1" applyAlignment="1" applyProtection="1">
      <alignment horizontal="center" vertical="center" wrapText="1"/>
    </xf>
    <xf numFmtId="0" fontId="29" fillId="14" borderId="0" xfId="0" applyFont="1" applyFill="1" applyAlignment="1" applyProtection="1">
      <alignment horizontal="center" vertical="center" wrapText="1"/>
    </xf>
    <xf numFmtId="0" fontId="21" fillId="14" borderId="0" xfId="0" applyFont="1" applyFill="1" applyAlignment="1" applyProtection="1">
      <alignment horizontal="left" vertical="center"/>
    </xf>
    <xf numFmtId="0" fontId="30" fillId="3" borderId="0" xfId="0" applyFont="1" applyFill="1" applyAlignment="1">
      <alignment vertical="center"/>
    </xf>
    <xf numFmtId="0" fontId="31" fillId="3" borderId="0" xfId="0" applyFont="1" applyFill="1" applyAlignment="1">
      <alignment vertical="center"/>
    </xf>
    <xf numFmtId="0" fontId="32" fillId="3" borderId="0" xfId="0" applyFont="1" applyFill="1" applyAlignment="1">
      <alignment vertical="center"/>
    </xf>
    <xf numFmtId="0" fontId="32"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0"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C仓库</c:v>
                </c:pt>
                <c:pt idx="1">
                  <c:v>A仓库</c:v>
                </c:pt>
                <c:pt idx="2">
                  <c:v>B仓库</c:v>
                </c:pt>
                <c:pt idx="3">
                  <c:v>D</c:v>
                </c:pt>
                <c:pt idx="4">
                  <c:v>kk</c:v>
                </c:pt>
                <c:pt idx="5">
                  <c:v>a</c:v>
                </c:pt>
                <c:pt idx="6">
                  <c:v>C仓库44</c:v>
                </c:pt>
                <c:pt idx="7">
                  <c:v>aas</c:v>
                </c:pt>
              </c:strCache>
            </c:strRef>
          </c:cat>
          <c:val>
            <c:numRef>
              <c:f>销售退货统计!$N$4:$U$4</c:f>
              <c:numCache>
                <c:formatCode>General</c:formatCode>
                <c:ptCount val="8"/>
                <c:pt idx="0">
                  <c:v>2</c:v>
                </c:pt>
                <c:pt idx="1">
                  <c:v>31</c:v>
                </c:pt>
                <c:pt idx="2">
                  <c:v>36</c:v>
                </c:pt>
                <c:pt idx="3">
                  <c:v>1</c:v>
                </c:pt>
                <c:pt idx="4">
                  <c:v>187</c:v>
                </c:pt>
                <c:pt idx="5">
                  <c:v>3</c:v>
                </c:pt>
                <c:pt idx="6">
                  <c:v>5</c:v>
                </c:pt>
                <c:pt idx="7">
                  <c:v>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C仓库</c:v>
                </c:pt>
                <c:pt idx="1">
                  <c:v>A仓库</c:v>
                </c:pt>
                <c:pt idx="2">
                  <c:v>B仓库</c:v>
                </c:pt>
                <c:pt idx="3">
                  <c:v>D</c:v>
                </c:pt>
                <c:pt idx="4">
                  <c:v>kk</c:v>
                </c:pt>
                <c:pt idx="5">
                  <c:v>a</c:v>
                </c:pt>
                <c:pt idx="6">
                  <c:v>C仓库44</c:v>
                </c:pt>
                <c:pt idx="7">
                  <c:v>aas</c:v>
                </c:pt>
              </c:strCache>
            </c:strRef>
          </c:cat>
          <c:val>
            <c:numRef>
              <c:f>销售退货统计!$N$4:$U$4</c:f>
              <c:numCache>
                <c:formatCode>General</c:formatCode>
                <c:ptCount val="8"/>
                <c:pt idx="0">
                  <c:v>2</c:v>
                </c:pt>
                <c:pt idx="1">
                  <c:v>31</c:v>
                </c:pt>
                <c:pt idx="2">
                  <c:v>36</c:v>
                </c:pt>
                <c:pt idx="3">
                  <c:v>1</c:v>
                </c:pt>
                <c:pt idx="4">
                  <c:v>187</c:v>
                </c:pt>
                <c:pt idx="5">
                  <c:v>3</c:v>
                </c:pt>
                <c:pt idx="6">
                  <c:v>5</c:v>
                </c:pt>
                <c:pt idx="7">
                  <c:v>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33</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18</xdr:col>
      <xdr:colOff>314325</xdr:colOff>
      <xdr:row>0</xdr:row>
      <xdr:rowOff>226695</xdr:rowOff>
    </xdr:from>
    <xdr:to>
      <xdr:col>19</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420370</xdr:colOff>
      <xdr:row>0</xdr:row>
      <xdr:rowOff>226695</xdr:rowOff>
    </xdr:from>
    <xdr:to>
      <xdr:col>20</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553720</xdr:colOff>
      <xdr:row>0</xdr:row>
      <xdr:rowOff>226695</xdr:rowOff>
    </xdr:from>
    <xdr:to>
      <xdr:col>22</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639445</xdr:colOff>
      <xdr:row>0</xdr:row>
      <xdr:rowOff>226695</xdr:rowOff>
    </xdr:from>
    <xdr:to>
      <xdr:col>23</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58420</xdr:colOff>
      <xdr:row>0</xdr:row>
      <xdr:rowOff>226695</xdr:rowOff>
    </xdr:from>
    <xdr:to>
      <xdr:col>24</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248920</xdr:colOff>
      <xdr:row>0</xdr:row>
      <xdr:rowOff>226695</xdr:rowOff>
    </xdr:from>
    <xdr:to>
      <xdr:col>25</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420370</xdr:colOff>
      <xdr:row>0</xdr:row>
      <xdr:rowOff>226695</xdr:rowOff>
    </xdr:from>
    <xdr:to>
      <xdr:col>26</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639445</xdr:colOff>
      <xdr:row>0</xdr:row>
      <xdr:rowOff>226695</xdr:rowOff>
    </xdr:from>
    <xdr:to>
      <xdr:col>28</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58420</xdr:colOff>
      <xdr:row>0</xdr:row>
      <xdr:rowOff>226695</xdr:rowOff>
    </xdr:from>
    <xdr:to>
      <xdr:col>29</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296545</xdr:colOff>
      <xdr:row>0</xdr:row>
      <xdr:rowOff>226695</xdr:rowOff>
    </xdr:from>
    <xdr:to>
      <xdr:col>30</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429895</xdr:colOff>
      <xdr:row>0</xdr:row>
      <xdr:rowOff>226695</xdr:rowOff>
    </xdr:from>
    <xdr:to>
      <xdr:col>31</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566420</xdr:colOff>
      <xdr:row>0</xdr:row>
      <xdr:rowOff>226695</xdr:rowOff>
    </xdr:from>
    <xdr:to>
      <xdr:col>33</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xdr:from>
      <xdr:col>2</xdr:col>
      <xdr:colOff>0</xdr:colOff>
      <xdr:row>1</xdr:row>
      <xdr:rowOff>504825</xdr:rowOff>
    </xdr:from>
    <xdr:to>
      <xdr:col>3</xdr:col>
      <xdr:colOff>1816100</xdr:colOff>
      <xdr:row>2</xdr:row>
      <xdr:rowOff>534035</xdr:rowOff>
    </xdr:to>
    <xdr:grpSp>
      <xdr:nvGrpSpPr>
        <xdr:cNvPr id="757" name="组合 756"/>
        <xdr:cNvGrpSpPr/>
      </xdr:nvGrpSpPr>
      <xdr:grpSpPr>
        <a:xfrm>
          <a:off x="609600" y="1266825"/>
          <a:ext cx="1816100" cy="536575"/>
          <a:chOff x="945" y="1980"/>
          <a:chExt cx="2860" cy="841"/>
        </a:xfrm>
      </xdr:grpSpPr>
      <xdr:sp>
        <xdr:nvSpPr>
          <xdr:cNvPr id="721" name="矩形 720"/>
          <xdr:cNvSpPr/>
        </xdr:nvSpPr>
        <xdr:spPr>
          <a:xfrm>
            <a:off x="945" y="1980"/>
            <a:ext cx="286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2" name="矩形 721"/>
          <xdr:cNvSpPr/>
        </xdr:nvSpPr>
        <xdr:spPr>
          <a:xfrm>
            <a:off x="11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3" name="矩形 722"/>
          <xdr:cNvSpPr/>
        </xdr:nvSpPr>
        <xdr:spPr>
          <a:xfrm>
            <a:off x="12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4" name="矩形 723"/>
          <xdr:cNvSpPr/>
        </xdr:nvSpPr>
        <xdr:spPr>
          <a:xfrm>
            <a:off x="12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5" name="矩形 724"/>
          <xdr:cNvSpPr/>
        </xdr:nvSpPr>
        <xdr:spPr>
          <a:xfrm>
            <a:off x="13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6" name="矩形 725"/>
          <xdr:cNvSpPr/>
        </xdr:nvSpPr>
        <xdr:spPr>
          <a:xfrm>
            <a:off x="14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7" name="矩形 726"/>
          <xdr:cNvSpPr/>
        </xdr:nvSpPr>
        <xdr:spPr>
          <a:xfrm>
            <a:off x="15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8" name="矩形 727"/>
          <xdr:cNvSpPr/>
        </xdr:nvSpPr>
        <xdr:spPr>
          <a:xfrm>
            <a:off x="160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29" name="矩形 728"/>
          <xdr:cNvSpPr/>
        </xdr:nvSpPr>
        <xdr:spPr>
          <a:xfrm>
            <a:off x="16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0" name="矩形 729"/>
          <xdr:cNvSpPr/>
        </xdr:nvSpPr>
        <xdr:spPr>
          <a:xfrm>
            <a:off x="17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1" name="矩形 730"/>
          <xdr:cNvSpPr/>
        </xdr:nvSpPr>
        <xdr:spPr>
          <a:xfrm>
            <a:off x="18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2" name="矩形 731"/>
          <xdr:cNvSpPr/>
        </xdr:nvSpPr>
        <xdr:spPr>
          <a:xfrm>
            <a:off x="186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3" name="矩形 732"/>
          <xdr:cNvSpPr/>
        </xdr:nvSpPr>
        <xdr:spPr>
          <a:xfrm>
            <a:off x="1945" y="204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4" name="矩形 733"/>
          <xdr:cNvSpPr/>
        </xdr:nvSpPr>
        <xdr:spPr>
          <a:xfrm>
            <a:off x="20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5" name="矩形 734"/>
          <xdr:cNvSpPr/>
        </xdr:nvSpPr>
        <xdr:spPr>
          <a:xfrm>
            <a:off x="21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6" name="矩形 735"/>
          <xdr:cNvSpPr/>
        </xdr:nvSpPr>
        <xdr:spPr>
          <a:xfrm>
            <a:off x="218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7" name="矩形 736"/>
          <xdr:cNvSpPr/>
        </xdr:nvSpPr>
        <xdr:spPr>
          <a:xfrm>
            <a:off x="22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8" name="矩形 737"/>
          <xdr:cNvSpPr/>
        </xdr:nvSpPr>
        <xdr:spPr>
          <a:xfrm>
            <a:off x="232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39" name="矩形 738"/>
          <xdr:cNvSpPr/>
        </xdr:nvSpPr>
        <xdr:spPr>
          <a:xfrm>
            <a:off x="24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0" name="矩形 739"/>
          <xdr:cNvSpPr/>
        </xdr:nvSpPr>
        <xdr:spPr>
          <a:xfrm>
            <a:off x="248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1" name="矩形 740"/>
          <xdr:cNvSpPr/>
        </xdr:nvSpPr>
        <xdr:spPr>
          <a:xfrm>
            <a:off x="258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2" name="矩形 741"/>
          <xdr:cNvSpPr/>
        </xdr:nvSpPr>
        <xdr:spPr>
          <a:xfrm>
            <a:off x="26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3" name="矩形 742"/>
          <xdr:cNvSpPr/>
        </xdr:nvSpPr>
        <xdr:spPr>
          <a:xfrm>
            <a:off x="270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4" name="矩形 743"/>
          <xdr:cNvSpPr/>
        </xdr:nvSpPr>
        <xdr:spPr>
          <a:xfrm>
            <a:off x="276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5" name="矩形 744"/>
          <xdr:cNvSpPr/>
        </xdr:nvSpPr>
        <xdr:spPr>
          <a:xfrm>
            <a:off x="28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6" name="矩形 745"/>
          <xdr:cNvSpPr/>
        </xdr:nvSpPr>
        <xdr:spPr>
          <a:xfrm>
            <a:off x="292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7" name="矩形 746"/>
          <xdr:cNvSpPr/>
        </xdr:nvSpPr>
        <xdr:spPr>
          <a:xfrm>
            <a:off x="300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8" name="矩形 747"/>
          <xdr:cNvSpPr/>
        </xdr:nvSpPr>
        <xdr:spPr>
          <a:xfrm>
            <a:off x="308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49" name="矩形 748"/>
          <xdr:cNvSpPr/>
        </xdr:nvSpPr>
        <xdr:spPr>
          <a:xfrm>
            <a:off x="314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0" name="矩形 749"/>
          <xdr:cNvSpPr/>
        </xdr:nvSpPr>
        <xdr:spPr>
          <a:xfrm>
            <a:off x="322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1" name="矩形 750"/>
          <xdr:cNvSpPr/>
        </xdr:nvSpPr>
        <xdr:spPr>
          <a:xfrm>
            <a:off x="326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2" name="矩形 751"/>
          <xdr:cNvSpPr/>
        </xdr:nvSpPr>
        <xdr:spPr>
          <a:xfrm>
            <a:off x="336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3" name="矩形 752"/>
          <xdr:cNvSpPr/>
        </xdr:nvSpPr>
        <xdr:spPr>
          <a:xfrm>
            <a:off x="3465" y="204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4" name="矩形 753"/>
          <xdr:cNvSpPr/>
        </xdr:nvSpPr>
        <xdr:spPr>
          <a:xfrm>
            <a:off x="3545" y="204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5" name="矩形 754"/>
          <xdr:cNvSpPr/>
        </xdr:nvSpPr>
        <xdr:spPr>
          <a:xfrm>
            <a:off x="3585" y="204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6" name="矩形 755"/>
          <xdr:cNvSpPr/>
        </xdr:nvSpPr>
        <xdr:spPr>
          <a:xfrm>
            <a:off x="1145" y="2639"/>
            <a:ext cx="246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DD2021110302</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2</xdr:row>
      <xdr:rowOff>1771650</xdr:rowOff>
    </xdr:from>
    <xdr:to>
      <xdr:col>4</xdr:col>
      <xdr:colOff>47625</xdr:colOff>
      <xdr:row>3</xdr:row>
      <xdr:rowOff>534035</xdr:rowOff>
    </xdr:to>
    <xdr:grpSp>
      <xdr:nvGrpSpPr>
        <xdr:cNvPr id="800" name="组合 799"/>
        <xdr:cNvGrpSpPr/>
      </xdr:nvGrpSpPr>
      <xdr:grpSpPr>
        <a:xfrm>
          <a:off x="609600" y="3041015"/>
          <a:ext cx="2095500" cy="540385"/>
          <a:chOff x="945" y="4770"/>
          <a:chExt cx="3300" cy="841"/>
        </a:xfrm>
      </xdr:grpSpPr>
      <xdr:sp>
        <xdr:nvSpPr>
          <xdr:cNvPr id="758" name="矩形 757"/>
          <xdr:cNvSpPr/>
        </xdr:nvSpPr>
        <xdr:spPr>
          <a:xfrm>
            <a:off x="945" y="477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59" name="矩形 758"/>
          <xdr:cNvSpPr/>
        </xdr:nvSpPr>
        <xdr:spPr>
          <a:xfrm>
            <a:off x="11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0" name="矩形 759"/>
          <xdr:cNvSpPr/>
        </xdr:nvSpPr>
        <xdr:spPr>
          <a:xfrm>
            <a:off x="12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1" name="矩形 760"/>
          <xdr:cNvSpPr/>
        </xdr:nvSpPr>
        <xdr:spPr>
          <a:xfrm>
            <a:off x="12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2" name="矩形 761"/>
          <xdr:cNvSpPr/>
        </xdr:nvSpPr>
        <xdr:spPr>
          <a:xfrm>
            <a:off x="13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3" name="矩形 762"/>
          <xdr:cNvSpPr/>
        </xdr:nvSpPr>
        <xdr:spPr>
          <a:xfrm>
            <a:off x="146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4" name="矩形 763"/>
          <xdr:cNvSpPr/>
        </xdr:nvSpPr>
        <xdr:spPr>
          <a:xfrm>
            <a:off x="15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5" name="矩形 764"/>
          <xdr:cNvSpPr/>
        </xdr:nvSpPr>
        <xdr:spPr>
          <a:xfrm>
            <a:off x="160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6" name="矩形 765"/>
          <xdr:cNvSpPr/>
        </xdr:nvSpPr>
        <xdr:spPr>
          <a:xfrm>
            <a:off x="16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7" name="矩形 766"/>
          <xdr:cNvSpPr/>
        </xdr:nvSpPr>
        <xdr:spPr>
          <a:xfrm>
            <a:off x="174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8" name="矩形 767"/>
          <xdr:cNvSpPr/>
        </xdr:nvSpPr>
        <xdr:spPr>
          <a:xfrm>
            <a:off x="18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69" name="矩形 768"/>
          <xdr:cNvSpPr/>
        </xdr:nvSpPr>
        <xdr:spPr>
          <a:xfrm>
            <a:off x="186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0" name="矩形 769"/>
          <xdr:cNvSpPr/>
        </xdr:nvSpPr>
        <xdr:spPr>
          <a:xfrm>
            <a:off x="1945" y="483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1" name="矩形 770"/>
          <xdr:cNvSpPr/>
        </xdr:nvSpPr>
        <xdr:spPr>
          <a:xfrm>
            <a:off x="20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2" name="矩形 771"/>
          <xdr:cNvSpPr/>
        </xdr:nvSpPr>
        <xdr:spPr>
          <a:xfrm>
            <a:off x="21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3" name="矩形 772"/>
          <xdr:cNvSpPr/>
        </xdr:nvSpPr>
        <xdr:spPr>
          <a:xfrm>
            <a:off x="218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4" name="矩形 773"/>
          <xdr:cNvSpPr/>
        </xdr:nvSpPr>
        <xdr:spPr>
          <a:xfrm>
            <a:off x="22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5" name="矩形 774"/>
          <xdr:cNvSpPr/>
        </xdr:nvSpPr>
        <xdr:spPr>
          <a:xfrm>
            <a:off x="232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6" name="矩形 775"/>
          <xdr:cNvSpPr/>
        </xdr:nvSpPr>
        <xdr:spPr>
          <a:xfrm>
            <a:off x="242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7" name="矩形 776"/>
          <xdr:cNvSpPr/>
        </xdr:nvSpPr>
        <xdr:spPr>
          <a:xfrm>
            <a:off x="24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8" name="矩形 777"/>
          <xdr:cNvSpPr/>
        </xdr:nvSpPr>
        <xdr:spPr>
          <a:xfrm>
            <a:off x="25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79" name="矩形 778"/>
          <xdr:cNvSpPr/>
        </xdr:nvSpPr>
        <xdr:spPr>
          <a:xfrm>
            <a:off x="26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0" name="矩形 779"/>
          <xdr:cNvSpPr/>
        </xdr:nvSpPr>
        <xdr:spPr>
          <a:xfrm>
            <a:off x="270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1" name="矩形 780"/>
          <xdr:cNvSpPr/>
        </xdr:nvSpPr>
        <xdr:spPr>
          <a:xfrm>
            <a:off x="276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2" name="矩形 781"/>
          <xdr:cNvSpPr/>
        </xdr:nvSpPr>
        <xdr:spPr>
          <a:xfrm>
            <a:off x="28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3" name="矩形 782"/>
          <xdr:cNvSpPr/>
        </xdr:nvSpPr>
        <xdr:spPr>
          <a:xfrm>
            <a:off x="292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4" name="矩形 783"/>
          <xdr:cNvSpPr/>
        </xdr:nvSpPr>
        <xdr:spPr>
          <a:xfrm>
            <a:off x="298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5" name="矩形 784"/>
          <xdr:cNvSpPr/>
        </xdr:nvSpPr>
        <xdr:spPr>
          <a:xfrm>
            <a:off x="306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6" name="矩形 785"/>
          <xdr:cNvSpPr/>
        </xdr:nvSpPr>
        <xdr:spPr>
          <a:xfrm>
            <a:off x="314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7" name="矩形 786"/>
          <xdr:cNvSpPr/>
        </xdr:nvSpPr>
        <xdr:spPr>
          <a:xfrm>
            <a:off x="3185" y="483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8" name="矩形 787"/>
          <xdr:cNvSpPr/>
        </xdr:nvSpPr>
        <xdr:spPr>
          <a:xfrm>
            <a:off x="328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89" name="矩形 788"/>
          <xdr:cNvSpPr/>
        </xdr:nvSpPr>
        <xdr:spPr>
          <a:xfrm>
            <a:off x="336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0" name="矩形 789"/>
          <xdr:cNvSpPr/>
        </xdr:nvSpPr>
        <xdr:spPr>
          <a:xfrm>
            <a:off x="342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1" name="矩形 790"/>
          <xdr:cNvSpPr/>
        </xdr:nvSpPr>
        <xdr:spPr>
          <a:xfrm>
            <a:off x="352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2" name="矩形 791"/>
          <xdr:cNvSpPr/>
        </xdr:nvSpPr>
        <xdr:spPr>
          <a:xfrm>
            <a:off x="358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3" name="矩形 792"/>
          <xdr:cNvSpPr/>
        </xdr:nvSpPr>
        <xdr:spPr>
          <a:xfrm>
            <a:off x="3645" y="483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4" name="矩形 793"/>
          <xdr:cNvSpPr/>
        </xdr:nvSpPr>
        <xdr:spPr>
          <a:xfrm>
            <a:off x="374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5" name="矩形 794"/>
          <xdr:cNvSpPr/>
        </xdr:nvSpPr>
        <xdr:spPr>
          <a:xfrm>
            <a:off x="380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6" name="矩形 795"/>
          <xdr:cNvSpPr/>
        </xdr:nvSpPr>
        <xdr:spPr>
          <a:xfrm>
            <a:off x="3905" y="483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7" name="矩形 796"/>
          <xdr:cNvSpPr/>
        </xdr:nvSpPr>
        <xdr:spPr>
          <a:xfrm>
            <a:off x="3985" y="483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8" name="矩形 797"/>
          <xdr:cNvSpPr/>
        </xdr:nvSpPr>
        <xdr:spPr>
          <a:xfrm>
            <a:off x="4025" y="483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799" name="矩形 798"/>
          <xdr:cNvSpPr/>
        </xdr:nvSpPr>
        <xdr:spPr>
          <a:xfrm>
            <a:off x="1145" y="542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CK20210817001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3</xdr:row>
      <xdr:rowOff>1771650</xdr:rowOff>
    </xdr:from>
    <xdr:to>
      <xdr:col>4</xdr:col>
      <xdr:colOff>47625</xdr:colOff>
      <xdr:row>4</xdr:row>
      <xdr:rowOff>534035</xdr:rowOff>
    </xdr:to>
    <xdr:grpSp>
      <xdr:nvGrpSpPr>
        <xdr:cNvPr id="843" name="组合 842"/>
        <xdr:cNvGrpSpPr/>
      </xdr:nvGrpSpPr>
      <xdr:grpSpPr>
        <a:xfrm>
          <a:off x="609600" y="4819015"/>
          <a:ext cx="2095500" cy="540385"/>
          <a:chOff x="945" y="7560"/>
          <a:chExt cx="3300" cy="841"/>
        </a:xfrm>
      </xdr:grpSpPr>
      <xdr:sp>
        <xdr:nvSpPr>
          <xdr:cNvPr id="801" name="矩形 800"/>
          <xdr:cNvSpPr/>
        </xdr:nvSpPr>
        <xdr:spPr>
          <a:xfrm>
            <a:off x="945" y="756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2" name="矩形 801"/>
          <xdr:cNvSpPr/>
        </xdr:nvSpPr>
        <xdr:spPr>
          <a:xfrm>
            <a:off x="11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3" name="矩形 802"/>
          <xdr:cNvSpPr/>
        </xdr:nvSpPr>
        <xdr:spPr>
          <a:xfrm>
            <a:off x="12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4" name="矩形 803"/>
          <xdr:cNvSpPr/>
        </xdr:nvSpPr>
        <xdr:spPr>
          <a:xfrm>
            <a:off x="128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5" name="矩形 804"/>
          <xdr:cNvSpPr/>
        </xdr:nvSpPr>
        <xdr:spPr>
          <a:xfrm>
            <a:off x="138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6" name="矩形 805"/>
          <xdr:cNvSpPr/>
        </xdr:nvSpPr>
        <xdr:spPr>
          <a:xfrm>
            <a:off x="142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7" name="矩形 806"/>
          <xdr:cNvSpPr/>
        </xdr:nvSpPr>
        <xdr:spPr>
          <a:xfrm>
            <a:off x="15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8" name="矩形 807"/>
          <xdr:cNvSpPr/>
        </xdr:nvSpPr>
        <xdr:spPr>
          <a:xfrm>
            <a:off x="160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09" name="矩形 808"/>
          <xdr:cNvSpPr/>
        </xdr:nvSpPr>
        <xdr:spPr>
          <a:xfrm>
            <a:off x="164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0" name="矩形 809"/>
          <xdr:cNvSpPr/>
        </xdr:nvSpPr>
        <xdr:spPr>
          <a:xfrm>
            <a:off x="174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1" name="矩形 810"/>
          <xdr:cNvSpPr/>
        </xdr:nvSpPr>
        <xdr:spPr>
          <a:xfrm>
            <a:off x="18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2" name="矩形 811"/>
          <xdr:cNvSpPr/>
        </xdr:nvSpPr>
        <xdr:spPr>
          <a:xfrm>
            <a:off x="186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3" name="矩形 812"/>
          <xdr:cNvSpPr/>
        </xdr:nvSpPr>
        <xdr:spPr>
          <a:xfrm>
            <a:off x="1945" y="762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4" name="矩形 813"/>
          <xdr:cNvSpPr/>
        </xdr:nvSpPr>
        <xdr:spPr>
          <a:xfrm>
            <a:off x="204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5" name="矩形 814"/>
          <xdr:cNvSpPr/>
        </xdr:nvSpPr>
        <xdr:spPr>
          <a:xfrm>
            <a:off x="21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6" name="矩形 815"/>
          <xdr:cNvSpPr/>
        </xdr:nvSpPr>
        <xdr:spPr>
          <a:xfrm>
            <a:off x="218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7" name="矩形 816"/>
          <xdr:cNvSpPr/>
        </xdr:nvSpPr>
        <xdr:spPr>
          <a:xfrm>
            <a:off x="22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8" name="矩形 817"/>
          <xdr:cNvSpPr/>
        </xdr:nvSpPr>
        <xdr:spPr>
          <a:xfrm>
            <a:off x="232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19" name="矩形 818"/>
          <xdr:cNvSpPr/>
        </xdr:nvSpPr>
        <xdr:spPr>
          <a:xfrm>
            <a:off x="242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0" name="矩形 819"/>
          <xdr:cNvSpPr/>
        </xdr:nvSpPr>
        <xdr:spPr>
          <a:xfrm>
            <a:off x="248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1" name="矩形 820"/>
          <xdr:cNvSpPr/>
        </xdr:nvSpPr>
        <xdr:spPr>
          <a:xfrm>
            <a:off x="25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2" name="矩形 821"/>
          <xdr:cNvSpPr/>
        </xdr:nvSpPr>
        <xdr:spPr>
          <a:xfrm>
            <a:off x="264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3" name="矩形 822"/>
          <xdr:cNvSpPr/>
        </xdr:nvSpPr>
        <xdr:spPr>
          <a:xfrm>
            <a:off x="270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4" name="矩形 823"/>
          <xdr:cNvSpPr/>
        </xdr:nvSpPr>
        <xdr:spPr>
          <a:xfrm>
            <a:off x="276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5" name="矩形 824"/>
          <xdr:cNvSpPr/>
        </xdr:nvSpPr>
        <xdr:spPr>
          <a:xfrm>
            <a:off x="28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6" name="矩形 825"/>
          <xdr:cNvSpPr/>
        </xdr:nvSpPr>
        <xdr:spPr>
          <a:xfrm>
            <a:off x="292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7" name="矩形 826"/>
          <xdr:cNvSpPr/>
        </xdr:nvSpPr>
        <xdr:spPr>
          <a:xfrm>
            <a:off x="298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8" name="矩形 827"/>
          <xdr:cNvSpPr/>
        </xdr:nvSpPr>
        <xdr:spPr>
          <a:xfrm>
            <a:off x="306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29" name="矩形 828"/>
          <xdr:cNvSpPr/>
        </xdr:nvSpPr>
        <xdr:spPr>
          <a:xfrm>
            <a:off x="314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0" name="矩形 829"/>
          <xdr:cNvSpPr/>
        </xdr:nvSpPr>
        <xdr:spPr>
          <a:xfrm>
            <a:off x="3185" y="762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1" name="矩形 830"/>
          <xdr:cNvSpPr/>
        </xdr:nvSpPr>
        <xdr:spPr>
          <a:xfrm>
            <a:off x="328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2" name="矩形 831"/>
          <xdr:cNvSpPr/>
        </xdr:nvSpPr>
        <xdr:spPr>
          <a:xfrm>
            <a:off x="336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3" name="矩形 832"/>
          <xdr:cNvSpPr/>
        </xdr:nvSpPr>
        <xdr:spPr>
          <a:xfrm>
            <a:off x="342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4" name="矩形 833"/>
          <xdr:cNvSpPr/>
        </xdr:nvSpPr>
        <xdr:spPr>
          <a:xfrm>
            <a:off x="352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5" name="矩形 834"/>
          <xdr:cNvSpPr/>
        </xdr:nvSpPr>
        <xdr:spPr>
          <a:xfrm>
            <a:off x="3585" y="762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6" name="矩形 835"/>
          <xdr:cNvSpPr/>
        </xdr:nvSpPr>
        <xdr:spPr>
          <a:xfrm>
            <a:off x="368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7" name="矩形 836"/>
          <xdr:cNvSpPr/>
        </xdr:nvSpPr>
        <xdr:spPr>
          <a:xfrm>
            <a:off x="376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8" name="矩形 837"/>
          <xdr:cNvSpPr/>
        </xdr:nvSpPr>
        <xdr:spPr>
          <a:xfrm>
            <a:off x="380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39" name="矩形 838"/>
          <xdr:cNvSpPr/>
        </xdr:nvSpPr>
        <xdr:spPr>
          <a:xfrm>
            <a:off x="3905" y="762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0" name="矩形 839"/>
          <xdr:cNvSpPr/>
        </xdr:nvSpPr>
        <xdr:spPr>
          <a:xfrm>
            <a:off x="3985" y="762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1" name="矩形 840"/>
          <xdr:cNvSpPr/>
        </xdr:nvSpPr>
        <xdr:spPr>
          <a:xfrm>
            <a:off x="4025" y="762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2" name="矩形 841"/>
          <xdr:cNvSpPr/>
        </xdr:nvSpPr>
        <xdr:spPr>
          <a:xfrm>
            <a:off x="1145" y="821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DD20210817001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4</xdr:row>
      <xdr:rowOff>1771650</xdr:rowOff>
    </xdr:from>
    <xdr:to>
      <xdr:col>4</xdr:col>
      <xdr:colOff>47625</xdr:colOff>
      <xdr:row>5</xdr:row>
      <xdr:rowOff>534035</xdr:rowOff>
    </xdr:to>
    <xdr:grpSp>
      <xdr:nvGrpSpPr>
        <xdr:cNvPr id="886" name="组合 885"/>
        <xdr:cNvGrpSpPr/>
      </xdr:nvGrpSpPr>
      <xdr:grpSpPr>
        <a:xfrm>
          <a:off x="609600" y="6597015"/>
          <a:ext cx="2095500" cy="540385"/>
          <a:chOff x="945" y="10350"/>
          <a:chExt cx="3300" cy="841"/>
        </a:xfrm>
      </xdr:grpSpPr>
      <xdr:sp>
        <xdr:nvSpPr>
          <xdr:cNvPr id="844" name="矩形 843"/>
          <xdr:cNvSpPr/>
        </xdr:nvSpPr>
        <xdr:spPr>
          <a:xfrm>
            <a:off x="945" y="1035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5" name="矩形 844"/>
          <xdr:cNvSpPr/>
        </xdr:nvSpPr>
        <xdr:spPr>
          <a:xfrm>
            <a:off x="11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6" name="矩形 845"/>
          <xdr:cNvSpPr/>
        </xdr:nvSpPr>
        <xdr:spPr>
          <a:xfrm>
            <a:off x="12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7" name="矩形 846"/>
          <xdr:cNvSpPr/>
        </xdr:nvSpPr>
        <xdr:spPr>
          <a:xfrm>
            <a:off x="128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8" name="矩形 847"/>
          <xdr:cNvSpPr/>
        </xdr:nvSpPr>
        <xdr:spPr>
          <a:xfrm>
            <a:off x="138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49" name="矩形 848"/>
          <xdr:cNvSpPr/>
        </xdr:nvSpPr>
        <xdr:spPr>
          <a:xfrm>
            <a:off x="142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0" name="矩形 849"/>
          <xdr:cNvSpPr/>
        </xdr:nvSpPr>
        <xdr:spPr>
          <a:xfrm>
            <a:off x="15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1" name="矩形 850"/>
          <xdr:cNvSpPr/>
        </xdr:nvSpPr>
        <xdr:spPr>
          <a:xfrm>
            <a:off x="160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2" name="矩形 851"/>
          <xdr:cNvSpPr/>
        </xdr:nvSpPr>
        <xdr:spPr>
          <a:xfrm>
            <a:off x="164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3" name="矩形 852"/>
          <xdr:cNvSpPr/>
        </xdr:nvSpPr>
        <xdr:spPr>
          <a:xfrm>
            <a:off x="174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4" name="矩形 853"/>
          <xdr:cNvSpPr/>
        </xdr:nvSpPr>
        <xdr:spPr>
          <a:xfrm>
            <a:off x="18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5" name="矩形 854"/>
          <xdr:cNvSpPr/>
        </xdr:nvSpPr>
        <xdr:spPr>
          <a:xfrm>
            <a:off x="186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6" name="矩形 855"/>
          <xdr:cNvSpPr/>
        </xdr:nvSpPr>
        <xdr:spPr>
          <a:xfrm>
            <a:off x="1945" y="1041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7" name="矩形 856"/>
          <xdr:cNvSpPr/>
        </xdr:nvSpPr>
        <xdr:spPr>
          <a:xfrm>
            <a:off x="204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8" name="矩形 857"/>
          <xdr:cNvSpPr/>
        </xdr:nvSpPr>
        <xdr:spPr>
          <a:xfrm>
            <a:off x="21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59" name="矩形 858"/>
          <xdr:cNvSpPr/>
        </xdr:nvSpPr>
        <xdr:spPr>
          <a:xfrm>
            <a:off x="218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0" name="矩形 859"/>
          <xdr:cNvSpPr/>
        </xdr:nvSpPr>
        <xdr:spPr>
          <a:xfrm>
            <a:off x="22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1" name="矩形 860"/>
          <xdr:cNvSpPr/>
        </xdr:nvSpPr>
        <xdr:spPr>
          <a:xfrm>
            <a:off x="232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2" name="矩形 861"/>
          <xdr:cNvSpPr/>
        </xdr:nvSpPr>
        <xdr:spPr>
          <a:xfrm>
            <a:off x="242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3" name="矩形 862"/>
          <xdr:cNvSpPr/>
        </xdr:nvSpPr>
        <xdr:spPr>
          <a:xfrm>
            <a:off x="248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4" name="矩形 863"/>
          <xdr:cNvSpPr/>
        </xdr:nvSpPr>
        <xdr:spPr>
          <a:xfrm>
            <a:off x="25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5" name="矩形 864"/>
          <xdr:cNvSpPr/>
        </xdr:nvSpPr>
        <xdr:spPr>
          <a:xfrm>
            <a:off x="264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6" name="矩形 865"/>
          <xdr:cNvSpPr/>
        </xdr:nvSpPr>
        <xdr:spPr>
          <a:xfrm>
            <a:off x="270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7" name="矩形 866"/>
          <xdr:cNvSpPr/>
        </xdr:nvSpPr>
        <xdr:spPr>
          <a:xfrm>
            <a:off x="276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8" name="矩形 867"/>
          <xdr:cNvSpPr/>
        </xdr:nvSpPr>
        <xdr:spPr>
          <a:xfrm>
            <a:off x="28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69" name="矩形 868"/>
          <xdr:cNvSpPr/>
        </xdr:nvSpPr>
        <xdr:spPr>
          <a:xfrm>
            <a:off x="292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0" name="矩形 869"/>
          <xdr:cNvSpPr/>
        </xdr:nvSpPr>
        <xdr:spPr>
          <a:xfrm>
            <a:off x="298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1" name="矩形 870"/>
          <xdr:cNvSpPr/>
        </xdr:nvSpPr>
        <xdr:spPr>
          <a:xfrm>
            <a:off x="306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2" name="矩形 871"/>
          <xdr:cNvSpPr/>
        </xdr:nvSpPr>
        <xdr:spPr>
          <a:xfrm>
            <a:off x="314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3" name="矩形 872"/>
          <xdr:cNvSpPr/>
        </xdr:nvSpPr>
        <xdr:spPr>
          <a:xfrm>
            <a:off x="3185" y="1041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4" name="矩形 873"/>
          <xdr:cNvSpPr/>
        </xdr:nvSpPr>
        <xdr:spPr>
          <a:xfrm>
            <a:off x="328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5" name="矩形 874"/>
          <xdr:cNvSpPr/>
        </xdr:nvSpPr>
        <xdr:spPr>
          <a:xfrm>
            <a:off x="336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6" name="矩形 875"/>
          <xdr:cNvSpPr/>
        </xdr:nvSpPr>
        <xdr:spPr>
          <a:xfrm>
            <a:off x="342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7" name="矩形 876"/>
          <xdr:cNvSpPr/>
        </xdr:nvSpPr>
        <xdr:spPr>
          <a:xfrm>
            <a:off x="352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8" name="矩形 877"/>
          <xdr:cNvSpPr/>
        </xdr:nvSpPr>
        <xdr:spPr>
          <a:xfrm>
            <a:off x="3585" y="1041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79" name="矩形 878"/>
          <xdr:cNvSpPr/>
        </xdr:nvSpPr>
        <xdr:spPr>
          <a:xfrm>
            <a:off x="368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0" name="矩形 879"/>
          <xdr:cNvSpPr/>
        </xdr:nvSpPr>
        <xdr:spPr>
          <a:xfrm>
            <a:off x="376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1" name="矩形 880"/>
          <xdr:cNvSpPr/>
        </xdr:nvSpPr>
        <xdr:spPr>
          <a:xfrm>
            <a:off x="380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2" name="矩形 881"/>
          <xdr:cNvSpPr/>
        </xdr:nvSpPr>
        <xdr:spPr>
          <a:xfrm>
            <a:off x="3905" y="1041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3" name="矩形 882"/>
          <xdr:cNvSpPr/>
        </xdr:nvSpPr>
        <xdr:spPr>
          <a:xfrm>
            <a:off x="3985" y="1041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4" name="矩形 883"/>
          <xdr:cNvSpPr/>
        </xdr:nvSpPr>
        <xdr:spPr>
          <a:xfrm>
            <a:off x="4025" y="1041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5" name="矩形 884"/>
          <xdr:cNvSpPr/>
        </xdr:nvSpPr>
        <xdr:spPr>
          <a:xfrm>
            <a:off x="1145" y="1100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DD20210817001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5</xdr:row>
      <xdr:rowOff>1771650</xdr:rowOff>
    </xdr:from>
    <xdr:to>
      <xdr:col>4</xdr:col>
      <xdr:colOff>47625</xdr:colOff>
      <xdr:row>6</xdr:row>
      <xdr:rowOff>534035</xdr:rowOff>
    </xdr:to>
    <xdr:grpSp>
      <xdr:nvGrpSpPr>
        <xdr:cNvPr id="929" name="组合 928"/>
        <xdr:cNvGrpSpPr/>
      </xdr:nvGrpSpPr>
      <xdr:grpSpPr>
        <a:xfrm>
          <a:off x="609600" y="8375015"/>
          <a:ext cx="2095500" cy="540385"/>
          <a:chOff x="945" y="13140"/>
          <a:chExt cx="3300" cy="841"/>
        </a:xfrm>
      </xdr:grpSpPr>
      <xdr:sp>
        <xdr:nvSpPr>
          <xdr:cNvPr id="887" name="矩形 886"/>
          <xdr:cNvSpPr/>
        </xdr:nvSpPr>
        <xdr:spPr>
          <a:xfrm>
            <a:off x="945" y="1314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8" name="矩形 887"/>
          <xdr:cNvSpPr/>
        </xdr:nvSpPr>
        <xdr:spPr>
          <a:xfrm>
            <a:off x="11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89" name="矩形 888"/>
          <xdr:cNvSpPr/>
        </xdr:nvSpPr>
        <xdr:spPr>
          <a:xfrm>
            <a:off x="12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0" name="矩形 889"/>
          <xdr:cNvSpPr/>
        </xdr:nvSpPr>
        <xdr:spPr>
          <a:xfrm>
            <a:off x="128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1" name="矩形 890"/>
          <xdr:cNvSpPr/>
        </xdr:nvSpPr>
        <xdr:spPr>
          <a:xfrm>
            <a:off x="138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2" name="矩形 891"/>
          <xdr:cNvSpPr/>
        </xdr:nvSpPr>
        <xdr:spPr>
          <a:xfrm>
            <a:off x="146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3" name="矩形 892"/>
          <xdr:cNvSpPr/>
        </xdr:nvSpPr>
        <xdr:spPr>
          <a:xfrm>
            <a:off x="154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4" name="矩形 893"/>
          <xdr:cNvSpPr/>
        </xdr:nvSpPr>
        <xdr:spPr>
          <a:xfrm>
            <a:off x="160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5" name="矩形 894"/>
          <xdr:cNvSpPr/>
        </xdr:nvSpPr>
        <xdr:spPr>
          <a:xfrm>
            <a:off x="164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6" name="矩形 895"/>
          <xdr:cNvSpPr/>
        </xdr:nvSpPr>
        <xdr:spPr>
          <a:xfrm>
            <a:off x="174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7" name="矩形 896"/>
          <xdr:cNvSpPr/>
        </xdr:nvSpPr>
        <xdr:spPr>
          <a:xfrm>
            <a:off x="18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8" name="矩形 897"/>
          <xdr:cNvSpPr/>
        </xdr:nvSpPr>
        <xdr:spPr>
          <a:xfrm>
            <a:off x="186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899" name="矩形 898"/>
          <xdr:cNvSpPr/>
        </xdr:nvSpPr>
        <xdr:spPr>
          <a:xfrm>
            <a:off x="1945" y="1320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0" name="矩形 899"/>
          <xdr:cNvSpPr/>
        </xdr:nvSpPr>
        <xdr:spPr>
          <a:xfrm>
            <a:off x="204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1" name="矩形 900"/>
          <xdr:cNvSpPr/>
        </xdr:nvSpPr>
        <xdr:spPr>
          <a:xfrm>
            <a:off x="21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2" name="矩形 901"/>
          <xdr:cNvSpPr/>
        </xdr:nvSpPr>
        <xdr:spPr>
          <a:xfrm>
            <a:off x="218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3" name="矩形 902"/>
          <xdr:cNvSpPr/>
        </xdr:nvSpPr>
        <xdr:spPr>
          <a:xfrm>
            <a:off x="22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4" name="矩形 903"/>
          <xdr:cNvSpPr/>
        </xdr:nvSpPr>
        <xdr:spPr>
          <a:xfrm>
            <a:off x="232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5" name="矩形 904"/>
          <xdr:cNvSpPr/>
        </xdr:nvSpPr>
        <xdr:spPr>
          <a:xfrm>
            <a:off x="24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6" name="矩形 905"/>
          <xdr:cNvSpPr/>
        </xdr:nvSpPr>
        <xdr:spPr>
          <a:xfrm>
            <a:off x="248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7" name="矩形 906"/>
          <xdr:cNvSpPr/>
        </xdr:nvSpPr>
        <xdr:spPr>
          <a:xfrm>
            <a:off x="25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8" name="矩形 907"/>
          <xdr:cNvSpPr/>
        </xdr:nvSpPr>
        <xdr:spPr>
          <a:xfrm>
            <a:off x="264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09" name="矩形 908"/>
          <xdr:cNvSpPr/>
        </xdr:nvSpPr>
        <xdr:spPr>
          <a:xfrm>
            <a:off x="270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0" name="矩形 909"/>
          <xdr:cNvSpPr/>
        </xdr:nvSpPr>
        <xdr:spPr>
          <a:xfrm>
            <a:off x="27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1" name="矩形 910"/>
          <xdr:cNvSpPr/>
        </xdr:nvSpPr>
        <xdr:spPr>
          <a:xfrm>
            <a:off x="282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2" name="矩形 911"/>
          <xdr:cNvSpPr/>
        </xdr:nvSpPr>
        <xdr:spPr>
          <a:xfrm>
            <a:off x="292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3" name="矩形 912"/>
          <xdr:cNvSpPr/>
        </xdr:nvSpPr>
        <xdr:spPr>
          <a:xfrm>
            <a:off x="298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4" name="矩形 913"/>
          <xdr:cNvSpPr/>
        </xdr:nvSpPr>
        <xdr:spPr>
          <a:xfrm>
            <a:off x="306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5" name="矩形 914"/>
          <xdr:cNvSpPr/>
        </xdr:nvSpPr>
        <xdr:spPr>
          <a:xfrm>
            <a:off x="314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6" name="矩形 915"/>
          <xdr:cNvSpPr/>
        </xdr:nvSpPr>
        <xdr:spPr>
          <a:xfrm>
            <a:off x="3185" y="1320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7" name="矩形 916"/>
          <xdr:cNvSpPr/>
        </xdr:nvSpPr>
        <xdr:spPr>
          <a:xfrm>
            <a:off x="328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8" name="矩形 917"/>
          <xdr:cNvSpPr/>
        </xdr:nvSpPr>
        <xdr:spPr>
          <a:xfrm>
            <a:off x="336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19" name="矩形 918"/>
          <xdr:cNvSpPr/>
        </xdr:nvSpPr>
        <xdr:spPr>
          <a:xfrm>
            <a:off x="342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0" name="矩形 919"/>
          <xdr:cNvSpPr/>
        </xdr:nvSpPr>
        <xdr:spPr>
          <a:xfrm>
            <a:off x="352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1" name="矩形 920"/>
          <xdr:cNvSpPr/>
        </xdr:nvSpPr>
        <xdr:spPr>
          <a:xfrm>
            <a:off x="3585" y="1320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2" name="矩形 921"/>
          <xdr:cNvSpPr/>
        </xdr:nvSpPr>
        <xdr:spPr>
          <a:xfrm>
            <a:off x="372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3" name="矩形 922"/>
          <xdr:cNvSpPr/>
        </xdr:nvSpPr>
        <xdr:spPr>
          <a:xfrm>
            <a:off x="376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4" name="矩形 923"/>
          <xdr:cNvSpPr/>
        </xdr:nvSpPr>
        <xdr:spPr>
          <a:xfrm>
            <a:off x="380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5" name="矩形 924"/>
          <xdr:cNvSpPr/>
        </xdr:nvSpPr>
        <xdr:spPr>
          <a:xfrm>
            <a:off x="3905" y="1320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6" name="矩形 925"/>
          <xdr:cNvSpPr/>
        </xdr:nvSpPr>
        <xdr:spPr>
          <a:xfrm>
            <a:off x="3985" y="1320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7" name="矩形 926"/>
          <xdr:cNvSpPr/>
        </xdr:nvSpPr>
        <xdr:spPr>
          <a:xfrm>
            <a:off x="4025" y="1320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28" name="矩形 927"/>
          <xdr:cNvSpPr/>
        </xdr:nvSpPr>
        <xdr:spPr>
          <a:xfrm>
            <a:off x="1145" y="1379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CK20210813001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6</xdr:row>
      <xdr:rowOff>1771650</xdr:rowOff>
    </xdr:from>
    <xdr:to>
      <xdr:col>4</xdr:col>
      <xdr:colOff>47625</xdr:colOff>
      <xdr:row>7</xdr:row>
      <xdr:rowOff>534035</xdr:rowOff>
    </xdr:to>
    <xdr:grpSp>
      <xdr:nvGrpSpPr>
        <xdr:cNvPr id="972" name="组合 971"/>
        <xdr:cNvGrpSpPr/>
      </xdr:nvGrpSpPr>
      <xdr:grpSpPr>
        <a:xfrm>
          <a:off x="609600" y="10153015"/>
          <a:ext cx="2095500" cy="540385"/>
          <a:chOff x="945" y="15930"/>
          <a:chExt cx="3300" cy="841"/>
        </a:xfrm>
      </xdr:grpSpPr>
      <xdr:sp>
        <xdr:nvSpPr>
          <xdr:cNvPr id="930" name="矩形 929"/>
          <xdr:cNvSpPr/>
        </xdr:nvSpPr>
        <xdr:spPr>
          <a:xfrm>
            <a:off x="945" y="1593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1" name="矩形 930"/>
          <xdr:cNvSpPr/>
        </xdr:nvSpPr>
        <xdr:spPr>
          <a:xfrm>
            <a:off x="11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2" name="矩形 931"/>
          <xdr:cNvSpPr/>
        </xdr:nvSpPr>
        <xdr:spPr>
          <a:xfrm>
            <a:off x="12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3" name="矩形 932"/>
          <xdr:cNvSpPr/>
        </xdr:nvSpPr>
        <xdr:spPr>
          <a:xfrm>
            <a:off x="128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4" name="矩形 933"/>
          <xdr:cNvSpPr/>
        </xdr:nvSpPr>
        <xdr:spPr>
          <a:xfrm>
            <a:off x="138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5" name="矩形 934"/>
          <xdr:cNvSpPr/>
        </xdr:nvSpPr>
        <xdr:spPr>
          <a:xfrm>
            <a:off x="142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6" name="矩形 935"/>
          <xdr:cNvSpPr/>
        </xdr:nvSpPr>
        <xdr:spPr>
          <a:xfrm>
            <a:off x="15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7" name="矩形 936"/>
          <xdr:cNvSpPr/>
        </xdr:nvSpPr>
        <xdr:spPr>
          <a:xfrm>
            <a:off x="160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8" name="矩形 937"/>
          <xdr:cNvSpPr/>
        </xdr:nvSpPr>
        <xdr:spPr>
          <a:xfrm>
            <a:off x="164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39" name="矩形 938"/>
          <xdr:cNvSpPr/>
        </xdr:nvSpPr>
        <xdr:spPr>
          <a:xfrm>
            <a:off x="174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0" name="矩形 939"/>
          <xdr:cNvSpPr/>
        </xdr:nvSpPr>
        <xdr:spPr>
          <a:xfrm>
            <a:off x="18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1" name="矩形 940"/>
          <xdr:cNvSpPr/>
        </xdr:nvSpPr>
        <xdr:spPr>
          <a:xfrm>
            <a:off x="186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2" name="矩形 941"/>
          <xdr:cNvSpPr/>
        </xdr:nvSpPr>
        <xdr:spPr>
          <a:xfrm>
            <a:off x="1945" y="1599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3" name="矩形 942"/>
          <xdr:cNvSpPr/>
        </xdr:nvSpPr>
        <xdr:spPr>
          <a:xfrm>
            <a:off x="204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4" name="矩形 943"/>
          <xdr:cNvSpPr/>
        </xdr:nvSpPr>
        <xdr:spPr>
          <a:xfrm>
            <a:off x="21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5" name="矩形 944"/>
          <xdr:cNvSpPr/>
        </xdr:nvSpPr>
        <xdr:spPr>
          <a:xfrm>
            <a:off x="218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6" name="矩形 945"/>
          <xdr:cNvSpPr/>
        </xdr:nvSpPr>
        <xdr:spPr>
          <a:xfrm>
            <a:off x="22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7" name="矩形 946"/>
          <xdr:cNvSpPr/>
        </xdr:nvSpPr>
        <xdr:spPr>
          <a:xfrm>
            <a:off x="232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8" name="矩形 947"/>
          <xdr:cNvSpPr/>
        </xdr:nvSpPr>
        <xdr:spPr>
          <a:xfrm>
            <a:off x="242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49" name="矩形 948"/>
          <xdr:cNvSpPr/>
        </xdr:nvSpPr>
        <xdr:spPr>
          <a:xfrm>
            <a:off x="248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0" name="矩形 949"/>
          <xdr:cNvSpPr/>
        </xdr:nvSpPr>
        <xdr:spPr>
          <a:xfrm>
            <a:off x="25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1" name="矩形 950"/>
          <xdr:cNvSpPr/>
        </xdr:nvSpPr>
        <xdr:spPr>
          <a:xfrm>
            <a:off x="264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2" name="矩形 951"/>
          <xdr:cNvSpPr/>
        </xdr:nvSpPr>
        <xdr:spPr>
          <a:xfrm>
            <a:off x="270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3" name="矩形 952"/>
          <xdr:cNvSpPr/>
        </xdr:nvSpPr>
        <xdr:spPr>
          <a:xfrm>
            <a:off x="27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4" name="矩形 953"/>
          <xdr:cNvSpPr/>
        </xdr:nvSpPr>
        <xdr:spPr>
          <a:xfrm>
            <a:off x="282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5" name="矩形 954"/>
          <xdr:cNvSpPr/>
        </xdr:nvSpPr>
        <xdr:spPr>
          <a:xfrm>
            <a:off x="292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6" name="矩形 955"/>
          <xdr:cNvSpPr/>
        </xdr:nvSpPr>
        <xdr:spPr>
          <a:xfrm>
            <a:off x="298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7" name="矩形 956"/>
          <xdr:cNvSpPr/>
        </xdr:nvSpPr>
        <xdr:spPr>
          <a:xfrm>
            <a:off x="306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8" name="矩形 957"/>
          <xdr:cNvSpPr/>
        </xdr:nvSpPr>
        <xdr:spPr>
          <a:xfrm>
            <a:off x="314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59" name="矩形 958"/>
          <xdr:cNvSpPr/>
        </xdr:nvSpPr>
        <xdr:spPr>
          <a:xfrm>
            <a:off x="3185" y="1599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0" name="矩形 959"/>
          <xdr:cNvSpPr/>
        </xdr:nvSpPr>
        <xdr:spPr>
          <a:xfrm>
            <a:off x="328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1" name="矩形 960"/>
          <xdr:cNvSpPr/>
        </xdr:nvSpPr>
        <xdr:spPr>
          <a:xfrm>
            <a:off x="336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2" name="矩形 961"/>
          <xdr:cNvSpPr/>
        </xdr:nvSpPr>
        <xdr:spPr>
          <a:xfrm>
            <a:off x="342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3" name="矩形 962"/>
          <xdr:cNvSpPr/>
        </xdr:nvSpPr>
        <xdr:spPr>
          <a:xfrm>
            <a:off x="352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4" name="矩形 963"/>
          <xdr:cNvSpPr/>
        </xdr:nvSpPr>
        <xdr:spPr>
          <a:xfrm>
            <a:off x="358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5" name="矩形 964"/>
          <xdr:cNvSpPr/>
        </xdr:nvSpPr>
        <xdr:spPr>
          <a:xfrm>
            <a:off x="364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6" name="矩形 965"/>
          <xdr:cNvSpPr/>
        </xdr:nvSpPr>
        <xdr:spPr>
          <a:xfrm>
            <a:off x="372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7" name="矩形 966"/>
          <xdr:cNvSpPr/>
        </xdr:nvSpPr>
        <xdr:spPr>
          <a:xfrm>
            <a:off x="380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8" name="矩形 967"/>
          <xdr:cNvSpPr/>
        </xdr:nvSpPr>
        <xdr:spPr>
          <a:xfrm>
            <a:off x="3905" y="1599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69" name="矩形 968"/>
          <xdr:cNvSpPr/>
        </xdr:nvSpPr>
        <xdr:spPr>
          <a:xfrm>
            <a:off x="3985" y="1599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0" name="矩形 969"/>
          <xdr:cNvSpPr/>
        </xdr:nvSpPr>
        <xdr:spPr>
          <a:xfrm>
            <a:off x="4025" y="1599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1" name="矩形 970"/>
          <xdr:cNvSpPr/>
        </xdr:nvSpPr>
        <xdr:spPr>
          <a:xfrm>
            <a:off x="1145" y="1658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DD20210813001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7</xdr:row>
      <xdr:rowOff>1771650</xdr:rowOff>
    </xdr:from>
    <xdr:to>
      <xdr:col>3</xdr:col>
      <xdr:colOff>1955800</xdr:colOff>
      <xdr:row>8</xdr:row>
      <xdr:rowOff>534035</xdr:rowOff>
    </xdr:to>
    <xdr:grpSp>
      <xdr:nvGrpSpPr>
        <xdr:cNvPr id="1012" name="组合 1011"/>
        <xdr:cNvGrpSpPr/>
      </xdr:nvGrpSpPr>
      <xdr:grpSpPr>
        <a:xfrm>
          <a:off x="609600" y="11931015"/>
          <a:ext cx="1955800" cy="540385"/>
          <a:chOff x="945" y="18720"/>
          <a:chExt cx="3080" cy="841"/>
        </a:xfrm>
      </xdr:grpSpPr>
      <xdr:sp>
        <xdr:nvSpPr>
          <xdr:cNvPr id="973" name="矩形 972"/>
          <xdr:cNvSpPr/>
        </xdr:nvSpPr>
        <xdr:spPr>
          <a:xfrm>
            <a:off x="945" y="18720"/>
            <a:ext cx="308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4" name="矩形 973"/>
          <xdr:cNvSpPr/>
        </xdr:nvSpPr>
        <xdr:spPr>
          <a:xfrm>
            <a:off x="116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5" name="矩形 974"/>
          <xdr:cNvSpPr/>
        </xdr:nvSpPr>
        <xdr:spPr>
          <a:xfrm>
            <a:off x="12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6" name="矩形 975"/>
          <xdr:cNvSpPr/>
        </xdr:nvSpPr>
        <xdr:spPr>
          <a:xfrm>
            <a:off x="128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7" name="矩形 976"/>
          <xdr:cNvSpPr/>
        </xdr:nvSpPr>
        <xdr:spPr>
          <a:xfrm>
            <a:off x="138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8" name="矩形 977"/>
          <xdr:cNvSpPr/>
        </xdr:nvSpPr>
        <xdr:spPr>
          <a:xfrm>
            <a:off x="142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79" name="矩形 978"/>
          <xdr:cNvSpPr/>
        </xdr:nvSpPr>
        <xdr:spPr>
          <a:xfrm>
            <a:off x="15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0" name="矩形 979"/>
          <xdr:cNvSpPr/>
        </xdr:nvSpPr>
        <xdr:spPr>
          <a:xfrm>
            <a:off x="160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1" name="矩形 980"/>
          <xdr:cNvSpPr/>
        </xdr:nvSpPr>
        <xdr:spPr>
          <a:xfrm>
            <a:off x="164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2" name="矩形 981"/>
          <xdr:cNvSpPr/>
        </xdr:nvSpPr>
        <xdr:spPr>
          <a:xfrm>
            <a:off x="174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3" name="矩形 982"/>
          <xdr:cNvSpPr/>
        </xdr:nvSpPr>
        <xdr:spPr>
          <a:xfrm>
            <a:off x="18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4" name="矩形 983"/>
          <xdr:cNvSpPr/>
        </xdr:nvSpPr>
        <xdr:spPr>
          <a:xfrm>
            <a:off x="186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5" name="矩形 984"/>
          <xdr:cNvSpPr/>
        </xdr:nvSpPr>
        <xdr:spPr>
          <a:xfrm>
            <a:off x="1945" y="1878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6" name="矩形 985"/>
          <xdr:cNvSpPr/>
        </xdr:nvSpPr>
        <xdr:spPr>
          <a:xfrm>
            <a:off x="204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7" name="矩形 986"/>
          <xdr:cNvSpPr/>
        </xdr:nvSpPr>
        <xdr:spPr>
          <a:xfrm>
            <a:off x="21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8" name="矩形 987"/>
          <xdr:cNvSpPr/>
        </xdr:nvSpPr>
        <xdr:spPr>
          <a:xfrm>
            <a:off x="218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89" name="矩形 988"/>
          <xdr:cNvSpPr/>
        </xdr:nvSpPr>
        <xdr:spPr>
          <a:xfrm>
            <a:off x="226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0" name="矩形 989"/>
          <xdr:cNvSpPr/>
        </xdr:nvSpPr>
        <xdr:spPr>
          <a:xfrm>
            <a:off x="232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1" name="矩形 990"/>
          <xdr:cNvSpPr/>
        </xdr:nvSpPr>
        <xdr:spPr>
          <a:xfrm>
            <a:off x="24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2" name="矩形 991"/>
          <xdr:cNvSpPr/>
        </xdr:nvSpPr>
        <xdr:spPr>
          <a:xfrm>
            <a:off x="248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3" name="矩形 992"/>
          <xdr:cNvSpPr/>
        </xdr:nvSpPr>
        <xdr:spPr>
          <a:xfrm>
            <a:off x="254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4" name="矩形 993"/>
          <xdr:cNvSpPr/>
        </xdr:nvSpPr>
        <xdr:spPr>
          <a:xfrm>
            <a:off x="264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5" name="矩形 994"/>
          <xdr:cNvSpPr/>
        </xdr:nvSpPr>
        <xdr:spPr>
          <a:xfrm>
            <a:off x="270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6" name="矩形 995"/>
          <xdr:cNvSpPr/>
        </xdr:nvSpPr>
        <xdr:spPr>
          <a:xfrm>
            <a:off x="278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7" name="矩形 996"/>
          <xdr:cNvSpPr/>
        </xdr:nvSpPr>
        <xdr:spPr>
          <a:xfrm>
            <a:off x="286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8" name="矩形 997"/>
          <xdr:cNvSpPr/>
        </xdr:nvSpPr>
        <xdr:spPr>
          <a:xfrm>
            <a:off x="292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999" name="矩形 998"/>
          <xdr:cNvSpPr/>
        </xdr:nvSpPr>
        <xdr:spPr>
          <a:xfrm>
            <a:off x="298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0" name="矩形 999"/>
          <xdr:cNvSpPr/>
        </xdr:nvSpPr>
        <xdr:spPr>
          <a:xfrm>
            <a:off x="308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1" name="矩形 1000"/>
          <xdr:cNvSpPr/>
        </xdr:nvSpPr>
        <xdr:spPr>
          <a:xfrm>
            <a:off x="314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2" name="矩形 1001"/>
          <xdr:cNvSpPr/>
        </xdr:nvSpPr>
        <xdr:spPr>
          <a:xfrm>
            <a:off x="322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3" name="矩形 1002"/>
          <xdr:cNvSpPr/>
        </xdr:nvSpPr>
        <xdr:spPr>
          <a:xfrm>
            <a:off x="328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4" name="矩形 1003"/>
          <xdr:cNvSpPr/>
        </xdr:nvSpPr>
        <xdr:spPr>
          <a:xfrm>
            <a:off x="336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5" name="矩形 1004"/>
          <xdr:cNvSpPr/>
        </xdr:nvSpPr>
        <xdr:spPr>
          <a:xfrm>
            <a:off x="346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6" name="矩形 1005"/>
          <xdr:cNvSpPr/>
        </xdr:nvSpPr>
        <xdr:spPr>
          <a:xfrm>
            <a:off x="352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7" name="矩形 1006"/>
          <xdr:cNvSpPr/>
        </xdr:nvSpPr>
        <xdr:spPr>
          <a:xfrm>
            <a:off x="358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8" name="矩形 1007"/>
          <xdr:cNvSpPr/>
        </xdr:nvSpPr>
        <xdr:spPr>
          <a:xfrm>
            <a:off x="3685" y="1878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09" name="矩形 1008"/>
          <xdr:cNvSpPr/>
        </xdr:nvSpPr>
        <xdr:spPr>
          <a:xfrm>
            <a:off x="3765" y="1878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0" name="矩形 1009"/>
          <xdr:cNvSpPr/>
        </xdr:nvSpPr>
        <xdr:spPr>
          <a:xfrm>
            <a:off x="3805" y="1878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1" name="矩形 1010"/>
          <xdr:cNvSpPr/>
        </xdr:nvSpPr>
        <xdr:spPr>
          <a:xfrm>
            <a:off x="1145" y="19379"/>
            <a:ext cx="268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DD202107271723</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8</xdr:row>
      <xdr:rowOff>1771650</xdr:rowOff>
    </xdr:from>
    <xdr:to>
      <xdr:col>3</xdr:col>
      <xdr:colOff>1397000</xdr:colOff>
      <xdr:row>9</xdr:row>
      <xdr:rowOff>534035</xdr:rowOff>
    </xdr:to>
    <xdr:grpSp>
      <xdr:nvGrpSpPr>
        <xdr:cNvPr id="1040" name="组合 1039"/>
        <xdr:cNvGrpSpPr/>
      </xdr:nvGrpSpPr>
      <xdr:grpSpPr>
        <a:xfrm>
          <a:off x="609600" y="13709015"/>
          <a:ext cx="1397000" cy="540385"/>
          <a:chOff x="945" y="21510"/>
          <a:chExt cx="2200" cy="841"/>
        </a:xfrm>
      </xdr:grpSpPr>
      <xdr:sp>
        <xdr:nvSpPr>
          <xdr:cNvPr id="1013" name="矩形 1012"/>
          <xdr:cNvSpPr/>
        </xdr:nvSpPr>
        <xdr:spPr>
          <a:xfrm>
            <a:off x="945" y="21510"/>
            <a:ext cx="22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4" name="矩形 1013"/>
          <xdr:cNvSpPr/>
        </xdr:nvSpPr>
        <xdr:spPr>
          <a:xfrm>
            <a:off x="116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5" name="矩形 1014"/>
          <xdr:cNvSpPr/>
        </xdr:nvSpPr>
        <xdr:spPr>
          <a:xfrm>
            <a:off x="122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6" name="矩形 1015"/>
          <xdr:cNvSpPr/>
        </xdr:nvSpPr>
        <xdr:spPr>
          <a:xfrm>
            <a:off x="12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7" name="矩形 1016"/>
          <xdr:cNvSpPr/>
        </xdr:nvSpPr>
        <xdr:spPr>
          <a:xfrm>
            <a:off x="13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8" name="矩形 1017"/>
          <xdr:cNvSpPr/>
        </xdr:nvSpPr>
        <xdr:spPr>
          <a:xfrm>
            <a:off x="144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19" name="矩形 1018"/>
          <xdr:cNvSpPr/>
        </xdr:nvSpPr>
        <xdr:spPr>
          <a:xfrm>
            <a:off x="1505" y="2157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0" name="矩形 1019"/>
          <xdr:cNvSpPr/>
        </xdr:nvSpPr>
        <xdr:spPr>
          <a:xfrm>
            <a:off x="160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1" name="矩形 1020"/>
          <xdr:cNvSpPr/>
        </xdr:nvSpPr>
        <xdr:spPr>
          <a:xfrm>
            <a:off x="172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2" name="矩形 1021"/>
          <xdr:cNvSpPr/>
        </xdr:nvSpPr>
        <xdr:spPr>
          <a:xfrm>
            <a:off x="17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3" name="矩形 1022"/>
          <xdr:cNvSpPr/>
        </xdr:nvSpPr>
        <xdr:spPr>
          <a:xfrm>
            <a:off x="182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4" name="矩形 1023"/>
          <xdr:cNvSpPr/>
        </xdr:nvSpPr>
        <xdr:spPr>
          <a:xfrm>
            <a:off x="1865" y="2157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5" name="矩形 1024"/>
          <xdr:cNvSpPr/>
        </xdr:nvSpPr>
        <xdr:spPr>
          <a:xfrm>
            <a:off x="1945" y="2157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6" name="矩形 1025"/>
          <xdr:cNvSpPr/>
        </xdr:nvSpPr>
        <xdr:spPr>
          <a:xfrm>
            <a:off x="204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7" name="矩形 1026"/>
          <xdr:cNvSpPr/>
        </xdr:nvSpPr>
        <xdr:spPr>
          <a:xfrm>
            <a:off x="210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8" name="矩形 1027"/>
          <xdr:cNvSpPr/>
        </xdr:nvSpPr>
        <xdr:spPr>
          <a:xfrm>
            <a:off x="218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29" name="矩形 1028"/>
          <xdr:cNvSpPr/>
        </xdr:nvSpPr>
        <xdr:spPr>
          <a:xfrm>
            <a:off x="226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0" name="矩形 1029"/>
          <xdr:cNvSpPr/>
        </xdr:nvSpPr>
        <xdr:spPr>
          <a:xfrm>
            <a:off x="232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1" name="矩形 1030"/>
          <xdr:cNvSpPr/>
        </xdr:nvSpPr>
        <xdr:spPr>
          <a:xfrm>
            <a:off x="2365" y="2157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2" name="矩形 1031"/>
          <xdr:cNvSpPr/>
        </xdr:nvSpPr>
        <xdr:spPr>
          <a:xfrm>
            <a:off x="24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3" name="矩形 1032"/>
          <xdr:cNvSpPr/>
        </xdr:nvSpPr>
        <xdr:spPr>
          <a:xfrm>
            <a:off x="256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4" name="矩形 1033"/>
          <xdr:cNvSpPr/>
        </xdr:nvSpPr>
        <xdr:spPr>
          <a:xfrm>
            <a:off x="264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5" name="矩形 1034"/>
          <xdr:cNvSpPr/>
        </xdr:nvSpPr>
        <xdr:spPr>
          <a:xfrm>
            <a:off x="270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6" name="矩形 1035"/>
          <xdr:cNvSpPr/>
        </xdr:nvSpPr>
        <xdr:spPr>
          <a:xfrm>
            <a:off x="2805" y="2157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7" name="矩形 1036"/>
          <xdr:cNvSpPr/>
        </xdr:nvSpPr>
        <xdr:spPr>
          <a:xfrm>
            <a:off x="2885" y="2157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8" name="矩形 1037"/>
          <xdr:cNvSpPr/>
        </xdr:nvSpPr>
        <xdr:spPr>
          <a:xfrm>
            <a:off x="2925" y="2157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39" name="矩形 1038"/>
          <xdr:cNvSpPr/>
        </xdr:nvSpPr>
        <xdr:spPr>
          <a:xfrm>
            <a:off x="1145" y="22169"/>
            <a:ext cx="18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rk0081</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9</xdr:row>
      <xdr:rowOff>1771650</xdr:rowOff>
    </xdr:from>
    <xdr:to>
      <xdr:col>4</xdr:col>
      <xdr:colOff>47625</xdr:colOff>
      <xdr:row>10</xdr:row>
      <xdr:rowOff>534035</xdr:rowOff>
    </xdr:to>
    <xdr:grpSp>
      <xdr:nvGrpSpPr>
        <xdr:cNvPr id="1083" name="组合 1082"/>
        <xdr:cNvGrpSpPr/>
      </xdr:nvGrpSpPr>
      <xdr:grpSpPr>
        <a:xfrm>
          <a:off x="609600" y="15487015"/>
          <a:ext cx="2095500" cy="540385"/>
          <a:chOff x="945" y="24300"/>
          <a:chExt cx="3300" cy="841"/>
        </a:xfrm>
      </xdr:grpSpPr>
      <xdr:sp>
        <xdr:nvSpPr>
          <xdr:cNvPr id="1041" name="矩形 1040"/>
          <xdr:cNvSpPr/>
        </xdr:nvSpPr>
        <xdr:spPr>
          <a:xfrm>
            <a:off x="945" y="24300"/>
            <a:ext cx="330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2" name="矩形 1041"/>
          <xdr:cNvSpPr/>
        </xdr:nvSpPr>
        <xdr:spPr>
          <a:xfrm>
            <a:off x="11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3" name="矩形 1042"/>
          <xdr:cNvSpPr/>
        </xdr:nvSpPr>
        <xdr:spPr>
          <a:xfrm>
            <a:off x="12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4" name="矩形 1043"/>
          <xdr:cNvSpPr/>
        </xdr:nvSpPr>
        <xdr:spPr>
          <a:xfrm>
            <a:off x="12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5" name="矩形 1044"/>
          <xdr:cNvSpPr/>
        </xdr:nvSpPr>
        <xdr:spPr>
          <a:xfrm>
            <a:off x="13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6" name="矩形 1045"/>
          <xdr:cNvSpPr/>
        </xdr:nvSpPr>
        <xdr:spPr>
          <a:xfrm>
            <a:off x="142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7" name="矩形 1046"/>
          <xdr:cNvSpPr/>
        </xdr:nvSpPr>
        <xdr:spPr>
          <a:xfrm>
            <a:off x="15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8" name="矩形 1047"/>
          <xdr:cNvSpPr/>
        </xdr:nvSpPr>
        <xdr:spPr>
          <a:xfrm>
            <a:off x="160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49" name="矩形 1048"/>
          <xdr:cNvSpPr/>
        </xdr:nvSpPr>
        <xdr:spPr>
          <a:xfrm>
            <a:off x="164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0" name="矩形 1049"/>
          <xdr:cNvSpPr/>
        </xdr:nvSpPr>
        <xdr:spPr>
          <a:xfrm>
            <a:off x="174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1" name="矩形 1050"/>
          <xdr:cNvSpPr/>
        </xdr:nvSpPr>
        <xdr:spPr>
          <a:xfrm>
            <a:off x="18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2" name="矩形 1051"/>
          <xdr:cNvSpPr/>
        </xdr:nvSpPr>
        <xdr:spPr>
          <a:xfrm>
            <a:off x="186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3" name="矩形 1052"/>
          <xdr:cNvSpPr/>
        </xdr:nvSpPr>
        <xdr:spPr>
          <a:xfrm>
            <a:off x="1945" y="2436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4" name="矩形 1053"/>
          <xdr:cNvSpPr/>
        </xdr:nvSpPr>
        <xdr:spPr>
          <a:xfrm>
            <a:off x="204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5" name="矩形 1054"/>
          <xdr:cNvSpPr/>
        </xdr:nvSpPr>
        <xdr:spPr>
          <a:xfrm>
            <a:off x="21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6" name="矩形 1055"/>
          <xdr:cNvSpPr/>
        </xdr:nvSpPr>
        <xdr:spPr>
          <a:xfrm>
            <a:off x="218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7" name="矩形 1056"/>
          <xdr:cNvSpPr/>
        </xdr:nvSpPr>
        <xdr:spPr>
          <a:xfrm>
            <a:off x="22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8" name="矩形 1057"/>
          <xdr:cNvSpPr/>
        </xdr:nvSpPr>
        <xdr:spPr>
          <a:xfrm>
            <a:off x="232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59" name="矩形 1058"/>
          <xdr:cNvSpPr/>
        </xdr:nvSpPr>
        <xdr:spPr>
          <a:xfrm>
            <a:off x="242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0" name="矩形 1059"/>
          <xdr:cNvSpPr/>
        </xdr:nvSpPr>
        <xdr:spPr>
          <a:xfrm>
            <a:off x="24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1" name="矩形 1060"/>
          <xdr:cNvSpPr/>
        </xdr:nvSpPr>
        <xdr:spPr>
          <a:xfrm>
            <a:off x="25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2" name="矩形 1061"/>
          <xdr:cNvSpPr/>
        </xdr:nvSpPr>
        <xdr:spPr>
          <a:xfrm>
            <a:off x="264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3" name="矩形 1062"/>
          <xdr:cNvSpPr/>
        </xdr:nvSpPr>
        <xdr:spPr>
          <a:xfrm>
            <a:off x="270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4" name="矩形 1063"/>
          <xdr:cNvSpPr/>
        </xdr:nvSpPr>
        <xdr:spPr>
          <a:xfrm>
            <a:off x="27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5" name="矩形 1064"/>
          <xdr:cNvSpPr/>
        </xdr:nvSpPr>
        <xdr:spPr>
          <a:xfrm>
            <a:off x="282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6" name="矩形 1065"/>
          <xdr:cNvSpPr/>
        </xdr:nvSpPr>
        <xdr:spPr>
          <a:xfrm>
            <a:off x="292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7" name="矩形 1066"/>
          <xdr:cNvSpPr/>
        </xdr:nvSpPr>
        <xdr:spPr>
          <a:xfrm>
            <a:off x="298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8" name="矩形 1067"/>
          <xdr:cNvSpPr/>
        </xdr:nvSpPr>
        <xdr:spPr>
          <a:xfrm>
            <a:off x="30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69" name="矩形 1068"/>
          <xdr:cNvSpPr/>
        </xdr:nvSpPr>
        <xdr:spPr>
          <a:xfrm>
            <a:off x="314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0" name="矩形 1069"/>
          <xdr:cNvSpPr/>
        </xdr:nvSpPr>
        <xdr:spPr>
          <a:xfrm>
            <a:off x="3185" y="24360"/>
            <a:ext cx="8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1" name="矩形 1070"/>
          <xdr:cNvSpPr/>
        </xdr:nvSpPr>
        <xdr:spPr>
          <a:xfrm>
            <a:off x="328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2" name="矩形 1071"/>
          <xdr:cNvSpPr/>
        </xdr:nvSpPr>
        <xdr:spPr>
          <a:xfrm>
            <a:off x="336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3" name="矩形 1072"/>
          <xdr:cNvSpPr/>
        </xdr:nvSpPr>
        <xdr:spPr>
          <a:xfrm>
            <a:off x="344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4" name="矩形 1073"/>
          <xdr:cNvSpPr/>
        </xdr:nvSpPr>
        <xdr:spPr>
          <a:xfrm>
            <a:off x="348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5" name="矩形 1074"/>
          <xdr:cNvSpPr/>
        </xdr:nvSpPr>
        <xdr:spPr>
          <a:xfrm>
            <a:off x="35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6" name="矩形 1075"/>
          <xdr:cNvSpPr/>
        </xdr:nvSpPr>
        <xdr:spPr>
          <a:xfrm>
            <a:off x="362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7" name="矩形 1076"/>
          <xdr:cNvSpPr/>
        </xdr:nvSpPr>
        <xdr:spPr>
          <a:xfrm>
            <a:off x="370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8" name="矩形 1077"/>
          <xdr:cNvSpPr/>
        </xdr:nvSpPr>
        <xdr:spPr>
          <a:xfrm>
            <a:off x="380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79" name="矩形 1078"/>
          <xdr:cNvSpPr/>
        </xdr:nvSpPr>
        <xdr:spPr>
          <a:xfrm>
            <a:off x="3905" y="2436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0" name="矩形 1079"/>
          <xdr:cNvSpPr/>
        </xdr:nvSpPr>
        <xdr:spPr>
          <a:xfrm>
            <a:off x="3985" y="2436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1" name="矩形 1080"/>
          <xdr:cNvSpPr/>
        </xdr:nvSpPr>
        <xdr:spPr>
          <a:xfrm>
            <a:off x="4025" y="2436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2" name="矩形 1081"/>
          <xdr:cNvSpPr/>
        </xdr:nvSpPr>
        <xdr:spPr>
          <a:xfrm>
            <a:off x="1145" y="24959"/>
            <a:ext cx="290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DD20210813003</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twoCellAnchor>
    <xdr:from>
      <xdr:col>2</xdr:col>
      <xdr:colOff>0</xdr:colOff>
      <xdr:row>10</xdr:row>
      <xdr:rowOff>1771650</xdr:rowOff>
    </xdr:from>
    <xdr:to>
      <xdr:col>3</xdr:col>
      <xdr:colOff>1117600</xdr:colOff>
      <xdr:row>11</xdr:row>
      <xdr:rowOff>534035</xdr:rowOff>
    </xdr:to>
    <xdr:grpSp>
      <xdr:nvGrpSpPr>
        <xdr:cNvPr id="1105" name="组合 1104"/>
        <xdr:cNvGrpSpPr/>
      </xdr:nvGrpSpPr>
      <xdr:grpSpPr>
        <a:xfrm>
          <a:off x="609600" y="17265015"/>
          <a:ext cx="1117600" cy="540385"/>
          <a:chOff x="945" y="27090"/>
          <a:chExt cx="1760" cy="841"/>
        </a:xfrm>
      </xdr:grpSpPr>
      <xdr:sp>
        <xdr:nvSpPr>
          <xdr:cNvPr id="1084" name="矩形 1083"/>
          <xdr:cNvSpPr/>
        </xdr:nvSpPr>
        <xdr:spPr>
          <a:xfrm>
            <a:off x="945" y="27090"/>
            <a:ext cx="1760" cy="80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5" name="矩形 1084"/>
          <xdr:cNvSpPr/>
        </xdr:nvSpPr>
        <xdr:spPr>
          <a:xfrm>
            <a:off x="116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6" name="矩形 1085"/>
          <xdr:cNvSpPr/>
        </xdr:nvSpPr>
        <xdr:spPr>
          <a:xfrm>
            <a:off x="122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7" name="矩形 1086"/>
          <xdr:cNvSpPr/>
        </xdr:nvSpPr>
        <xdr:spPr>
          <a:xfrm>
            <a:off x="128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8" name="矩形 1087"/>
          <xdr:cNvSpPr/>
        </xdr:nvSpPr>
        <xdr:spPr>
          <a:xfrm>
            <a:off x="138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89" name="矩形 1088"/>
          <xdr:cNvSpPr/>
        </xdr:nvSpPr>
        <xdr:spPr>
          <a:xfrm>
            <a:off x="142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0" name="矩形 1089"/>
          <xdr:cNvSpPr/>
        </xdr:nvSpPr>
        <xdr:spPr>
          <a:xfrm>
            <a:off x="150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1" name="矩形 1090"/>
          <xdr:cNvSpPr/>
        </xdr:nvSpPr>
        <xdr:spPr>
          <a:xfrm>
            <a:off x="160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2" name="矩形 1091"/>
          <xdr:cNvSpPr/>
        </xdr:nvSpPr>
        <xdr:spPr>
          <a:xfrm>
            <a:off x="168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3" name="矩形 1092"/>
          <xdr:cNvSpPr/>
        </xdr:nvSpPr>
        <xdr:spPr>
          <a:xfrm>
            <a:off x="176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4" name="矩形 1093"/>
          <xdr:cNvSpPr/>
        </xdr:nvSpPr>
        <xdr:spPr>
          <a:xfrm>
            <a:off x="182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5" name="矩形 1094"/>
          <xdr:cNvSpPr/>
        </xdr:nvSpPr>
        <xdr:spPr>
          <a:xfrm>
            <a:off x="190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6" name="矩形 1095"/>
          <xdr:cNvSpPr/>
        </xdr:nvSpPr>
        <xdr:spPr>
          <a:xfrm>
            <a:off x="196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7" name="矩形 1096"/>
          <xdr:cNvSpPr/>
        </xdr:nvSpPr>
        <xdr:spPr>
          <a:xfrm>
            <a:off x="204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8" name="矩形 1097"/>
          <xdr:cNvSpPr/>
        </xdr:nvSpPr>
        <xdr:spPr>
          <a:xfrm>
            <a:off x="212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099" name="矩形 1098"/>
          <xdr:cNvSpPr/>
        </xdr:nvSpPr>
        <xdr:spPr>
          <a:xfrm>
            <a:off x="218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0" name="矩形 1099"/>
          <xdr:cNvSpPr/>
        </xdr:nvSpPr>
        <xdr:spPr>
          <a:xfrm>
            <a:off x="226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1" name="矩形 1100"/>
          <xdr:cNvSpPr/>
        </xdr:nvSpPr>
        <xdr:spPr>
          <a:xfrm>
            <a:off x="2365" y="27150"/>
            <a:ext cx="6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2" name="矩形 1101"/>
          <xdr:cNvSpPr/>
        </xdr:nvSpPr>
        <xdr:spPr>
          <a:xfrm>
            <a:off x="2445" y="27150"/>
            <a:ext cx="2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3" name="矩形 1102"/>
          <xdr:cNvSpPr/>
        </xdr:nvSpPr>
        <xdr:spPr>
          <a:xfrm>
            <a:off x="2485" y="27150"/>
            <a:ext cx="40" cy="600"/>
          </a:xfrm>
          <a:prstGeom prst="rect">
            <a:avLst/>
          </a:prstGeom>
          <a:gradFill>
            <a:gsLst>
              <a:gs pos="0">
                <a:srgbClr val="000000"/>
              </a:gs>
              <a:gs pos="100000">
                <a:srgbClr val="034373"/>
              </a:gs>
            </a:gsLst>
            <a:lin scaled="0"/>
          </a:gradFill>
          <a:ln w="12700" cap="flat" cmpd="sng" algn="ctr">
            <a:noFill/>
            <a:prstDash val="solid"/>
            <a:miter lim="800000"/>
          </a:ln>
          <a:extLs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sp>
        <xdr:nvSpPr>
          <xdr:cNvPr id="1104" name="矩形 1103"/>
          <xdr:cNvSpPr/>
        </xdr:nvSpPr>
        <xdr:spPr>
          <a:xfrm>
            <a:off x="1145" y="27749"/>
            <a:ext cx="1360" cy="182"/>
          </a:xfrm>
          <a:prstGeom prst="rect">
            <a:avLst/>
          </a:prstGeom>
          <a:no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cap="flat" cmpd="sng" algn="ctr">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tIns="0" bIns="0" rtlCol="0" anchor="ctr" anchorCtr="1">
            <a:spAutoFit/>
          </a:bodyPr>
          <a:p>
            <a:pPr algn="ctr"/>
            <a:r>
              <a:rPr lang="zh-CN" altLang="en-US" sz="700" b="1" spc="400">
                <a:solidFill>
                  <a:srgbClr val="000000"/>
                </a:solidFill>
                <a:latin typeface="Arial" panose="020B0604020202020204" pitchFamily="7" charset="0"/>
                <a:ea typeface="等线" panose="02010600030101010101" charset="-122"/>
                <a:cs typeface="Arial" panose="020B0604020202020204" pitchFamily="7" charset="0"/>
              </a:rPr>
              <a:t>122223</a:t>
            </a:r>
            <a:endParaRPr lang="zh-CN" altLang="en-US" sz="700" b="1" spc="400">
              <a:solidFill>
                <a:srgbClr val="000000"/>
              </a:solidFill>
              <a:latin typeface="Arial" panose="020B0604020202020204" pitchFamily="7" charset="0"/>
              <a:ea typeface="等线" panose="02010600030101010101" charset="-122"/>
              <a:cs typeface="Arial" panose="020B0604020202020204" pitchFamily="7" charset="0"/>
            </a:endParaRPr>
          </a:p>
        </xdr:txBody>
      </xdr:sp>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4" workbookViewId="0">
      <selection activeCell="A1" sqref="A1"/>
    </sheetView>
  </sheetViews>
  <sheetFormatPr defaultColWidth="3.625" defaultRowHeight="17.1" customHeight="1"/>
  <cols>
    <col min="1" max="1" width="3.625" style="94" customWidth="1"/>
    <col min="2" max="16384" width="3.625" style="94"/>
  </cols>
  <sheetData>
    <row r="4" customHeight="1" spans="1:42">
      <c r="A4" s="95"/>
      <c r="B4" s="95"/>
      <c r="C4" s="95"/>
      <c r="D4" s="95"/>
      <c r="E4" s="95"/>
      <c r="F4" s="95"/>
      <c r="G4" s="95"/>
      <c r="H4" s="95"/>
      <c r="I4" s="95"/>
      <c r="J4" s="95"/>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row>
    <row r="5" customHeight="1" spans="1:42">
      <c r="A5" s="95"/>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row>
    <row r="6" customHeight="1" spans="1:42">
      <c r="A6" s="96"/>
      <c r="B6" s="96"/>
      <c r="C6" s="96"/>
      <c r="D6" s="96"/>
      <c r="E6" s="96"/>
      <c r="F6" s="96"/>
      <c r="G6" s="96"/>
      <c r="H6" s="97"/>
      <c r="I6" s="97"/>
      <c r="J6" s="97"/>
      <c r="K6" s="97"/>
      <c r="L6" s="97"/>
      <c r="M6" s="97"/>
      <c r="N6" s="97"/>
      <c r="O6" s="97"/>
      <c r="P6" s="97"/>
      <c r="Q6" s="97"/>
      <c r="R6" s="96"/>
      <c r="S6" s="96"/>
      <c r="T6" s="96"/>
      <c r="U6" s="96"/>
      <c r="V6" s="96"/>
      <c r="W6" s="96"/>
      <c r="X6" s="96"/>
      <c r="Y6" s="96"/>
      <c r="Z6" s="96"/>
      <c r="AA6" s="96"/>
      <c r="AB6" s="96"/>
      <c r="AC6" s="96"/>
      <c r="AD6" s="96"/>
      <c r="AE6" s="96"/>
      <c r="AF6" s="96"/>
      <c r="AG6" s="96"/>
      <c r="AH6" s="96"/>
      <c r="AI6" s="96"/>
      <c r="AJ6" s="96"/>
      <c r="AK6" s="96"/>
      <c r="AL6" s="96"/>
      <c r="AM6" s="96"/>
      <c r="AN6" s="96"/>
      <c r="AO6" s="96"/>
      <c r="AP6" s="96"/>
    </row>
    <row r="7" customHeight="1" spans="1:42">
      <c r="E7" s="98"/>
      <c r="F7" s="98"/>
      <c r="G7" s="98"/>
      <c r="H7" s="99"/>
      <c r="I7" s="99"/>
      <c r="J7" s="99"/>
      <c r="K7" s="99"/>
      <c r="L7" s="99"/>
      <c r="M7" s="99"/>
      <c r="N7" s="100"/>
      <c r="O7" s="100"/>
      <c r="P7" s="100"/>
      <c r="Q7" s="100"/>
      <c r="T7" s="100"/>
      <c r="U7" s="100"/>
      <c r="V7" s="100"/>
      <c r="W7" s="100"/>
    </row>
    <row r="8" customHeight="1" spans="1:42">
      <c r="H8" s="100"/>
      <c r="I8" s="100"/>
      <c r="J8" s="100"/>
      <c r="K8" s="100"/>
      <c r="L8" s="100"/>
      <c r="M8" s="100"/>
      <c r="N8" s="100"/>
      <c r="O8" s="100"/>
      <c r="P8" s="100"/>
      <c r="Q8" s="100"/>
      <c r="T8" s="100"/>
      <c r="U8" s="100"/>
      <c r="V8" s="100"/>
      <c r="W8" s="100"/>
    </row>
    <row r="9" customHeight="1" spans="1:42">
      <c r="H9" s="100"/>
      <c r="I9" s="100"/>
      <c r="J9" s="100"/>
      <c r="K9" s="100"/>
      <c r="L9" s="100"/>
      <c r="M9" s="100"/>
      <c r="N9" s="100"/>
      <c r="O9" s="100"/>
      <c r="P9" s="100"/>
      <c r="Q9" s="100"/>
      <c r="R9" s="100"/>
      <c r="S9" s="100"/>
      <c r="T9" s="100"/>
      <c r="U9" s="100"/>
      <c r="V9" s="100"/>
      <c r="W9" s="100"/>
    </row>
    <row r="10" customHeight="1" spans="1:42">
      <c r="Q10" s="100"/>
      <c r="R10" s="100"/>
      <c r="S10" s="100"/>
      <c r="T10" s="100"/>
      <c r="U10" s="100"/>
      <c r="V10" s="100"/>
      <c r="W10" s="100"/>
    </row>
    <row r="11" customHeight="1" spans="1:42">
      <c r="Q11" s="100"/>
      <c r="R11" s="100"/>
      <c r="S11" s="100"/>
      <c r="T11" s="100"/>
      <c r="U11" s="100"/>
      <c r="V11" s="100"/>
      <c r="W11" s="100"/>
    </row>
    <row r="12" customHeight="1" spans="1:42">
      <c r="Q12" s="100"/>
      <c r="R12" s="100"/>
      <c r="S12" s="100"/>
      <c r="T12" s="100"/>
      <c r="U12" s="100"/>
      <c r="V12" s="100"/>
      <c r="W12" s="100"/>
    </row>
    <row r="13" customHeight="1" spans="1:42">
      <c r="Q13" s="100"/>
      <c r="R13" s="100"/>
      <c r="S13" s="100"/>
      <c r="T13" s="100"/>
      <c r="U13" s="100"/>
      <c r="V13" s="100"/>
      <c r="W13" s="100"/>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76" customWidth="1"/>
    <col min="2" max="2" width="2.625" style="77" customWidth="1"/>
    <col min="3" max="3" width="15.25" style="78" customWidth="1"/>
    <col min="4" max="4" width="19.125" style="79" customWidth="1"/>
    <col min="5" max="5" width="10.5" style="79" customWidth="1"/>
    <col min="6" max="8" width="24.625" style="79" customWidth="1"/>
    <col min="9" max="9" width="2.625" style="77" customWidth="1"/>
    <col min="10" max="10" width="4.25" style="76" customWidth="1"/>
    <col min="11" max="16384" width="9" style="76"/>
  </cols>
  <sheetData>
    <row r="1" s="74" customFormat="1" ht="54.95" customHeight="1" spans="1:10">
      <c r="A1" s="80"/>
      <c r="C1" s="81"/>
      <c r="J1" s="82"/>
    </row>
    <row r="2" ht="15.95" customHeight="1" spans="1:10">
      <c r="B2" s="76"/>
      <c r="C2" s="83"/>
      <c r="D2" s="76"/>
      <c r="E2" s="76"/>
      <c r="F2" s="76"/>
      <c r="G2" s="76"/>
      <c r="H2" s="76"/>
      <c r="I2" s="76"/>
    </row>
    <row r="3" ht="15.95" customHeight="1" spans="1:10">
      <c r="C3" s="84"/>
      <c r="D3" s="77"/>
      <c r="E3" s="77"/>
      <c r="F3" s="77"/>
      <c r="G3" s="77"/>
      <c r="H3" s="77"/>
    </row>
    <row r="4" ht="75.95" customHeight="1" spans="1:10">
      <c r="C4" s="85" t="s">
        <v>0</v>
      </c>
      <c r="D4" s="86"/>
      <c r="E4" s="86"/>
      <c r="F4" s="87">
        <f>D7</f>
        <v>1</v>
      </c>
      <c r="G4" s="88" t="s">
        <v>1</v>
      </c>
      <c r="H4" s="88"/>
    </row>
    <row r="5" ht="6" customHeight="1" spans="1:10">
      <c r="C5" s="89"/>
      <c r="D5" s="86"/>
      <c r="E5" s="86"/>
      <c r="F5" s="90"/>
      <c r="G5" s="90"/>
      <c r="H5" s="90"/>
    </row>
    <row r="6" s="75" customFormat="1" ht="9" customHeight="1" spans="1:10">
      <c r="B6" s="77"/>
      <c r="C6" s="91"/>
      <c r="D6" s="92"/>
      <c r="E6" s="92"/>
      <c r="F6" s="93"/>
      <c r="G6" s="93"/>
      <c r="H6" s="93"/>
      <c r="I6" s="77"/>
    </row>
    <row r="7" hidden="1" customHeight="1" spans="1:10">
      <c r="B7" s="77" t="s">
        <v>2</v>
      </c>
      <c r="D7" s="79">
        <v>1</v>
      </c>
    </row>
    <row r="8" customHeight="1" spans="1:10">
      <c r="C8" s="78" t="s">
        <v>3</v>
      </c>
      <c r="D8" s="79" t="s">
        <v>4</v>
      </c>
    </row>
    <row r="9" customHeight="1" spans="1:10">
      <c r="C9" s="78" t="s">
        <v>5</v>
      </c>
      <c r="D9" s="79" t="s">
        <v>6</v>
      </c>
    </row>
    <row r="18" hidden="1" customHeight="1" spans="3:4">
      <c r="C18" s="78" t="s">
        <v>3</v>
      </c>
      <c r="D18" s="79" t="s">
        <v>7</v>
      </c>
    </row>
    <row r="19" hidden="1" customHeight="1" spans="3:4">
      <c r="C19" s="78" t="s">
        <v>5</v>
      </c>
      <c r="D19" s="79" t="s">
        <v>8</v>
      </c>
    </row>
    <row r="20" hidden="1" customHeight="1" spans="3:4">
      <c r="C20" s="78" t="s">
        <v>9</v>
      </c>
      <c r="D20" s="79" t="s">
        <v>10</v>
      </c>
    </row>
    <row r="21" hidden="1" customHeight="1"/>
    <row r="22" hidden="1" customHeight="1"/>
    <row r="23" hidden="1" customHeight="1"/>
    <row r="24" hidden="1" customHeight="1"/>
    <row r="25" hidden="1" customHeight="1"/>
    <row r="26" hidden="1" customHeight="1"/>
    <row r="27" hidden="1" customHeight="1"/>
    <row r="28" hidden="1" customHeight="1" spans="3:4">
      <c r="C28" s="78" t="s">
        <v>3</v>
      </c>
      <c r="D28" s="79" t="s">
        <v>11</v>
      </c>
    </row>
    <row r="29" hidden="1" customHeight="1" spans="3:4">
      <c r="C29" s="78" t="s">
        <v>5</v>
      </c>
      <c r="D29" s="79" t="s">
        <v>12</v>
      </c>
    </row>
    <row r="30" hidden="1" customHeight="1" spans="3:4">
      <c r="C30" s="78" t="s">
        <v>9</v>
      </c>
      <c r="D30" s="79" t="s">
        <v>10</v>
      </c>
    </row>
    <row r="31" hidden="1" customHeight="1"/>
    <row r="32" hidden="1" customHeight="1"/>
    <row r="33" hidden="1" customHeight="1"/>
    <row r="34" hidden="1" customHeight="1"/>
    <row r="35" hidden="1" customHeight="1"/>
    <row r="36" hidden="1" customHeight="1"/>
    <row r="37" hidden="1" customHeight="1"/>
    <row r="38" hidden="1" customHeight="1" spans="3:4">
      <c r="C38" s="78" t="s">
        <v>3</v>
      </c>
      <c r="D38" s="79" t="s">
        <v>13</v>
      </c>
    </row>
    <row r="39" hidden="1" customHeight="1" spans="3:4">
      <c r="C39" s="78" t="s">
        <v>5</v>
      </c>
      <c r="D39" s="79" t="s">
        <v>14</v>
      </c>
    </row>
    <row r="40" hidden="1" customHeight="1" spans="3:4">
      <c r="C40" s="78" t="s">
        <v>9</v>
      </c>
      <c r="D40" s="79" t="s">
        <v>12</v>
      </c>
    </row>
    <row r="41" hidden="1" customHeight="1"/>
    <row r="42" hidden="1" customHeight="1"/>
    <row r="43" hidden="1" customHeight="1"/>
    <row r="44" hidden="1" customHeight="1"/>
    <row r="45" hidden="1" customHeight="1"/>
    <row r="46" hidden="1" customHeight="1"/>
    <row r="47" hidden="1" customHeight="1"/>
    <row r="48" hidden="1" customHeight="1" spans="3:4">
      <c r="C48" s="78" t="s">
        <v>3</v>
      </c>
      <c r="D48" s="79"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8" t="s">
        <v>3</v>
      </c>
      <c r="D58" s="79" t="s">
        <v>16</v>
      </c>
    </row>
    <row r="59" hidden="1" customHeight="1" spans="3:4">
      <c r="D59" s="79"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8" t="s">
        <v>3</v>
      </c>
      <c r="D68" s="79" t="s">
        <v>18</v>
      </c>
    </row>
    <row r="69" hidden="1" customHeight="1" spans="3:4">
      <c r="C69" s="78" t="s">
        <v>5</v>
      </c>
      <c r="D69" s="79" t="s">
        <v>19</v>
      </c>
    </row>
    <row r="70" hidden="1" customHeight="1" spans="3:4">
      <c r="C70" s="78" t="s">
        <v>9</v>
      </c>
      <c r="D70" s="79" t="s">
        <v>20</v>
      </c>
    </row>
    <row r="71" hidden="1" customHeight="1" spans="3:4">
      <c r="C71" s="78" t="s">
        <v>21</v>
      </c>
      <c r="D71" s="79" t="s">
        <v>22</v>
      </c>
    </row>
    <row r="72" hidden="1" customHeight="1"/>
    <row r="73" hidden="1" customHeight="1"/>
    <row r="74" hidden="1" customHeight="1"/>
    <row r="75" hidden="1" customHeight="1"/>
    <row r="76" hidden="1" customHeight="1"/>
    <row r="77" hidden="1" customHeight="1"/>
    <row r="78" hidden="1" customHeight="1" spans="3:4">
      <c r="C78" s="7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cols>
    <col min="1" max="1" width="9.375"/>
    <col min="3" max="3" width="11.5"/>
  </cols>
  <sheetData>
    <row r="1" spans="1:5">
      <c r="A1" s="73">
        <v>58441</v>
      </c>
      <c r="C1" s="73">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sheetView>
  </sheetViews>
  <sheetFormatPr defaultColWidth="9" defaultRowHeight="20.1" customHeight="1" outlineLevelRow="4"/>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H2" s="65"/>
      <c r="I2" s="36" t="s">
        <v>24</v>
      </c>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K5" s="30"/>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H11" sqref="H11"/>
    </sheetView>
  </sheetViews>
  <sheetFormatPr defaultColWidth="9" defaultRowHeight="20.1" customHeight="1" outlineLevelRow="3"/>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G2" s="36" t="s">
        <v>33</v>
      </c>
      <c r="H2" s="36"/>
      <c r="I2" s="36" t="s">
        <v>24</v>
      </c>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34</v>
      </c>
      <c r="J4" s="46"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35</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0</v>
      </c>
      <c r="K5" s="30"/>
    </row>
    <row r="6" customHeight="1" spans="1:11">
      <c r="C6" s="63">
        <v>2</v>
      </c>
      <c r="D6" s="63" t="s">
        <v>40</v>
      </c>
      <c r="E6" s="63" t="s">
        <v>41</v>
      </c>
      <c r="F6" s="63" t="s">
        <v>42</v>
      </c>
      <c r="G6" s="63" t="s">
        <v>43</v>
      </c>
      <c r="J6" s="63">
        <v>3</v>
      </c>
    </row>
    <row r="7" customHeight="1" spans="1:11">
      <c r="C7" s="63">
        <v>3</v>
      </c>
      <c r="D7" s="63" t="s">
        <v>44</v>
      </c>
      <c r="E7" s="63" t="s">
        <v>45</v>
      </c>
      <c r="F7" s="63" t="s">
        <v>46</v>
      </c>
      <c r="G7" s="63" t="s">
        <v>47</v>
      </c>
      <c r="J7" s="63">
        <v>0</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10</v>
      </c>
    </row>
    <row r="10" customHeight="1" spans="1:11">
      <c r="C10" s="63">
        <v>6</v>
      </c>
      <c r="D10" s="63" t="s">
        <v>52</v>
      </c>
      <c r="E10" s="63" t="s">
        <v>53</v>
      </c>
      <c r="F10" s="63" t="s">
        <v>54</v>
      </c>
      <c r="G10" s="63" t="s">
        <v>43</v>
      </c>
      <c r="J10" s="63">
        <v>1</v>
      </c>
    </row>
    <row r="11" customHeight="1" spans="1:11">
      <c r="C11" s="63">
        <v>7</v>
      </c>
      <c r="D11" s="63" t="s">
        <v>55</v>
      </c>
      <c r="E11" s="63" t="s">
        <v>56</v>
      </c>
      <c r="F11" s="63" t="s">
        <v>57</v>
      </c>
      <c r="G11" s="63" t="s">
        <v>58</v>
      </c>
      <c r="J11" s="63">
        <v>-3</v>
      </c>
    </row>
    <row r="12" customHeight="1" spans="1:11">
      <c r="C12" s="63">
        <v>8</v>
      </c>
      <c r="D12" s="63" t="s">
        <v>59</v>
      </c>
      <c r="E12" s="63" t="s">
        <v>60</v>
      </c>
      <c r="F12" s="63" t="s">
        <v>61</v>
      </c>
      <c r="G12" s="63" t="s">
        <v>62</v>
      </c>
      <c r="J12" s="63">
        <v>0</v>
      </c>
    </row>
    <row r="13" customHeight="1" spans="1:11">
      <c r="C13" s="63">
        <v>9</v>
      </c>
      <c r="D13" s="63" t="s">
        <v>63</v>
      </c>
      <c r="E13" s="63" t="s">
        <v>50</v>
      </c>
      <c r="F13" s="63" t="s">
        <v>42</v>
      </c>
      <c r="G13" s="63" t="s">
        <v>62</v>
      </c>
      <c r="J13" s="63">
        <v>-2</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9" width="16.875" style="63" customWidth="1"/>
    <col min="10" max="10" width="3.375" style="4" customWidth="1"/>
    <col min="11" max="16384" width="9" style="3"/>
  </cols>
  <sheetData>
    <row r="1" s="1" customFormat="1" ht="60" customHeight="1" spans="1:10">
      <c r="A1" s="7"/>
    </row>
    <row r="2" s="2" customFormat="1" ht="39.95" customHeight="1" spans="1:10">
      <c r="C2" s="64" t="s">
        <v>64</v>
      </c>
      <c r="H2" s="65"/>
      <c r="I2" s="36"/>
    </row>
    <row r="3" s="2" customFormat="1" customHeight="1" spans="1:10">
      <c r="B3" s="9"/>
      <c r="C3" s="66"/>
      <c r="D3" s="66"/>
      <c r="E3" s="66"/>
      <c r="F3" s="66"/>
      <c r="G3" s="66"/>
      <c r="H3" s="66"/>
      <c r="I3" s="66"/>
      <c r="J3" s="9"/>
    </row>
    <row r="4" s="2" customFormat="1" ht="30" customHeight="1" spans="1:10">
      <c r="B4" s="9"/>
      <c r="C4" s="46" t="s">
        <v>25</v>
      </c>
      <c r="D4" s="46" t="s">
        <v>26</v>
      </c>
      <c r="E4" s="46" t="s">
        <v>27</v>
      </c>
      <c r="F4" s="46" t="s">
        <v>28</v>
      </c>
      <c r="G4" s="46" t="s">
        <v>29</v>
      </c>
      <c r="H4" s="46" t="s">
        <v>32</v>
      </c>
      <c r="I4" s="46" t="s">
        <v>65</v>
      </c>
      <c r="J4" s="9"/>
    </row>
    <row r="5" customHeight="1" spans="1:10">
      <c r="C5" s="63">
        <v>1</v>
      </c>
      <c r="D5" s="63" t="s">
        <v>36</v>
      </c>
      <c r="E5" s="63" t="s">
        <v>37</v>
      </c>
      <c r="F5" s="63" t="s">
        <v>38</v>
      </c>
      <c r="G5" s="63" t="s">
        <v>39</v>
      </c>
      <c r="H5" s="63">
        <v>10</v>
      </c>
    </row>
    <row r="6" customHeight="1" spans="1:10">
      <c r="C6" s="63">
        <v>2</v>
      </c>
      <c r="D6" s="63" t="s">
        <v>40</v>
      </c>
      <c r="E6" s="63" t="s">
        <v>41</v>
      </c>
      <c r="F6" s="63" t="s">
        <v>42</v>
      </c>
      <c r="G6" s="63" t="s">
        <v>43</v>
      </c>
      <c r="H6" s="63">
        <v>1</v>
      </c>
    </row>
    <row r="7" customHeight="1" spans="1:10">
      <c r="C7" s="63">
        <v>3</v>
      </c>
      <c r="D7" s="63" t="s">
        <v>44</v>
      </c>
      <c r="E7" s="63" t="s">
        <v>45</v>
      </c>
      <c r="F7" s="63" t="s">
        <v>46</v>
      </c>
      <c r="G7" s="63" t="s">
        <v>47</v>
      </c>
      <c r="H7" s="63">
        <v>12</v>
      </c>
    </row>
    <row r="8" customHeight="1" spans="1:10">
      <c r="C8" s="63">
        <v>4</v>
      </c>
      <c r="D8" s="63" t="s">
        <v>48</v>
      </c>
      <c r="E8" s="63">
        <v>778899</v>
      </c>
      <c r="F8" s="63" t="s">
        <v>46</v>
      </c>
      <c r="G8" s="63" t="s">
        <v>47</v>
      </c>
      <c r="H8" s="63">
        <v>0</v>
      </c>
    </row>
    <row r="9" customHeight="1" spans="1:10">
      <c r="C9" s="63">
        <v>5</v>
      </c>
      <c r="D9" s="63" t="s">
        <v>49</v>
      </c>
      <c r="E9" s="63" t="s">
        <v>50</v>
      </c>
      <c r="F9" s="63" t="s">
        <v>51</v>
      </c>
      <c r="G9" s="63" t="s">
        <v>43</v>
      </c>
      <c r="H9" s="63">
        <v>0</v>
      </c>
    </row>
    <row r="10" customHeight="1" spans="1:10">
      <c r="C10" s="63">
        <v>6</v>
      </c>
      <c r="D10" s="63" t="s">
        <v>52</v>
      </c>
      <c r="E10" s="63" t="s">
        <v>53</v>
      </c>
      <c r="F10" s="63" t="s">
        <v>54</v>
      </c>
      <c r="G10" s="63" t="s">
        <v>43</v>
      </c>
      <c r="H10" s="63">
        <v>0</v>
      </c>
    </row>
    <row r="11" customHeight="1" spans="1:10">
      <c r="C11" s="63">
        <v>7</v>
      </c>
      <c r="D11" s="63" t="s">
        <v>55</v>
      </c>
      <c r="E11" s="63" t="s">
        <v>56</v>
      </c>
      <c r="F11" s="63" t="s">
        <v>57</v>
      </c>
      <c r="G11" s="63" t="s">
        <v>58</v>
      </c>
      <c r="H11" s="63">
        <v>0</v>
      </c>
    </row>
    <row r="12" customHeight="1" spans="1:10">
      <c r="C12" s="63">
        <v>8</v>
      </c>
      <c r="D12" s="63" t="s">
        <v>59</v>
      </c>
      <c r="E12" s="63" t="s">
        <v>60</v>
      </c>
      <c r="F12" s="63" t="s">
        <v>61</v>
      </c>
      <c r="G12" s="63" t="s">
        <v>62</v>
      </c>
      <c r="H12" s="63">
        <v>0</v>
      </c>
    </row>
    <row r="13" customHeight="1" spans="1:10">
      <c r="C13" s="63">
        <v>9</v>
      </c>
      <c r="D13" s="63" t="s">
        <v>63</v>
      </c>
      <c r="E13" s="63" t="s">
        <v>50</v>
      </c>
      <c r="F13" s="63" t="s">
        <v>42</v>
      </c>
      <c r="G13" s="63" t="s">
        <v>62</v>
      </c>
      <c r="H13" s="63">
        <v>4</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3"/>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64</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13</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0</v>
      </c>
    </row>
    <row r="11" customHeight="1" spans="1:11">
      <c r="C11" s="63">
        <v>7</v>
      </c>
      <c r="D11" s="63" t="s">
        <v>55</v>
      </c>
      <c r="E11" s="63" t="s">
        <v>56</v>
      </c>
      <c r="F11" s="63" t="s">
        <v>57</v>
      </c>
      <c r="G11" s="63" t="s">
        <v>58</v>
      </c>
      <c r="J11" s="63">
        <v>0</v>
      </c>
    </row>
    <row r="12" customHeight="1" spans="1:11">
      <c r="C12" s="63">
        <v>8</v>
      </c>
      <c r="D12" s="63" t="s">
        <v>59</v>
      </c>
      <c r="E12" s="63" t="s">
        <v>60</v>
      </c>
      <c r="F12" s="63" t="s">
        <v>61</v>
      </c>
      <c r="G12" s="63" t="s">
        <v>62</v>
      </c>
      <c r="J12" s="63">
        <v>0</v>
      </c>
    </row>
    <row r="13" customHeight="1" spans="1:11">
      <c r="C13" s="63">
        <v>9</v>
      </c>
      <c r="D13" s="63" t="s">
        <v>63</v>
      </c>
      <c r="E13" s="63" t="s">
        <v>50</v>
      </c>
      <c r="F13" s="63" t="s">
        <v>42</v>
      </c>
      <c r="G13" s="63" t="s">
        <v>62</v>
      </c>
      <c r="J13"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13"/>
  <sheetViews>
    <sheetView showGridLines="0" workbookViewId="0">
      <pane ySplit="4" topLeftCell="A5" activePane="bottomLeft" state="frozen"/>
      <selection/>
      <selection pane="bottomLeft" activeCell="H6" sqref="H6"/>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64</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10</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0</v>
      </c>
    </row>
    <row r="11" customHeight="1" spans="1:11">
      <c r="C11" s="63">
        <v>7</v>
      </c>
      <c r="D11" s="63" t="s">
        <v>55</v>
      </c>
      <c r="E11" s="63" t="s">
        <v>56</v>
      </c>
      <c r="F11" s="63" t="s">
        <v>57</v>
      </c>
      <c r="G11" s="63" t="s">
        <v>58</v>
      </c>
      <c r="J11" s="63">
        <v>0</v>
      </c>
    </row>
    <row r="12" customHeight="1" spans="1:11">
      <c r="C12" s="63">
        <v>8</v>
      </c>
      <c r="D12" s="63" t="s">
        <v>59</v>
      </c>
      <c r="E12" s="63" t="s">
        <v>60</v>
      </c>
      <c r="F12" s="63" t="s">
        <v>61</v>
      </c>
      <c r="G12" s="63" t="s">
        <v>62</v>
      </c>
      <c r="J12" s="63">
        <v>0</v>
      </c>
    </row>
    <row r="13" customHeight="1" spans="1:11">
      <c r="C13" s="63">
        <v>9</v>
      </c>
      <c r="D13" s="63" t="s">
        <v>63</v>
      </c>
      <c r="E13" s="63" t="s">
        <v>50</v>
      </c>
      <c r="F13" s="63" t="s">
        <v>42</v>
      </c>
      <c r="G13" s="63" t="s">
        <v>62</v>
      </c>
      <c r="J13"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V32"/>
  <sheetViews>
    <sheetView showGridLines="0" workbookViewId="0">
      <pane ySplit="4" topLeftCell="A8" activePane="bottomLeft" state="frozen"/>
      <selection/>
      <selection pane="bottomLeft" activeCell="I10" sqref="I10"/>
    </sheetView>
  </sheetViews>
  <sheetFormatPr defaultColWidth="9" defaultRowHeight="20.1" customHeight="1"/>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22">
      <c r="B2" s="67"/>
      <c r="G2" s="65"/>
    </row>
    <row r="3" s="2" customFormat="1" customHeight="1" spans="1:22">
      <c r="A3" s="9"/>
      <c r="B3" s="66"/>
      <c r="C3" s="66"/>
      <c r="D3" s="66"/>
      <c r="E3" s="66"/>
      <c r="F3" s="66"/>
      <c r="G3" s="66"/>
      <c r="H3" s="9"/>
      <c r="J3" s="68" t="s">
        <v>66</v>
      </c>
      <c r="K3" s="68" t="s">
        <v>67</v>
      </c>
      <c r="L3" s="68" t="s">
        <v>68</v>
      </c>
      <c r="M3" s="68" t="s">
        <v>69</v>
      </c>
      <c r="N3" s="69" t="s">
        <v>35</v>
      </c>
      <c r="O3" s="69" t="s">
        <v>64</v>
      </c>
      <c r="P3" s="69" t="s">
        <v>70</v>
      </c>
      <c r="Q3" s="69" t="s">
        <v>71</v>
      </c>
      <c r="R3" s="69" t="s">
        <v>72</v>
      </c>
      <c r="S3" s="69" t="s">
        <v>73</v>
      </c>
      <c r="T3" s="69" t="s">
        <v>74</v>
      </c>
      <c r="U3" s="69" t="s">
        <v>75</v>
      </c>
      <c r="V3" s="2">
        <v>12</v>
      </c>
    </row>
    <row r="4" s="2" customFormat="1" ht="30" customHeight="1" spans="1:22">
      <c r="A4" s="9"/>
      <c r="B4" s="46" t="s">
        <v>25</v>
      </c>
      <c r="C4" s="46" t="s">
        <v>76</v>
      </c>
      <c r="D4" s="46" t="s">
        <v>77</v>
      </c>
      <c r="E4" s="46" t="s">
        <v>78</v>
      </c>
      <c r="F4" s="46" t="s">
        <v>30</v>
      </c>
      <c r="G4" s="46" t="s">
        <v>79</v>
      </c>
      <c r="H4" s="9"/>
      <c r="J4" s="71">
        <v>28</v>
      </c>
      <c r="K4" s="71">
        <v>5103</v>
      </c>
      <c r="L4" s="72">
        <v>2.33333333333333</v>
      </c>
      <c r="M4" s="71">
        <v>12</v>
      </c>
      <c r="N4" s="69">
        <v>2</v>
      </c>
      <c r="O4" s="69">
        <v>31</v>
      </c>
      <c r="P4" s="69">
        <v>36</v>
      </c>
      <c r="Q4" s="69">
        <v>1</v>
      </c>
      <c r="R4" s="69">
        <v>187</v>
      </c>
      <c r="S4" s="69">
        <v>3</v>
      </c>
      <c r="T4" s="69">
        <v>5</v>
      </c>
      <c r="U4" s="69">
        <v>2</v>
      </c>
      <c r="V4" s="2">
        <v>48</v>
      </c>
    </row>
    <row r="5" customHeight="1" spans="1:22">
      <c r="B5" s="63">
        <v>1</v>
      </c>
      <c r="C5" s="63" t="s">
        <v>38</v>
      </c>
      <c r="D5" s="63" t="s">
        <v>36</v>
      </c>
      <c r="E5" s="63">
        <v>12</v>
      </c>
      <c r="F5" s="63">
        <v>2</v>
      </c>
      <c r="G5" s="63" t="s">
        <v>35</v>
      </c>
    </row>
    <row r="6" customHeight="1" spans="1:22">
      <c r="B6" s="63">
        <v>2</v>
      </c>
      <c r="C6" s="63" t="s">
        <v>80</v>
      </c>
      <c r="D6" s="63" t="s">
        <v>36</v>
      </c>
      <c r="E6" s="63">
        <v>1</v>
      </c>
      <c r="F6" s="63">
        <v>1</v>
      </c>
      <c r="G6" s="63" t="s">
        <v>64</v>
      </c>
    </row>
    <row r="7" customHeight="1" spans="1:22">
      <c r="B7" s="63">
        <v>3</v>
      </c>
      <c r="C7" s="63" t="s">
        <v>46</v>
      </c>
      <c r="D7" s="63" t="s">
        <v>44</v>
      </c>
      <c r="E7" s="63">
        <v>3</v>
      </c>
      <c r="F7" s="63">
        <v>12</v>
      </c>
      <c r="G7" s="63" t="s">
        <v>70</v>
      </c>
    </row>
    <row r="8" customHeight="1" spans="1:22">
      <c r="B8" s="63">
        <v>4</v>
      </c>
      <c r="C8" s="63" t="s">
        <v>38</v>
      </c>
      <c r="D8" s="63" t="s">
        <v>36</v>
      </c>
      <c r="E8" s="63">
        <v>1</v>
      </c>
      <c r="F8" s="63">
        <v>12</v>
      </c>
      <c r="G8" s="63" t="s">
        <v>64</v>
      </c>
    </row>
    <row r="9" customHeight="1" spans="1:22">
      <c r="B9" s="63">
        <v>5</v>
      </c>
      <c r="C9" s="63" t="s">
        <v>46</v>
      </c>
      <c r="D9" s="63" t="s">
        <v>48</v>
      </c>
      <c r="E9" s="63">
        <v>1</v>
      </c>
      <c r="F9" s="63">
        <v>12</v>
      </c>
      <c r="G9" s="63" t="s">
        <v>70</v>
      </c>
    </row>
    <row r="10" customHeight="1" spans="1:22">
      <c r="B10" s="63">
        <v>6</v>
      </c>
      <c r="C10" s="63" t="s">
        <v>61</v>
      </c>
      <c r="D10" s="63" t="s">
        <v>59</v>
      </c>
      <c r="E10" s="63">
        <v>2</v>
      </c>
      <c r="F10" s="63">
        <v>1</v>
      </c>
      <c r="G10" s="63" t="s">
        <v>64</v>
      </c>
    </row>
    <row r="11" customHeight="1" spans="1:22">
      <c r="B11" s="63">
        <v>7</v>
      </c>
      <c r="C11" s="63" t="s">
        <v>42</v>
      </c>
      <c r="D11" s="63" t="s">
        <v>40</v>
      </c>
      <c r="E11" s="63">
        <v>1</v>
      </c>
      <c r="F11" s="63">
        <v>1</v>
      </c>
      <c r="G11" s="63" t="s">
        <v>64</v>
      </c>
    </row>
    <row r="12" customHeight="1" spans="1:22">
      <c r="B12" s="63">
        <v>8</v>
      </c>
      <c r="C12" s="63" t="s">
        <v>46</v>
      </c>
      <c r="D12" s="63" t="s">
        <v>44</v>
      </c>
      <c r="E12" s="63">
        <v>1</v>
      </c>
      <c r="F12" s="63">
        <v>12</v>
      </c>
      <c r="G12" s="63" t="s">
        <v>64</v>
      </c>
    </row>
    <row r="13" customHeight="1" spans="1:22">
      <c r="B13" s="63">
        <v>9</v>
      </c>
      <c r="C13" s="63" t="s">
        <v>38</v>
      </c>
      <c r="D13" s="63" t="s">
        <v>36</v>
      </c>
      <c r="E13" s="63">
        <v>3</v>
      </c>
      <c r="F13" s="63">
        <v>12</v>
      </c>
      <c r="G13" s="63" t="s">
        <v>70</v>
      </c>
    </row>
    <row r="14" customHeight="1" spans="1:22">
      <c r="B14" s="63">
        <v>10</v>
      </c>
      <c r="C14" s="63">
        <v>111</v>
      </c>
      <c r="D14" s="63">
        <v>111</v>
      </c>
      <c r="E14" s="63">
        <v>4</v>
      </c>
      <c r="F14" s="63">
        <v>1</v>
      </c>
      <c r="G14" s="63" t="s">
        <v>64</v>
      </c>
    </row>
    <row r="15" customHeight="1" spans="1:22">
      <c r="B15" s="63">
        <v>11</v>
      </c>
      <c r="C15" s="63" t="s">
        <v>42</v>
      </c>
      <c r="D15" s="63" t="s">
        <v>63</v>
      </c>
      <c r="E15" s="63">
        <v>3</v>
      </c>
      <c r="F15" s="63">
        <v>1</v>
      </c>
      <c r="G15" s="63" t="s">
        <v>71</v>
      </c>
    </row>
    <row r="16" customHeight="1" spans="1:22">
      <c r="B16" s="63">
        <v>12</v>
      </c>
      <c r="C16" s="63" t="s">
        <v>42</v>
      </c>
      <c r="D16" s="63" t="s">
        <v>63</v>
      </c>
      <c r="E16" s="63">
        <v>22</v>
      </c>
      <c r="F16" s="63">
        <v>66</v>
      </c>
      <c r="G16" s="63" t="s">
        <v>72</v>
      </c>
    </row>
    <row r="17" customHeight="1" spans="2:7">
      <c r="B17" s="63">
        <v>13</v>
      </c>
      <c r="C17" s="63" t="s">
        <v>42</v>
      </c>
      <c r="D17" s="63" t="s">
        <v>63</v>
      </c>
      <c r="E17" s="63">
        <v>22</v>
      </c>
      <c r="F17" s="63">
        <v>66</v>
      </c>
      <c r="G17" s="63" t="s">
        <v>72</v>
      </c>
    </row>
    <row r="18" customHeight="1" spans="2:7">
      <c r="B18" s="63">
        <v>14</v>
      </c>
      <c r="C18" s="63" t="s">
        <v>42</v>
      </c>
      <c r="D18" s="63" t="s">
        <v>81</v>
      </c>
      <c r="E18" s="63">
        <v>22</v>
      </c>
      <c r="F18" s="63">
        <v>33</v>
      </c>
      <c r="G18" s="63" t="s">
        <v>72</v>
      </c>
    </row>
    <row r="19" customHeight="1" spans="2:7">
      <c r="B19" s="63">
        <v>15</v>
      </c>
      <c r="C19" s="63" t="s">
        <v>42</v>
      </c>
      <c r="D19" s="63" t="s">
        <v>82</v>
      </c>
      <c r="E19" s="63">
        <v>22</v>
      </c>
      <c r="F19" s="63">
        <v>11</v>
      </c>
      <c r="G19" s="63" t="s">
        <v>72</v>
      </c>
    </row>
    <row r="20" customHeight="1" spans="2:7">
      <c r="B20" s="63">
        <v>16</v>
      </c>
      <c r="C20" s="63" t="s">
        <v>83</v>
      </c>
      <c r="D20" s="63" t="s">
        <v>84</v>
      </c>
      <c r="E20" s="63">
        <v>22</v>
      </c>
      <c r="F20" s="63">
        <v>11</v>
      </c>
      <c r="G20" s="63" t="s">
        <v>72</v>
      </c>
    </row>
    <row r="21" customHeight="1" spans="2:7">
      <c r="B21" s="63">
        <v>17</v>
      </c>
      <c r="C21" s="63">
        <v>111</v>
      </c>
      <c r="D21" s="63">
        <v>111</v>
      </c>
      <c r="E21" s="63">
        <v>5</v>
      </c>
      <c r="F21" s="63">
        <v>3</v>
      </c>
      <c r="G21" s="63" t="s">
        <v>73</v>
      </c>
    </row>
    <row r="22" customHeight="1" spans="2:7">
      <c r="B22" s="63">
        <v>18</v>
      </c>
      <c r="C22" s="63">
        <v>111</v>
      </c>
      <c r="D22" s="63">
        <v>111</v>
      </c>
      <c r="E22" s="63">
        <v>3</v>
      </c>
      <c r="F22" s="63">
        <v>5</v>
      </c>
      <c r="G22" s="63" t="s">
        <v>74</v>
      </c>
    </row>
    <row r="23" customHeight="1" spans="2:7">
      <c r="B23" s="63">
        <v>19</v>
      </c>
      <c r="C23" s="63" t="s">
        <v>42</v>
      </c>
      <c r="D23" s="63" t="s">
        <v>40</v>
      </c>
      <c r="E23" s="63">
        <v>31</v>
      </c>
      <c r="F23" s="63">
        <v>2</v>
      </c>
      <c r="G23" s="63" t="s">
        <v>75</v>
      </c>
    </row>
    <row r="24" customHeight="1" spans="2:7">
      <c r="B24" s="63">
        <v>20</v>
      </c>
      <c r="C24" s="63" t="s">
        <v>42</v>
      </c>
      <c r="D24" s="63" t="s">
        <v>40</v>
      </c>
      <c r="E24" s="63">
        <v>22</v>
      </c>
      <c r="F24" s="63">
        <v>22</v>
      </c>
      <c r="G24" s="63">
        <v>12</v>
      </c>
    </row>
    <row r="25" customHeight="1" spans="2:7">
      <c r="B25" s="63">
        <v>21</v>
      </c>
      <c r="C25" s="63">
        <v>111</v>
      </c>
      <c r="D25" s="63">
        <v>111</v>
      </c>
      <c r="E25" s="63">
        <v>1</v>
      </c>
      <c r="F25" s="63">
        <v>1</v>
      </c>
      <c r="G25" s="63">
        <v>12</v>
      </c>
    </row>
    <row r="26" customHeight="1" spans="2:7">
      <c r="B26" s="63">
        <v>22</v>
      </c>
      <c r="C26" s="63">
        <v>111</v>
      </c>
      <c r="D26" s="63">
        <v>111</v>
      </c>
      <c r="E26" s="63">
        <v>1</v>
      </c>
      <c r="F26" s="63">
        <v>1</v>
      </c>
      <c r="G26" s="63">
        <v>12</v>
      </c>
    </row>
    <row r="27" customHeight="1" spans="2:7">
      <c r="B27" s="63">
        <v>23</v>
      </c>
      <c r="C27" s="63" t="s">
        <v>38</v>
      </c>
      <c r="D27" s="63" t="s">
        <v>36</v>
      </c>
      <c r="E27" s="63">
        <v>11</v>
      </c>
      <c r="F27" s="63">
        <v>22</v>
      </c>
      <c r="G27" s="63">
        <v>12</v>
      </c>
    </row>
    <row r="28" customHeight="1" spans="2:7">
      <c r="B28" s="63">
        <v>24</v>
      </c>
      <c r="C28" s="63" t="s">
        <v>61</v>
      </c>
      <c r="D28" s="63" t="s">
        <v>49</v>
      </c>
      <c r="E28" s="63">
        <v>1</v>
      </c>
      <c r="F28" s="63">
        <v>1</v>
      </c>
      <c r="G28" s="63">
        <v>12</v>
      </c>
    </row>
    <row r="29" customHeight="1" spans="2:7">
      <c r="B29" s="63">
        <v>25</v>
      </c>
      <c r="C29" s="63" t="s">
        <v>54</v>
      </c>
      <c r="D29" s="63" t="s">
        <v>52</v>
      </c>
      <c r="E29" s="63">
        <v>20</v>
      </c>
      <c r="F29" s="63">
        <v>1</v>
      </c>
      <c r="G29" s="63">
        <v>12</v>
      </c>
    </row>
    <row r="30" customHeight="1" spans="2:7">
      <c r="B30" s="63">
        <v>26</v>
      </c>
      <c r="C30" s="63" t="s">
        <v>42</v>
      </c>
      <c r="D30" s="63" t="s">
        <v>63</v>
      </c>
      <c r="E30" s="63">
        <v>2</v>
      </c>
      <c r="F30" s="63">
        <v>1</v>
      </c>
      <c r="G30" s="63" t="s">
        <v>64</v>
      </c>
    </row>
    <row r="31" customHeight="1" spans="2:7">
      <c r="B31" s="63">
        <v>27</v>
      </c>
      <c r="C31" s="63" t="s">
        <v>38</v>
      </c>
      <c r="D31" s="63" t="s">
        <v>36</v>
      </c>
      <c r="E31" s="63">
        <v>1</v>
      </c>
      <c r="F31" s="63">
        <v>1</v>
      </c>
      <c r="G31" s="63" t="s">
        <v>64</v>
      </c>
    </row>
    <row r="32" customHeight="1" spans="2:7">
      <c r="B32" s="63">
        <v>28</v>
      </c>
      <c r="C32" s="63" t="s">
        <v>38</v>
      </c>
      <c r="D32" s="63" t="s">
        <v>36</v>
      </c>
      <c r="E32" s="63">
        <v>2</v>
      </c>
      <c r="F32" s="63">
        <v>1</v>
      </c>
      <c r="G32" s="63" t="s">
        <v>64</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4"/>
  <sheetViews>
    <sheetView showGridLines="0" workbookViewId="0">
      <pane ySplit="4" topLeftCell="A5" activePane="bottomLeft" state="frozen"/>
      <selection/>
      <selection pane="bottomLeft" activeCell="AC3" sqref="AC3"/>
    </sheetView>
  </sheetViews>
  <sheetFormatPr defaultColWidth="9" defaultRowHeight="20.1" customHeight="1" outlineLevelRow="3"/>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7"/>
      <c r="G2" s="65"/>
    </row>
    <row r="3" s="2" customFormat="1" customHeight="1" spans="1:21">
      <c r="A3" s="9"/>
      <c r="B3" s="66"/>
      <c r="C3" s="66"/>
      <c r="D3" s="66"/>
      <c r="E3" s="66"/>
      <c r="F3" s="66"/>
      <c r="G3" s="66"/>
      <c r="H3" s="9"/>
      <c r="J3" s="68" t="s">
        <v>66</v>
      </c>
      <c r="K3" s="68" t="s">
        <v>67</v>
      </c>
      <c r="L3" s="68" t="s">
        <v>68</v>
      </c>
      <c r="M3" s="68" t="s">
        <v>69</v>
      </c>
      <c r="N3" s="69" t="s">
        <v>70</v>
      </c>
      <c r="O3" s="69" t="s">
        <v>64</v>
      </c>
      <c r="P3" s="69" t="s">
        <v>35</v>
      </c>
      <c r="Q3" s="69" t="s">
        <v>85</v>
      </c>
      <c r="R3" s="69" t="s">
        <v>86</v>
      </c>
      <c r="S3" s="69">
        <v>12</v>
      </c>
      <c r="T3" s="69"/>
      <c r="U3" s="69"/>
    </row>
    <row r="4" s="2" customFormat="1" ht="30" customHeight="1" spans="1:21">
      <c r="A4" s="9"/>
      <c r="B4" s="46" t="s">
        <v>25</v>
      </c>
      <c r="C4" s="46" t="s">
        <v>76</v>
      </c>
      <c r="D4" s="46" t="s">
        <v>77</v>
      </c>
      <c r="E4" s="46" t="s">
        <v>78</v>
      </c>
      <c r="F4" s="46" t="s">
        <v>30</v>
      </c>
      <c r="G4" s="46" t="s">
        <v>79</v>
      </c>
      <c r="H4" s="9"/>
      <c r="J4" s="71">
        <v>16</v>
      </c>
      <c r="K4" s="71">
        <v>2029</v>
      </c>
      <c r="L4" s="72">
        <v>2.66666666666667</v>
      </c>
      <c r="M4" s="71">
        <v>6</v>
      </c>
      <c r="N4" s="69">
        <v>6</v>
      </c>
      <c r="O4" s="69">
        <v>49</v>
      </c>
      <c r="P4" s="69">
        <v>4</v>
      </c>
      <c r="Q4" s="69">
        <v>5</v>
      </c>
      <c r="R4" s="69">
        <v>11</v>
      </c>
      <c r="S4" s="69">
        <v>1</v>
      </c>
      <c r="T4" s="69"/>
      <c r="U4" s="69"/>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2"/>
  <sheetViews>
    <sheetView showGridLines="0" workbookViewId="0">
      <pane ySplit="4" topLeftCell="A5" activePane="bottomLeft" state="frozen"/>
      <selection/>
      <selection pane="bottomLeft" activeCell="AC3" sqref="AC3"/>
    </sheetView>
  </sheetViews>
  <sheetFormatPr defaultColWidth="9" defaultRowHeight="20.1" customHeight="1"/>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7"/>
      <c r="G2" s="65"/>
    </row>
    <row r="3" s="2" customFormat="1" customHeight="1" spans="1:34">
      <c r="A3" s="9"/>
      <c r="B3" s="66"/>
      <c r="C3" s="66"/>
      <c r="D3" s="66"/>
      <c r="E3" s="66"/>
      <c r="F3" s="66"/>
      <c r="G3" s="66"/>
      <c r="H3" s="9"/>
      <c r="J3" s="68" t="s">
        <v>66</v>
      </c>
      <c r="K3" s="68" t="s">
        <v>67</v>
      </c>
      <c r="L3" s="68" t="s">
        <v>68</v>
      </c>
      <c r="M3" s="68" t="s">
        <v>69</v>
      </c>
      <c r="N3" s="69" t="s">
        <v>64</v>
      </c>
      <c r="O3" s="69" t="s">
        <v>35</v>
      </c>
      <c r="P3" s="69">
        <v>22</v>
      </c>
      <c r="Q3" s="69"/>
      <c r="R3" s="69"/>
      <c r="S3" s="69"/>
      <c r="T3" s="69"/>
      <c r="U3" s="69"/>
      <c r="V3" s="70"/>
      <c r="W3" s="70"/>
      <c r="X3" s="70"/>
      <c r="Y3" s="70"/>
      <c r="Z3" s="70"/>
      <c r="AA3" s="70"/>
      <c r="AB3" s="70"/>
      <c r="AC3" s="70"/>
      <c r="AD3" s="70"/>
      <c r="AE3" s="70"/>
      <c r="AF3" s="70"/>
      <c r="AG3" s="70"/>
      <c r="AH3" s="70"/>
    </row>
    <row r="4" s="2" customFormat="1" ht="30" customHeight="1" spans="1:34">
      <c r="A4" s="9"/>
      <c r="B4" s="46" t="s">
        <v>25</v>
      </c>
      <c r="C4" s="46" t="s">
        <v>76</v>
      </c>
      <c r="D4" s="46" t="s">
        <v>77</v>
      </c>
      <c r="E4" s="46" t="s">
        <v>78</v>
      </c>
      <c r="F4" s="46" t="s">
        <v>30</v>
      </c>
      <c r="G4" s="46" t="s">
        <v>79</v>
      </c>
      <c r="H4" s="9"/>
      <c r="J4" s="71">
        <v>8</v>
      </c>
      <c r="K4" s="71">
        <v>312</v>
      </c>
      <c r="L4" s="72">
        <v>2</v>
      </c>
      <c r="M4" s="71">
        <v>4</v>
      </c>
      <c r="N4" s="69">
        <v>17</v>
      </c>
      <c r="O4" s="69">
        <v>3</v>
      </c>
      <c r="P4" s="69">
        <v>1</v>
      </c>
      <c r="Q4" s="69"/>
      <c r="R4" s="69"/>
      <c r="S4" s="69"/>
      <c r="T4" s="69"/>
      <c r="U4" s="69"/>
      <c r="V4" s="70"/>
      <c r="W4" s="70"/>
      <c r="X4" s="70"/>
      <c r="Y4" s="70"/>
      <c r="Z4" s="70"/>
      <c r="AA4" s="70"/>
      <c r="AB4" s="70"/>
      <c r="AC4" s="70"/>
      <c r="AD4" s="70"/>
      <c r="AE4" s="70"/>
      <c r="AF4" s="70"/>
      <c r="AG4" s="70"/>
      <c r="AH4" s="70"/>
    </row>
    <row r="5" customHeight="1" spans="1:34">
      <c r="B5" s="63">
        <v>1</v>
      </c>
      <c r="C5" s="63">
        <v>111</v>
      </c>
      <c r="D5" s="63">
        <v>111</v>
      </c>
      <c r="E5" s="63">
        <v>100</v>
      </c>
      <c r="F5" s="63">
        <v>1</v>
      </c>
      <c r="G5" s="63" t="s">
        <v>64</v>
      </c>
    </row>
    <row r="6" customHeight="1" spans="1:34">
      <c r="B6" s="63">
        <v>2</v>
      </c>
      <c r="C6" s="63">
        <v>111</v>
      </c>
      <c r="D6" s="63">
        <v>111</v>
      </c>
      <c r="E6" s="63">
        <v>20</v>
      </c>
      <c r="F6" s="63">
        <v>3</v>
      </c>
      <c r="G6" s="63" t="s">
        <v>64</v>
      </c>
    </row>
    <row r="7" customHeight="1" spans="1:34">
      <c r="B7" s="63">
        <v>3</v>
      </c>
      <c r="C7" s="63" t="s">
        <v>38</v>
      </c>
      <c r="D7" s="63" t="s">
        <v>36</v>
      </c>
      <c r="E7" s="63">
        <v>3</v>
      </c>
      <c r="F7" s="63">
        <v>1</v>
      </c>
      <c r="G7" s="63" t="s">
        <v>35</v>
      </c>
    </row>
    <row r="8" customHeight="1" spans="1:34">
      <c r="B8" s="63">
        <v>4</v>
      </c>
      <c r="C8" s="63">
        <v>111</v>
      </c>
      <c r="D8" s="63">
        <v>111</v>
      </c>
      <c r="E8" s="63">
        <v>1</v>
      </c>
      <c r="F8" s="63">
        <v>1</v>
      </c>
      <c r="G8" s="63">
        <v>22</v>
      </c>
    </row>
    <row r="9" customHeight="1" spans="1:34">
      <c r="B9" s="63">
        <v>5</v>
      </c>
      <c r="C9" s="63" t="s">
        <v>38</v>
      </c>
      <c r="D9" s="63" t="s">
        <v>36</v>
      </c>
      <c r="E9" s="63">
        <v>12</v>
      </c>
      <c r="F9" s="63">
        <v>12</v>
      </c>
      <c r="G9" s="63" t="s">
        <v>64</v>
      </c>
    </row>
    <row r="10" customHeight="1" spans="1:34">
      <c r="B10" s="63">
        <v>6</v>
      </c>
      <c r="C10" s="63" t="s">
        <v>61</v>
      </c>
      <c r="D10" s="63" t="s">
        <v>49</v>
      </c>
      <c r="E10" s="63">
        <v>1</v>
      </c>
      <c r="F10" s="63">
        <v>1</v>
      </c>
      <c r="G10" s="63" t="s">
        <v>35</v>
      </c>
    </row>
    <row r="11" customHeight="1" spans="1:34">
      <c r="B11" s="63">
        <v>7</v>
      </c>
      <c r="C11" s="63" t="s">
        <v>61</v>
      </c>
      <c r="D11" s="63" t="s">
        <v>49</v>
      </c>
      <c r="E11" s="63">
        <v>1</v>
      </c>
      <c r="F11" s="63">
        <v>1</v>
      </c>
      <c r="G11" s="63" t="s">
        <v>35</v>
      </c>
    </row>
    <row r="12" customHeight="1" spans="1:34">
      <c r="B12" s="63">
        <v>8</v>
      </c>
      <c r="C12" s="63" t="s">
        <v>42</v>
      </c>
      <c r="D12" s="63" t="s">
        <v>63</v>
      </c>
      <c r="E12" s="63">
        <v>2</v>
      </c>
      <c r="F12" s="63">
        <v>1</v>
      </c>
      <c r="G12" s="63" t="s">
        <v>64</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13"/>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64</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10</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0</v>
      </c>
    </row>
    <row r="11" customHeight="1" spans="1:11">
      <c r="C11" s="63">
        <v>7</v>
      </c>
      <c r="D11" s="63" t="s">
        <v>55</v>
      </c>
      <c r="E11" s="63" t="s">
        <v>56</v>
      </c>
      <c r="F11" s="63" t="s">
        <v>57</v>
      </c>
      <c r="G11" s="63" t="s">
        <v>58</v>
      </c>
      <c r="J11" s="63">
        <v>0</v>
      </c>
    </row>
    <row r="12" customHeight="1" spans="1:11">
      <c r="C12" s="63">
        <v>8</v>
      </c>
      <c r="D12" s="63" t="s">
        <v>59</v>
      </c>
      <c r="E12" s="63" t="s">
        <v>60</v>
      </c>
      <c r="F12" s="63" t="s">
        <v>61</v>
      </c>
      <c r="G12" s="63" t="s">
        <v>62</v>
      </c>
      <c r="J12" s="63">
        <v>0</v>
      </c>
    </row>
    <row r="13" customHeight="1" spans="1:11">
      <c r="C13" s="63">
        <v>9</v>
      </c>
      <c r="D13" s="63" t="s">
        <v>63</v>
      </c>
      <c r="E13" s="63" t="s">
        <v>50</v>
      </c>
      <c r="F13" s="63" t="s">
        <v>42</v>
      </c>
      <c r="G13" s="63" t="s">
        <v>62</v>
      </c>
      <c r="J13"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12" sqref="H12"/>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2"/>
      <c r="L1" s="43"/>
    </row>
    <row r="2" s="2" customFormat="1" ht="39.95" customHeight="1" spans="1:15">
      <c r="L2" s="44"/>
    </row>
    <row r="3" s="2" customFormat="1" customHeight="1" spans="1:15">
      <c r="B3" s="9"/>
      <c r="C3" s="9"/>
      <c r="D3" s="9"/>
      <c r="E3" s="9"/>
      <c r="F3" s="9"/>
      <c r="G3" s="9"/>
      <c r="H3" s="9"/>
      <c r="I3" s="9"/>
      <c r="J3" s="9"/>
      <c r="K3" s="9"/>
      <c r="L3" s="45"/>
      <c r="M3" s="9"/>
      <c r="N3" s="9"/>
      <c r="O3" s="9"/>
    </row>
    <row r="4" s="2" customFormat="1" ht="30" customHeight="1" spans="1:15">
      <c r="B4" s="20" t="s">
        <v>87</v>
      </c>
      <c r="C4" s="9" t="s">
        <v>88</v>
      </c>
      <c r="D4" s="46" t="s">
        <v>25</v>
      </c>
      <c r="E4" s="46" t="s">
        <v>89</v>
      </c>
      <c r="F4" s="46" t="s">
        <v>27</v>
      </c>
      <c r="G4" s="46" t="s">
        <v>26</v>
      </c>
      <c r="H4" s="46" t="s">
        <v>28</v>
      </c>
      <c r="I4" s="46" t="s">
        <v>90</v>
      </c>
      <c r="J4" s="46" t="s">
        <v>30</v>
      </c>
      <c r="K4" s="46" t="s">
        <v>91</v>
      </c>
      <c r="L4" s="47" t="s">
        <v>92</v>
      </c>
      <c r="M4" s="46" t="s">
        <v>93</v>
      </c>
      <c r="N4" s="46" t="s">
        <v>94</v>
      </c>
      <c r="O4" s="9"/>
    </row>
    <row r="5" s="3" customFormat="1" customHeight="1" spans="1:15">
      <c r="B5" s="18"/>
      <c r="C5" s="4">
        <v>57</v>
      </c>
      <c r="D5" s="13">
        <v>1</v>
      </c>
      <c r="E5" s="13">
        <v>1</v>
      </c>
      <c r="F5" s="13" t="s">
        <v>50</v>
      </c>
      <c r="G5" s="13" t="s">
        <v>49</v>
      </c>
      <c r="H5" s="13" t="s">
        <v>51</v>
      </c>
      <c r="I5" s="13">
        <v>2</v>
      </c>
      <c r="J5" s="13">
        <v>1</v>
      </c>
      <c r="K5" s="13" t="s">
        <v>95</v>
      </c>
      <c r="L5" s="42">
        <v>46027.6111805556</v>
      </c>
      <c r="M5" s="13" t="s">
        <v>23</v>
      </c>
      <c r="N5" s="13" t="s">
        <v>96</v>
      </c>
      <c r="O5" s="4"/>
    </row>
    <row r="6" s="3" customFormat="1" customHeight="1" spans="1:15">
      <c r="B6" s="18"/>
      <c r="C6" s="4">
        <v>58</v>
      </c>
      <c r="D6" s="13">
        <v>2</v>
      </c>
      <c r="E6" s="13" t="s">
        <v>97</v>
      </c>
      <c r="F6" s="13" t="s">
        <v>97</v>
      </c>
      <c r="G6" s="13" t="s">
        <v>49</v>
      </c>
      <c r="H6" s="13" t="s">
        <v>61</v>
      </c>
      <c r="I6" s="13">
        <v>1</v>
      </c>
      <c r="J6" s="13">
        <v>1</v>
      </c>
      <c r="K6" s="13" t="s">
        <v>95</v>
      </c>
      <c r="L6" s="42">
        <v>46027.6124652778</v>
      </c>
      <c r="M6" s="13" t="s">
        <v>23</v>
      </c>
      <c r="N6" s="13" t="s">
        <v>96</v>
      </c>
      <c r="O6" s="4"/>
    </row>
    <row r="7" s="3" customFormat="1" customHeight="1" spans="1:15">
      <c r="B7" s="18"/>
      <c r="C7" s="4">
        <v>59</v>
      </c>
      <c r="D7" s="13">
        <v>3</v>
      </c>
      <c r="E7" s="13" t="s">
        <v>97</v>
      </c>
      <c r="F7" s="13" t="s">
        <v>97</v>
      </c>
      <c r="G7" s="13" t="s">
        <v>49</v>
      </c>
      <c r="H7" s="13" t="s">
        <v>61</v>
      </c>
      <c r="I7" s="13">
        <v>1</v>
      </c>
      <c r="J7" s="13">
        <v>1</v>
      </c>
      <c r="K7" s="13" t="s">
        <v>95</v>
      </c>
      <c r="L7" s="42">
        <v>46027.6141666667</v>
      </c>
      <c r="M7" s="13" t="s">
        <v>23</v>
      </c>
      <c r="N7" s="13" t="s">
        <v>96</v>
      </c>
      <c r="O7" s="4"/>
    </row>
    <row r="8" s="3" customFormat="1" customHeight="1" spans="1:15">
      <c r="B8" s="18"/>
      <c r="C8" s="4">
        <v>60</v>
      </c>
      <c r="D8" s="13">
        <v>4</v>
      </c>
      <c r="E8" s="13" t="s">
        <v>97</v>
      </c>
      <c r="F8" s="13" t="s">
        <v>50</v>
      </c>
      <c r="G8" s="13" t="s">
        <v>49</v>
      </c>
      <c r="H8" s="13" t="s">
        <v>51</v>
      </c>
      <c r="I8" s="13">
        <v>1</v>
      </c>
      <c r="J8" s="13">
        <v>1</v>
      </c>
      <c r="K8" s="13" t="s">
        <v>95</v>
      </c>
      <c r="L8" s="42">
        <v>46027.6145486111</v>
      </c>
      <c r="M8" s="13" t="s">
        <v>23</v>
      </c>
      <c r="N8" s="13" t="s">
        <v>96</v>
      </c>
      <c r="O8" s="4"/>
    </row>
    <row r="9" s="3" customFormat="1" customHeight="1" spans="1:15">
      <c r="B9" s="18"/>
      <c r="C9" s="4">
        <v>67</v>
      </c>
      <c r="D9" s="13">
        <v>5</v>
      </c>
      <c r="E9" s="13">
        <v>2025022505</v>
      </c>
      <c r="F9" s="13" t="s">
        <v>37</v>
      </c>
      <c r="G9" s="13" t="s">
        <v>36</v>
      </c>
      <c r="H9" s="13" t="s">
        <v>38</v>
      </c>
      <c r="I9" s="13">
        <v>1</v>
      </c>
      <c r="J9" s="13">
        <v>1</v>
      </c>
      <c r="K9" s="13" t="s">
        <v>95</v>
      </c>
      <c r="L9" s="42">
        <v>46078.4096643518</v>
      </c>
      <c r="M9" s="13" t="s">
        <v>23</v>
      </c>
      <c r="N9" s="13" t="s">
        <v>98</v>
      </c>
      <c r="O9" s="4"/>
    </row>
    <row r="10" s="3" customFormat="1" customHeight="1" spans="1:15">
      <c r="B10" s="18"/>
      <c r="C10" s="4"/>
      <c r="D10" s="13"/>
      <c r="E10" s="13"/>
      <c r="F10" s="13"/>
      <c r="G10" s="13"/>
      <c r="H10" s="13"/>
      <c r="I10" s="13"/>
      <c r="J10" s="13"/>
      <c r="K10" s="13"/>
      <c r="L10" s="42"/>
      <c r="M10" s="13"/>
      <c r="N10" s="13"/>
      <c r="O10" s="4"/>
    </row>
    <row r="11" s="3" customFormat="1" customHeight="1" spans="1:15">
      <c r="B11" s="18"/>
      <c r="C11" s="4"/>
      <c r="D11" s="13"/>
      <c r="E11" s="13"/>
      <c r="F11" s="13"/>
      <c r="G11" s="13"/>
      <c r="H11" s="13"/>
      <c r="I11" s="13"/>
      <c r="J11" s="13"/>
      <c r="K11" s="13"/>
      <c r="L11" s="42"/>
      <c r="M11" s="13"/>
      <c r="N11" s="13"/>
      <c r="O11" s="4"/>
    </row>
    <row r="12" s="3" customFormat="1" customHeight="1" spans="1:15">
      <c r="B12" s="18"/>
      <c r="C12" s="4"/>
      <c r="D12" s="13"/>
      <c r="E12" s="13"/>
      <c r="F12" s="13"/>
      <c r="G12" s="13"/>
      <c r="H12" s="13"/>
      <c r="I12" s="13"/>
      <c r="J12" s="13"/>
      <c r="K12" s="13"/>
      <c r="L12" s="42"/>
      <c r="M12" s="13"/>
      <c r="N12" s="13"/>
      <c r="O12" s="4"/>
    </row>
    <row r="13" s="3" customFormat="1" customHeight="1" spans="1: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topLeftCell="AE1" workbookViewId="0">
      <selection activeCell="AJ5" sqref="AJ5"/>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99</v>
      </c>
      <c r="D4" s="53"/>
      <c r="E4" s="53"/>
      <c r="F4" s="53"/>
      <c r="G4" s="53"/>
      <c r="H4" s="53"/>
      <c r="I4" s="9"/>
    </row>
    <row r="5" s="2" customFormat="1" ht="30" customHeight="1" spans="1:9">
      <c r="B5" s="9"/>
      <c r="C5" s="54" t="s">
        <v>100</v>
      </c>
      <c r="D5" s="55"/>
      <c r="E5" s="54"/>
      <c r="F5" s="55"/>
      <c r="G5" s="54" t="s">
        <v>101</v>
      </c>
      <c r="H5" s="56"/>
      <c r="I5" s="9"/>
    </row>
    <row r="6" s="2" customFormat="1" ht="30" customHeight="1" spans="1:9">
      <c r="B6" s="9"/>
      <c r="C6" s="54" t="s">
        <v>102</v>
      </c>
      <c r="D6" s="55"/>
      <c r="E6" s="61"/>
      <c r="F6" s="61"/>
      <c r="G6" s="54" t="s">
        <v>103</v>
      </c>
      <c r="H6" s="55"/>
      <c r="I6" s="9"/>
    </row>
    <row r="7" s="2" customFormat="1" ht="30" customHeight="1" spans="1:9">
      <c r="B7" s="9"/>
      <c r="C7" s="57" t="s">
        <v>26</v>
      </c>
      <c r="D7" s="57" t="s">
        <v>27</v>
      </c>
      <c r="E7" s="57" t="s">
        <v>28</v>
      </c>
      <c r="F7" s="57" t="s">
        <v>30</v>
      </c>
      <c r="G7" s="57" t="s">
        <v>34</v>
      </c>
      <c r="H7" s="57" t="s">
        <v>31</v>
      </c>
      <c r="I7" s="9"/>
    </row>
    <row r="8" customHeight="1" spans="1:9">
      <c r="C8" s="58"/>
      <c r="D8" s="58"/>
      <c r="E8" s="58"/>
      <c r="F8" s="58"/>
      <c r="G8" s="58"/>
      <c r="H8" s="58"/>
    </row>
    <row r="9" customHeight="1" spans="1:9">
      <c r="C9" s="58"/>
      <c r="D9" s="58"/>
      <c r="E9" s="58"/>
      <c r="F9" s="58"/>
      <c r="G9" s="58"/>
      <c r="H9" s="58"/>
    </row>
    <row r="10" customHeight="1" spans="1:9">
      <c r="C10" s="58"/>
      <c r="D10" s="58"/>
      <c r="E10" s="58"/>
      <c r="F10" s="58"/>
      <c r="G10" s="58"/>
      <c r="H10" s="58"/>
    </row>
    <row r="11" customHeight="1" spans="1:9">
      <c r="C11" s="58"/>
      <c r="D11" s="58"/>
      <c r="E11" s="58"/>
      <c r="F11" s="58"/>
      <c r="G11" s="58"/>
      <c r="H11" s="58"/>
    </row>
    <row r="12" customHeight="1" spans="1:9">
      <c r="C12" s="58"/>
      <c r="D12" s="58"/>
      <c r="E12" s="58"/>
      <c r="F12" s="58"/>
      <c r="G12" s="58"/>
      <c r="H12" s="58"/>
    </row>
    <row r="13" customHeight="1" spans="1:9">
      <c r="C13" s="58"/>
      <c r="D13" s="58"/>
      <c r="E13" s="58"/>
      <c r="F13" s="58"/>
      <c r="G13" s="58"/>
      <c r="H13" s="58"/>
    </row>
    <row r="14" customHeight="1" spans="1:9">
      <c r="C14" s="58"/>
      <c r="D14" s="58"/>
      <c r="E14" s="58"/>
      <c r="F14" s="58"/>
      <c r="G14" s="58"/>
      <c r="H14" s="58"/>
    </row>
    <row r="15" customHeight="1" spans="1:9">
      <c r="C15" s="58"/>
      <c r="D15" s="58"/>
      <c r="E15" s="58"/>
      <c r="F15" s="58"/>
      <c r="G15" s="58"/>
      <c r="H15" s="58"/>
    </row>
    <row r="16" customHeight="1" spans="1:9">
      <c r="C16" s="58"/>
      <c r="D16" s="58"/>
      <c r="E16" s="58"/>
      <c r="F16" s="58"/>
      <c r="G16" s="58"/>
      <c r="H16" s="58"/>
    </row>
    <row r="17" customHeight="1" spans="3:8">
      <c r="C17" s="58"/>
      <c r="D17" s="58"/>
      <c r="E17" s="58"/>
      <c r="F17" s="58"/>
      <c r="G17" s="58"/>
      <c r="H17" s="58"/>
    </row>
    <row r="18" customHeight="1" spans="3:8">
      <c r="C18" s="58"/>
      <c r="D18" s="58"/>
      <c r="E18" s="58"/>
      <c r="F18" s="58"/>
      <c r="G18" s="58"/>
      <c r="H18" s="58"/>
    </row>
    <row r="19" customHeight="1" spans="3:8">
      <c r="C19" s="58"/>
      <c r="D19" s="58"/>
      <c r="E19" s="58"/>
      <c r="F19" s="58"/>
      <c r="G19" s="58"/>
      <c r="H19" s="58"/>
    </row>
    <row r="20" ht="30" customHeight="1" spans="3:8">
      <c r="C20" s="59" t="s">
        <v>104</v>
      </c>
      <c r="D20" s="60">
        <f>G20</f>
        <v>0</v>
      </c>
      <c r="E20" s="60"/>
      <c r="F20" s="59" t="s">
        <v>105</v>
      </c>
      <c r="G20" s="59">
        <f>SUM(H8:H19)</f>
        <v>0</v>
      </c>
      <c r="H20" s="59"/>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G6" sqref="AG6"/>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106</v>
      </c>
      <c r="D4" s="53"/>
      <c r="E4" s="53"/>
      <c r="F4" s="53"/>
      <c r="G4" s="53"/>
      <c r="H4" s="53"/>
      <c r="I4" s="9"/>
    </row>
    <row r="5" s="2" customFormat="1" ht="30" customHeight="1" spans="1:9">
      <c r="B5" s="9"/>
      <c r="C5" s="54" t="s">
        <v>107</v>
      </c>
      <c r="D5" s="55" t="s">
        <v>108</v>
      </c>
      <c r="E5" s="54" t="s">
        <v>109</v>
      </c>
      <c r="F5" s="55" t="s">
        <v>110</v>
      </c>
      <c r="G5" s="54" t="s">
        <v>111</v>
      </c>
      <c r="H5" s="56">
        <v>45184</v>
      </c>
      <c r="I5" s="9"/>
    </row>
    <row r="6" s="2" customFormat="1" ht="30" customHeight="1" spans="1:9">
      <c r="B6" s="9"/>
      <c r="C6" s="57" t="s">
        <v>26</v>
      </c>
      <c r="D6" s="57" t="s">
        <v>27</v>
      </c>
      <c r="E6" s="57" t="s">
        <v>28</v>
      </c>
      <c r="F6" s="57" t="s">
        <v>30</v>
      </c>
      <c r="G6" s="57" t="s">
        <v>34</v>
      </c>
      <c r="H6" s="57" t="s">
        <v>31</v>
      </c>
      <c r="I6" s="9"/>
    </row>
    <row r="7" customHeight="1" spans="1:9">
      <c r="C7" s="58" t="s">
        <v>36</v>
      </c>
      <c r="D7" s="58" t="s">
        <v>112</v>
      </c>
      <c r="E7" s="58" t="s">
        <v>38</v>
      </c>
      <c r="F7" s="58">
        <v>200</v>
      </c>
      <c r="G7" s="58">
        <v>70</v>
      </c>
      <c r="H7" s="58">
        <v>14000</v>
      </c>
    </row>
    <row r="8" customHeight="1" spans="1:9">
      <c r="C8" s="58" t="s">
        <v>40</v>
      </c>
      <c r="D8" s="58" t="s">
        <v>41</v>
      </c>
      <c r="E8" s="58" t="s">
        <v>42</v>
      </c>
      <c r="F8" s="58">
        <v>200</v>
      </c>
      <c r="G8" s="58">
        <v>80</v>
      </c>
      <c r="H8" s="58">
        <v>16000</v>
      </c>
    </row>
    <row r="9" customHeight="1" spans="1:9">
      <c r="C9" s="58" t="s">
        <v>44</v>
      </c>
      <c r="D9" s="58" t="s">
        <v>45</v>
      </c>
      <c r="E9" s="58" t="s">
        <v>46</v>
      </c>
      <c r="F9" s="58">
        <v>200</v>
      </c>
      <c r="G9" s="58">
        <v>90</v>
      </c>
      <c r="H9" s="58">
        <v>18000</v>
      </c>
    </row>
    <row r="10" customHeight="1" spans="1:9">
      <c r="C10" s="58" t="s">
        <v>48</v>
      </c>
      <c r="D10" s="58">
        <v>778899</v>
      </c>
      <c r="E10" s="58" t="s">
        <v>46</v>
      </c>
      <c r="F10" s="58">
        <v>200</v>
      </c>
      <c r="G10" s="58">
        <v>100</v>
      </c>
      <c r="H10" s="58">
        <v>20000</v>
      </c>
    </row>
    <row r="11" customHeight="1" spans="1:9">
      <c r="C11" s="58" t="s">
        <v>113</v>
      </c>
      <c r="D11" s="58" t="s">
        <v>114</v>
      </c>
      <c r="E11" s="58" t="s">
        <v>46</v>
      </c>
      <c r="F11" s="58">
        <v>200</v>
      </c>
      <c r="G11" s="58">
        <v>110</v>
      </c>
      <c r="H11" s="58">
        <v>22000</v>
      </c>
    </row>
    <row r="12" customHeight="1" spans="1:9">
      <c r="C12" s="58" t="s">
        <v>115</v>
      </c>
      <c r="D12" s="58">
        <v>222</v>
      </c>
      <c r="E12" s="58" t="s">
        <v>115</v>
      </c>
      <c r="F12" s="58">
        <v>200</v>
      </c>
      <c r="G12" s="58">
        <v>120</v>
      </c>
      <c r="H12" s="58">
        <v>24000</v>
      </c>
    </row>
    <row r="13" customHeight="1" spans="1:9">
      <c r="C13" s="58" t="s">
        <v>115</v>
      </c>
      <c r="D13" s="58" t="s">
        <v>115</v>
      </c>
      <c r="E13" s="58" t="s">
        <v>115</v>
      </c>
      <c r="F13" s="58">
        <v>200</v>
      </c>
      <c r="G13" s="58">
        <v>130</v>
      </c>
      <c r="H13" s="58">
        <v>26000</v>
      </c>
    </row>
    <row r="14" customHeight="1" spans="1:9">
      <c r="C14" s="58"/>
      <c r="D14" s="58"/>
      <c r="E14" s="58"/>
      <c r="F14" s="58"/>
      <c r="G14" s="58"/>
      <c r="H14" s="58"/>
    </row>
    <row r="15" customHeight="1" spans="1:9">
      <c r="C15" s="58"/>
      <c r="D15" s="58"/>
      <c r="E15" s="58"/>
      <c r="F15" s="58"/>
      <c r="G15" s="58"/>
      <c r="H15" s="58"/>
    </row>
    <row r="16" customHeight="1" spans="1:9">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104</v>
      </c>
      <c r="D19" s="60">
        <f>G19</f>
        <v>140000</v>
      </c>
      <c r="E19" s="60"/>
      <c r="F19" s="59" t="s">
        <v>105</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116</v>
      </c>
      <c r="D4" s="53"/>
      <c r="E4" s="53"/>
      <c r="F4" s="53"/>
      <c r="G4" s="53"/>
      <c r="H4" s="53"/>
      <c r="I4" s="9"/>
    </row>
    <row r="5" s="2" customFormat="1" ht="30" customHeight="1" spans="1:9">
      <c r="B5" s="9"/>
      <c r="C5" s="54" t="s">
        <v>107</v>
      </c>
      <c r="D5" s="55" t="s">
        <v>117</v>
      </c>
      <c r="E5" s="54" t="s">
        <v>118</v>
      </c>
      <c r="F5" s="55" t="s">
        <v>119</v>
      </c>
      <c r="G5" s="54" t="s">
        <v>120</v>
      </c>
      <c r="H5" s="56">
        <v>45194</v>
      </c>
      <c r="I5" s="9"/>
    </row>
    <row r="6" s="2" customFormat="1" ht="30" customHeight="1" spans="1:9">
      <c r="B6" s="9"/>
      <c r="C6" s="57" t="s">
        <v>26</v>
      </c>
      <c r="D6" s="57" t="s">
        <v>27</v>
      </c>
      <c r="E6" s="57" t="s">
        <v>28</v>
      </c>
      <c r="F6" s="57" t="s">
        <v>30</v>
      </c>
      <c r="G6" s="57" t="s">
        <v>34</v>
      </c>
      <c r="H6" s="57" t="s">
        <v>31</v>
      </c>
      <c r="I6" s="9"/>
    </row>
    <row r="7" s="3" customFormat="1" customHeight="1" spans="1:9">
      <c r="B7" s="4"/>
      <c r="C7" s="58" t="s">
        <v>36</v>
      </c>
      <c r="D7" s="58" t="s">
        <v>112</v>
      </c>
      <c r="E7" s="58" t="s">
        <v>38</v>
      </c>
      <c r="F7" s="58">
        <v>20</v>
      </c>
      <c r="G7" s="58">
        <v>20</v>
      </c>
      <c r="H7" s="58">
        <v>400</v>
      </c>
      <c r="I7" s="4"/>
    </row>
    <row r="8" s="3" customFormat="1" customHeight="1" spans="1:9">
      <c r="B8" s="4"/>
      <c r="C8" s="58" t="s">
        <v>40</v>
      </c>
      <c r="D8" s="58" t="s">
        <v>41</v>
      </c>
      <c r="E8" s="58" t="s">
        <v>42</v>
      </c>
      <c r="F8" s="58">
        <v>20</v>
      </c>
      <c r="G8" s="58">
        <v>20</v>
      </c>
      <c r="H8" s="58">
        <v>400</v>
      </c>
      <c r="I8" s="4"/>
    </row>
    <row r="9" s="3" customFormat="1" customHeight="1" spans="1:9">
      <c r="B9" s="4"/>
      <c r="C9" s="58" t="s">
        <v>44</v>
      </c>
      <c r="D9" s="58" t="s">
        <v>45</v>
      </c>
      <c r="E9" s="58" t="s">
        <v>46</v>
      </c>
      <c r="F9" s="58">
        <v>20</v>
      </c>
      <c r="G9" s="58">
        <v>20</v>
      </c>
      <c r="H9" s="58">
        <v>400</v>
      </c>
      <c r="I9" s="4"/>
    </row>
    <row r="10" s="3" customFormat="1" customHeight="1" spans="1:9">
      <c r="B10" s="4"/>
      <c r="C10" s="58" t="s">
        <v>48</v>
      </c>
      <c r="D10" s="58">
        <v>778899</v>
      </c>
      <c r="E10" s="58" t="s">
        <v>46</v>
      </c>
      <c r="F10" s="58">
        <v>20</v>
      </c>
      <c r="G10" s="58">
        <v>20</v>
      </c>
      <c r="H10" s="58">
        <v>400</v>
      </c>
      <c r="I10" s="4"/>
    </row>
    <row r="11" s="3" customFormat="1" customHeight="1" spans="1:9">
      <c r="B11" s="4"/>
      <c r="C11" s="58" t="s">
        <v>113</v>
      </c>
      <c r="D11" s="58" t="s">
        <v>114</v>
      </c>
      <c r="E11" s="58" t="s">
        <v>46</v>
      </c>
      <c r="F11" s="58">
        <v>20</v>
      </c>
      <c r="G11" s="58">
        <v>20</v>
      </c>
      <c r="H11" s="58">
        <v>400</v>
      </c>
      <c r="I11" s="4"/>
    </row>
    <row r="12" s="3" customFormat="1" customHeight="1" spans="1:9">
      <c r="B12" s="4"/>
      <c r="C12" s="58" t="s">
        <v>115</v>
      </c>
      <c r="D12" s="58">
        <v>222</v>
      </c>
      <c r="E12" s="58" t="s">
        <v>115</v>
      </c>
      <c r="F12" s="58">
        <v>20</v>
      </c>
      <c r="G12" s="58">
        <v>20</v>
      </c>
      <c r="H12" s="58">
        <v>400</v>
      </c>
      <c r="I12" s="4"/>
    </row>
    <row r="13" s="3" customFormat="1" customHeight="1" spans="1:9">
      <c r="B13" s="4"/>
      <c r="C13" s="58" t="s">
        <v>115</v>
      </c>
      <c r="D13" s="58" t="s">
        <v>115</v>
      </c>
      <c r="E13" s="58" t="s">
        <v>115</v>
      </c>
      <c r="F13" s="58">
        <v>20</v>
      </c>
      <c r="G13" s="58">
        <v>20</v>
      </c>
      <c r="H13" s="58">
        <v>400</v>
      </c>
      <c r="I13" s="4"/>
    </row>
    <row r="14" s="3" customFormat="1" customHeight="1" spans="1:9">
      <c r="B14" s="4"/>
      <c r="C14" s="58"/>
      <c r="D14" s="58"/>
      <c r="E14" s="58"/>
      <c r="F14" s="58"/>
      <c r="G14" s="58"/>
      <c r="H14" s="58"/>
      <c r="I14" s="4"/>
    </row>
    <row r="15" s="3" customFormat="1" customHeight="1" spans="1:9">
      <c r="B15" s="4"/>
      <c r="C15" s="58"/>
      <c r="D15" s="58"/>
      <c r="E15" s="58"/>
      <c r="F15" s="58"/>
      <c r="G15" s="58"/>
      <c r="H15" s="58"/>
      <c r="I15" s="4"/>
    </row>
    <row r="16" s="3" customFormat="1" customHeight="1" spans="1: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104</v>
      </c>
      <c r="D19" s="60">
        <f>G19</f>
        <v>2800</v>
      </c>
      <c r="E19" s="60"/>
      <c r="F19" s="59" t="s">
        <v>105</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I9" sqref="I9"/>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8" t="s">
        <v>121</v>
      </c>
    </row>
    <row r="3" s="2" customFormat="1" customHeight="1" spans="1:11">
      <c r="B3" s="9"/>
      <c r="C3" s="9"/>
      <c r="D3" s="9"/>
      <c r="E3" s="9"/>
      <c r="F3" s="9"/>
      <c r="G3" s="9"/>
      <c r="H3" s="9"/>
      <c r="I3" s="9"/>
      <c r="J3" s="9"/>
      <c r="K3" s="9"/>
    </row>
    <row r="4" s="2" customFormat="1" ht="30" customHeight="1" spans="1:11">
      <c r="B4" s="9"/>
      <c r="C4" s="9" t="s">
        <v>88</v>
      </c>
      <c r="D4" s="46" t="s">
        <v>25</v>
      </c>
      <c r="E4" s="46" t="s">
        <v>26</v>
      </c>
      <c r="F4" s="46" t="s">
        <v>27</v>
      </c>
      <c r="G4" s="46" t="s">
        <v>28</v>
      </c>
      <c r="H4" s="46" t="s">
        <v>122</v>
      </c>
      <c r="I4" s="46" t="s">
        <v>123</v>
      </c>
      <c r="J4" s="46"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8" t="s">
        <v>124</v>
      </c>
      <c r="I2" s="48"/>
      <c r="J2" s="48" t="s">
        <v>125</v>
      </c>
    </row>
    <row r="3" s="2" customFormat="1" customHeight="1" spans="1:11">
      <c r="B3" s="9"/>
      <c r="C3" s="9"/>
      <c r="D3" s="9"/>
      <c r="E3" s="9"/>
      <c r="F3" s="9"/>
      <c r="G3" s="9"/>
      <c r="H3" s="9"/>
      <c r="I3" s="9"/>
      <c r="J3" s="9"/>
      <c r="K3" s="9"/>
    </row>
    <row r="4" s="2" customFormat="1" ht="30" customHeight="1" spans="1:11">
      <c r="B4" s="9"/>
      <c r="C4" s="46" t="s">
        <v>25</v>
      </c>
      <c r="D4" s="46" t="s">
        <v>26</v>
      </c>
      <c r="E4" s="46" t="s">
        <v>27</v>
      </c>
      <c r="F4" s="46" t="s">
        <v>28</v>
      </c>
      <c r="G4" s="46" t="s">
        <v>126</v>
      </c>
      <c r="H4" s="46" t="s">
        <v>127</v>
      </c>
      <c r="I4" s="46" t="s">
        <v>128</v>
      </c>
      <c r="J4" s="46" t="s">
        <v>129</v>
      </c>
      <c r="K4" s="9"/>
    </row>
    <row r="5" customHeight="1" spans="1:11">
      <c r="C5" s="13">
        <v>1</v>
      </c>
      <c r="D5" s="13" t="s">
        <v>36</v>
      </c>
      <c r="E5" s="13" t="s">
        <v>37</v>
      </c>
      <c r="F5" s="13" t="s">
        <v>38</v>
      </c>
      <c r="G5" s="13">
        <v>112</v>
      </c>
      <c r="H5" s="13">
        <v>50591</v>
      </c>
      <c r="I5" s="13">
        <v>124</v>
      </c>
      <c r="J5" s="13">
        <v>51287</v>
      </c>
    </row>
    <row r="6" customHeight="1" spans="1:11">
      <c r="C6" s="13">
        <v>2</v>
      </c>
      <c r="D6" s="13" t="s">
        <v>40</v>
      </c>
      <c r="E6" s="13" t="s">
        <v>41</v>
      </c>
      <c r="F6" s="13" t="s">
        <v>42</v>
      </c>
      <c r="G6" s="13">
        <v>210</v>
      </c>
      <c r="H6" s="13">
        <v>-20950</v>
      </c>
      <c r="I6" s="13">
        <v>209</v>
      </c>
      <c r="J6" s="13">
        <v>-20951</v>
      </c>
    </row>
    <row r="7" customHeight="1" spans="1:11">
      <c r="C7" s="13">
        <v>3</v>
      </c>
      <c r="D7" s="13" t="s">
        <v>44</v>
      </c>
      <c r="E7" s="13" t="s">
        <v>45</v>
      </c>
      <c r="F7" s="13" t="s">
        <v>46</v>
      </c>
      <c r="G7" s="13">
        <v>21359</v>
      </c>
      <c r="H7" s="13">
        <v>44957</v>
      </c>
      <c r="I7" s="13">
        <v>21359</v>
      </c>
      <c r="J7" s="13">
        <v>44957</v>
      </c>
    </row>
    <row r="8" customHeight="1" spans="1:11">
      <c r="C8" s="13">
        <v>4</v>
      </c>
      <c r="D8" s="13" t="s">
        <v>48</v>
      </c>
      <c r="E8" s="13">
        <v>778899</v>
      </c>
      <c r="F8" s="13" t="s">
        <v>46</v>
      </c>
      <c r="G8" s="13">
        <v>238</v>
      </c>
      <c r="H8" s="13">
        <v>22047</v>
      </c>
      <c r="I8" s="13">
        <v>238</v>
      </c>
      <c r="J8" s="13">
        <v>22047</v>
      </c>
    </row>
    <row r="9" customHeight="1" spans="1:11">
      <c r="C9" s="13">
        <v>5</v>
      </c>
      <c r="D9" s="13" t="s">
        <v>49</v>
      </c>
      <c r="E9" s="13" t="s">
        <v>50</v>
      </c>
      <c r="F9" s="13" t="s">
        <v>51</v>
      </c>
      <c r="G9" s="13">
        <v>9</v>
      </c>
      <c r="H9" s="13">
        <v>8</v>
      </c>
      <c r="I9" s="13">
        <v>9</v>
      </c>
      <c r="J9" s="13">
        <v>8</v>
      </c>
    </row>
    <row r="10" customHeight="1" spans="1:11">
      <c r="C10" s="13">
        <v>6</v>
      </c>
      <c r="D10" s="13" t="s">
        <v>52</v>
      </c>
      <c r="E10" s="13" t="s">
        <v>53</v>
      </c>
      <c r="F10" s="13" t="s">
        <v>54</v>
      </c>
      <c r="G10" s="13">
        <v>1</v>
      </c>
      <c r="H10" s="13">
        <v>20</v>
      </c>
      <c r="I10" s="13">
        <v>1</v>
      </c>
      <c r="J10" s="13">
        <v>20</v>
      </c>
    </row>
    <row r="11" customHeight="1" spans="1:11">
      <c r="C11" s="13">
        <v>7</v>
      </c>
      <c r="D11" s="13" t="s">
        <v>55</v>
      </c>
      <c r="E11" s="13" t="s">
        <v>56</v>
      </c>
      <c r="F11" s="13" t="s">
        <v>57</v>
      </c>
      <c r="G11" s="13">
        <v>-3</v>
      </c>
      <c r="H11" s="13">
        <v>35</v>
      </c>
      <c r="I11" s="13">
        <v>-3</v>
      </c>
      <c r="J11" s="13">
        <v>35</v>
      </c>
    </row>
    <row r="12" customHeight="1" spans="1:11">
      <c r="C12" s="13">
        <v>8</v>
      </c>
      <c r="D12" s="13" t="s">
        <v>59</v>
      </c>
      <c r="E12" s="13" t="s">
        <v>60</v>
      </c>
      <c r="F12" s="13" t="s">
        <v>61</v>
      </c>
      <c r="G12" s="13">
        <v>15</v>
      </c>
      <c r="H12" s="13">
        <v>12481</v>
      </c>
      <c r="I12" s="13">
        <v>15</v>
      </c>
      <c r="J12" s="13">
        <v>12481</v>
      </c>
    </row>
    <row r="13" customHeight="1" spans="1:11">
      <c r="C13" s="13">
        <v>9</v>
      </c>
      <c r="D13" s="13" t="s">
        <v>63</v>
      </c>
      <c r="E13" s="13" t="s">
        <v>50</v>
      </c>
      <c r="F13" s="13" t="s">
        <v>42</v>
      </c>
      <c r="G13" s="13">
        <v>142</v>
      </c>
      <c r="H13" s="13">
        <v>1540</v>
      </c>
      <c r="I13" s="13">
        <v>144</v>
      </c>
      <c r="J13"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10"/>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8"/>
    </row>
    <row r="3" s="2" customFormat="1" customHeight="1" spans="1:9">
      <c r="B3" s="9"/>
      <c r="C3" s="9"/>
      <c r="D3" s="9"/>
      <c r="E3" s="9"/>
      <c r="F3" s="9"/>
      <c r="G3" s="9"/>
      <c r="H3" s="9"/>
      <c r="I3" s="9"/>
    </row>
    <row r="4" s="2" customFormat="1" ht="30" customHeight="1" spans="1:9">
      <c r="B4" s="9"/>
      <c r="C4" s="46" t="s">
        <v>25</v>
      </c>
      <c r="D4" s="46" t="s">
        <v>26</v>
      </c>
      <c r="E4" s="46" t="s">
        <v>27</v>
      </c>
      <c r="F4" s="46" t="s">
        <v>28</v>
      </c>
      <c r="G4" s="46" t="s">
        <v>32</v>
      </c>
      <c r="H4" s="46" t="s">
        <v>130</v>
      </c>
      <c r="I4" s="9"/>
    </row>
    <row r="5" customHeight="1" spans="1:9">
      <c r="C5" s="13">
        <v>1</v>
      </c>
      <c r="D5" s="13" t="s">
        <v>36</v>
      </c>
      <c r="E5" s="13" t="s">
        <v>37</v>
      </c>
      <c r="F5" s="13" t="s">
        <v>38</v>
      </c>
      <c r="G5" s="13">
        <v>124</v>
      </c>
      <c r="H5" s="13">
        <v>51287</v>
      </c>
    </row>
    <row r="6" customHeight="1" spans="1:9">
      <c r="C6" s="13">
        <v>2</v>
      </c>
      <c r="D6" s="13" t="s">
        <v>40</v>
      </c>
      <c r="E6" s="13" t="s">
        <v>41</v>
      </c>
      <c r="F6" s="13" t="s">
        <v>42</v>
      </c>
      <c r="G6" s="13">
        <v>209</v>
      </c>
      <c r="H6" s="13">
        <v>-20951</v>
      </c>
    </row>
    <row r="7" customHeight="1" spans="1:9">
      <c r="C7" s="13">
        <v>3</v>
      </c>
      <c r="D7" s="13" t="s">
        <v>44</v>
      </c>
      <c r="E7" s="13" t="s">
        <v>45</v>
      </c>
      <c r="F7" s="13" t="s">
        <v>46</v>
      </c>
      <c r="G7" s="13">
        <v>21359</v>
      </c>
      <c r="H7" s="13">
        <v>44957</v>
      </c>
    </row>
    <row r="8" customHeight="1" spans="1:9">
      <c r="C8" s="13">
        <v>4</v>
      </c>
      <c r="D8" s="13" t="s">
        <v>48</v>
      </c>
      <c r="E8" s="13">
        <v>778899</v>
      </c>
      <c r="F8" s="13" t="s">
        <v>46</v>
      </c>
      <c r="G8" s="13">
        <v>238</v>
      </c>
      <c r="H8" s="13">
        <v>22047</v>
      </c>
    </row>
    <row r="9" customHeight="1" spans="1:9">
      <c r="C9" s="13">
        <v>5</v>
      </c>
      <c r="D9" s="13" t="s">
        <v>59</v>
      </c>
      <c r="E9" s="13" t="s">
        <v>60</v>
      </c>
      <c r="F9" s="13" t="s">
        <v>61</v>
      </c>
      <c r="G9" s="13">
        <v>15</v>
      </c>
      <c r="H9" s="13">
        <v>12481</v>
      </c>
    </row>
    <row r="10" customHeight="1" spans="1:9">
      <c r="C10" s="13">
        <v>6</v>
      </c>
      <c r="D10" s="13" t="s">
        <v>63</v>
      </c>
      <c r="E10" s="13" t="s">
        <v>50</v>
      </c>
      <c r="F10" s="13" t="s">
        <v>42</v>
      </c>
      <c r="G10" s="13">
        <v>144</v>
      </c>
      <c r="H10"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11" activePane="bottomLeft" state="frozen"/>
      <selection/>
      <selection pane="bottomLeft" activeCell="B14" sqref="B14"/>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3"/>
    </row>
    <row r="2" s="2" customFormat="1" ht="39.95" customHeight="1" spans="1:15">
      <c r="L2" s="44"/>
    </row>
    <row r="3" s="2" customFormat="1" customHeight="1" spans="1:15">
      <c r="B3" s="9"/>
      <c r="C3" s="9"/>
      <c r="D3" s="9"/>
      <c r="E3" s="9"/>
      <c r="F3" s="9"/>
      <c r="G3" s="9"/>
      <c r="H3" s="9"/>
      <c r="I3" s="9"/>
      <c r="J3" s="9"/>
      <c r="K3" s="9"/>
      <c r="L3" s="45"/>
      <c r="M3" s="9"/>
      <c r="N3" s="9"/>
      <c r="O3" s="9"/>
    </row>
    <row r="4" s="2" customFormat="1" ht="30" customHeight="1" spans="1:15">
      <c r="B4" s="20" t="s">
        <v>87</v>
      </c>
      <c r="C4" s="9" t="s">
        <v>88</v>
      </c>
      <c r="D4" s="46" t="s">
        <v>25</v>
      </c>
      <c r="E4" s="46" t="s">
        <v>89</v>
      </c>
      <c r="F4" s="46" t="s">
        <v>27</v>
      </c>
      <c r="G4" s="46" t="s">
        <v>26</v>
      </c>
      <c r="H4" s="46" t="s">
        <v>28</v>
      </c>
      <c r="I4" s="46" t="s">
        <v>90</v>
      </c>
      <c r="J4" s="46" t="s">
        <v>30</v>
      </c>
      <c r="K4" s="46" t="s">
        <v>131</v>
      </c>
      <c r="L4" s="47" t="s">
        <v>92</v>
      </c>
      <c r="M4" s="46" t="s">
        <v>93</v>
      </c>
      <c r="N4" s="46" t="s">
        <v>132</v>
      </c>
      <c r="O4" s="9"/>
    </row>
    <row r="5" s="3" customFormat="1" customHeight="1" spans="1:15">
      <c r="B5" s="18"/>
      <c r="C5" s="4"/>
      <c r="D5" s="13"/>
      <c r="E5" s="13"/>
      <c r="F5" s="13"/>
      <c r="G5" s="13"/>
      <c r="H5" s="13"/>
      <c r="I5" s="13"/>
      <c r="J5" s="13"/>
      <c r="K5" s="13"/>
      <c r="L5" s="42"/>
      <c r="M5" s="13"/>
      <c r="N5" s="13"/>
      <c r="O5" s="4"/>
    </row>
    <row r="6" s="3" customFormat="1" customHeight="1" spans="1:15">
      <c r="B6" s="18"/>
      <c r="C6" s="4"/>
      <c r="D6" s="13"/>
      <c r="E6" s="13"/>
      <c r="F6" s="13"/>
      <c r="G6" s="13"/>
      <c r="H6" s="13"/>
      <c r="I6" s="13"/>
      <c r="J6" s="13"/>
      <c r="K6" s="13"/>
      <c r="L6" s="42"/>
      <c r="M6" s="13"/>
      <c r="N6" s="13"/>
      <c r="O6" s="4"/>
    </row>
    <row r="7" s="3" customFormat="1" customHeight="1" spans="1:15">
      <c r="B7" s="18"/>
      <c r="C7" s="4"/>
      <c r="D7" s="13"/>
      <c r="E7" s="13"/>
      <c r="F7" s="13"/>
      <c r="G7" s="13"/>
      <c r="H7" s="13"/>
      <c r="I7" s="13"/>
      <c r="J7" s="13"/>
      <c r="K7" s="13"/>
      <c r="L7" s="42"/>
      <c r="M7" s="13"/>
      <c r="N7" s="13"/>
      <c r="O7" s="4"/>
    </row>
    <row r="8" s="3" customFormat="1" customHeight="1" spans="1:15">
      <c r="B8" s="18"/>
      <c r="C8" s="4"/>
      <c r="D8" s="13"/>
      <c r="E8" s="13"/>
      <c r="F8" s="13"/>
      <c r="G8" s="13"/>
      <c r="H8" s="13"/>
      <c r="I8" s="13"/>
      <c r="J8" s="13"/>
      <c r="K8" s="13"/>
      <c r="L8" s="42"/>
      <c r="M8" s="13"/>
      <c r="N8" s="13"/>
      <c r="O8" s="4"/>
    </row>
    <row r="9" s="3" customFormat="1" customHeight="1" spans="1:15">
      <c r="B9" s="18"/>
      <c r="C9" s="4"/>
      <c r="D9" s="13"/>
      <c r="E9" s="13"/>
      <c r="F9" s="13"/>
      <c r="G9" s="13"/>
      <c r="H9" s="13"/>
      <c r="I9" s="13"/>
      <c r="J9" s="13"/>
      <c r="K9" s="13"/>
      <c r="L9" s="42"/>
      <c r="M9" s="13"/>
      <c r="N9" s="13"/>
      <c r="O9" s="4"/>
    </row>
    <row r="10" s="3" customFormat="1" customHeight="1" spans="1:15">
      <c r="B10" s="18"/>
      <c r="C10" s="4"/>
      <c r="D10" s="13"/>
      <c r="E10" s="13"/>
      <c r="F10" s="13"/>
      <c r="G10" s="13"/>
      <c r="H10" s="13"/>
      <c r="I10" s="13"/>
      <c r="J10" s="13"/>
      <c r="K10" s="13"/>
      <c r="L10" s="42"/>
      <c r="M10" s="13"/>
      <c r="N10" s="13"/>
      <c r="O10" s="4"/>
    </row>
    <row r="11" s="3" customFormat="1" customHeight="1" spans="1:15">
      <c r="B11" s="18"/>
      <c r="C11" s="4"/>
      <c r="D11" s="13"/>
      <c r="E11" s="13"/>
      <c r="F11" s="13"/>
      <c r="G11" s="13"/>
      <c r="H11" s="13"/>
      <c r="I11" s="13"/>
      <c r="J11" s="13"/>
      <c r="K11" s="13"/>
      <c r="L11" s="42"/>
      <c r="M11" s="13"/>
      <c r="N11" s="13"/>
      <c r="O11" s="4"/>
    </row>
    <row r="12" s="3" customFormat="1" customHeight="1" spans="1:15">
      <c r="B12" s="18"/>
      <c r="C12" s="4"/>
      <c r="D12" s="13"/>
      <c r="E12" s="13"/>
      <c r="F12" s="13"/>
      <c r="G12" s="13"/>
      <c r="H12" s="13"/>
      <c r="I12" s="13"/>
      <c r="J12" s="13"/>
      <c r="K12" s="13"/>
      <c r="L12" s="42"/>
      <c r="M12" s="13"/>
      <c r="N12" s="13"/>
      <c r="O12" s="4"/>
    </row>
    <row r="13" s="3" customFormat="1" customHeight="1" spans="1: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AD6" sqref="AD6"/>
    </sheetView>
  </sheetViews>
  <sheetFormatPr defaultColWidth="9" defaultRowHeight="20.1" customHeight="1"/>
  <cols>
    <col min="1" max="1" width="4.625" style="29" customWidth="1"/>
    <col min="2" max="2" width="3.375" style="30" customWidth="1"/>
    <col min="3" max="3" width="4.625" style="30" hidden="1" customWidth="1"/>
    <col min="4" max="4" width="16.875" style="31" customWidth="1"/>
    <col min="5" max="7" width="16.875" style="17" customWidth="1"/>
    <col min="8" max="16" width="16.875" style="31" customWidth="1"/>
    <col min="17" max="17" width="3.375" style="30" customWidth="1"/>
    <col min="18" max="18" width="9" style="29" hidden="1" customWidth="1"/>
    <col min="19" max="19" width="9" style="29"/>
    <col min="20" max="16384" width="9" style="32"/>
  </cols>
  <sheetData>
    <row r="1" s="27" customFormat="1" ht="60" customHeight="1" spans="1:17">
      <c r="A1" s="33"/>
      <c r="E1" s="34"/>
      <c r="F1" s="34"/>
      <c r="G1" s="34"/>
    </row>
    <row r="2" s="28" customFormat="1" ht="39.95" customHeight="1" spans="1:17">
      <c r="E2" s="35"/>
      <c r="F2" s="35"/>
      <c r="G2" s="35"/>
      <c r="H2" s="36" t="s">
        <v>33</v>
      </c>
      <c r="I2" s="36"/>
    </row>
    <row r="3" s="28" customFormat="1" customHeight="1" spans="1:17">
      <c r="B3" s="37"/>
      <c r="C3" s="37"/>
      <c r="D3" s="37"/>
      <c r="E3" s="38"/>
      <c r="F3" s="38"/>
      <c r="G3" s="38"/>
      <c r="H3" s="37"/>
      <c r="I3" s="37"/>
      <c r="J3" s="37"/>
      <c r="K3" s="37"/>
      <c r="L3" s="37"/>
      <c r="M3" s="37"/>
      <c r="N3" s="37"/>
      <c r="O3" s="37"/>
      <c r="P3" s="37"/>
      <c r="Q3" s="37"/>
    </row>
    <row r="4" s="28" customFormat="1" ht="24.95" customHeight="1" spans="1:17">
      <c r="B4" s="37"/>
      <c r="C4" s="37" t="s">
        <v>88</v>
      </c>
      <c r="D4" s="16" t="s">
        <v>25</v>
      </c>
      <c r="E4" s="39" t="s">
        <v>27</v>
      </c>
      <c r="F4" s="39" t="s">
        <v>26</v>
      </c>
      <c r="G4" s="39" t="s">
        <v>28</v>
      </c>
      <c r="H4" s="16" t="s">
        <v>133</v>
      </c>
      <c r="I4" s="16"/>
      <c r="J4" s="16" t="s">
        <v>134</v>
      </c>
      <c r="K4" s="16"/>
      <c r="L4" s="16" t="s">
        <v>135</v>
      </c>
      <c r="M4" s="16"/>
      <c r="N4" s="16" t="s">
        <v>136</v>
      </c>
      <c r="O4" s="16"/>
      <c r="P4" s="16" t="s">
        <v>137</v>
      </c>
      <c r="Q4" s="37"/>
    </row>
    <row r="5" s="28" customFormat="1" ht="24.95" customHeight="1" spans="1:17">
      <c r="B5" s="37"/>
      <c r="C5" s="37"/>
      <c r="D5" s="40"/>
      <c r="E5" s="41"/>
      <c r="F5" s="41"/>
      <c r="G5" s="41"/>
      <c r="H5" s="40" t="s">
        <v>30</v>
      </c>
      <c r="I5" s="40" t="s">
        <v>31</v>
      </c>
      <c r="J5" s="40" t="s">
        <v>30</v>
      </c>
      <c r="K5" s="40" t="s">
        <v>31</v>
      </c>
      <c r="L5" s="40" t="s">
        <v>30</v>
      </c>
      <c r="M5" s="40" t="s">
        <v>31</v>
      </c>
      <c r="N5" s="40" t="s">
        <v>30</v>
      </c>
      <c r="O5" s="40" t="s">
        <v>31</v>
      </c>
      <c r="P5" s="40"/>
      <c r="Q5" s="37"/>
    </row>
    <row r="6" s="29" customFormat="1" customHeight="1" spans="1:17">
      <c r="B6" s="30"/>
      <c r="C6" s="30"/>
      <c r="D6" s="31"/>
      <c r="E6" s="17"/>
      <c r="F6" s="17"/>
      <c r="G6" s="17"/>
      <c r="H6" s="31"/>
      <c r="I6" s="31"/>
      <c r="J6" s="31"/>
      <c r="K6" s="31"/>
      <c r="L6" s="31"/>
      <c r="M6" s="31"/>
      <c r="N6" s="31"/>
      <c r="O6" s="31"/>
      <c r="P6" s="31"/>
      <c r="Q6" s="30"/>
    </row>
    <row r="7" s="29" customFormat="1" customHeight="1" spans="1:17">
      <c r="B7" s="30"/>
      <c r="C7" s="30"/>
      <c r="D7" s="31"/>
      <c r="E7" s="17"/>
      <c r="F7" s="17"/>
      <c r="G7" s="17"/>
      <c r="H7" s="31"/>
      <c r="I7" s="31"/>
      <c r="J7" s="31"/>
      <c r="K7" s="31"/>
      <c r="L7" s="31"/>
      <c r="M7" s="31"/>
      <c r="N7" s="31"/>
      <c r="O7" s="31"/>
      <c r="P7" s="31"/>
      <c r="Q7" s="30"/>
    </row>
    <row r="8" s="29" customFormat="1" customHeight="1" spans="1:17">
      <c r="B8" s="30"/>
      <c r="C8" s="30"/>
      <c r="D8" s="31"/>
      <c r="E8" s="17"/>
      <c r="F8" s="17"/>
      <c r="G8" s="17"/>
      <c r="H8" s="31"/>
      <c r="I8" s="31"/>
      <c r="J8" s="31"/>
      <c r="K8" s="31"/>
      <c r="L8" s="31"/>
      <c r="M8" s="31"/>
      <c r="N8" s="31"/>
      <c r="O8" s="31"/>
      <c r="P8" s="31"/>
      <c r="Q8" s="30"/>
    </row>
    <row r="9" s="29" customFormat="1" customHeight="1" spans="1:17">
      <c r="B9" s="30"/>
      <c r="C9" s="30"/>
      <c r="D9" s="31"/>
      <c r="E9" s="17"/>
      <c r="F9" s="17"/>
      <c r="G9" s="17"/>
      <c r="H9" s="31"/>
      <c r="I9" s="31"/>
      <c r="J9" s="31"/>
      <c r="K9" s="31"/>
      <c r="L9" s="31"/>
      <c r="M9" s="31"/>
      <c r="N9" s="31"/>
      <c r="O9" s="31"/>
      <c r="P9" s="31"/>
      <c r="Q9" s="30"/>
    </row>
    <row r="10" s="29" customFormat="1" customHeight="1" spans="1:17">
      <c r="B10" s="30"/>
      <c r="C10" s="30"/>
      <c r="D10" s="31"/>
      <c r="E10" s="17"/>
      <c r="F10" s="17"/>
      <c r="G10" s="17"/>
      <c r="H10" s="31"/>
      <c r="I10" s="31"/>
      <c r="J10" s="31"/>
      <c r="K10" s="31"/>
      <c r="L10" s="31"/>
      <c r="M10" s="31"/>
      <c r="N10" s="31"/>
      <c r="O10" s="31"/>
      <c r="P10" s="31"/>
      <c r="Q10" s="30"/>
    </row>
    <row r="11" s="29" customFormat="1" customHeight="1" spans="1:17">
      <c r="B11" s="30"/>
      <c r="C11" s="30"/>
      <c r="D11" s="31"/>
      <c r="E11" s="17"/>
      <c r="F11" s="17"/>
      <c r="G11" s="17"/>
      <c r="H11" s="31"/>
      <c r="I11" s="31"/>
      <c r="J11" s="31"/>
      <c r="K11" s="31"/>
      <c r="L11" s="31"/>
      <c r="M11" s="31"/>
      <c r="N11" s="31"/>
      <c r="O11" s="31"/>
      <c r="P11" s="31"/>
      <c r="Q11" s="30"/>
    </row>
    <row r="12" s="29" customFormat="1" customHeight="1" spans="1:17">
      <c r="B12" s="30"/>
      <c r="C12" s="30"/>
      <c r="D12" s="31"/>
      <c r="E12" s="17"/>
      <c r="F12" s="17"/>
      <c r="G12" s="17"/>
      <c r="H12" s="31"/>
      <c r="I12" s="31"/>
      <c r="J12" s="31"/>
      <c r="K12" s="31"/>
      <c r="L12" s="31"/>
      <c r="M12" s="31"/>
      <c r="N12" s="31"/>
      <c r="O12" s="31"/>
      <c r="P12" s="31"/>
      <c r="Q12" s="30"/>
    </row>
    <row r="13" s="29" customFormat="1" customHeight="1" spans="1:17">
      <c r="B13" s="30"/>
      <c r="C13" s="30"/>
      <c r="D13" s="31"/>
      <c r="E13" s="17"/>
      <c r="F13" s="17"/>
      <c r="G13" s="17"/>
      <c r="H13" s="31"/>
      <c r="I13" s="31"/>
      <c r="J13" s="31"/>
      <c r="K13" s="31"/>
      <c r="L13" s="31"/>
      <c r="M13" s="31"/>
      <c r="N13" s="31"/>
      <c r="O13" s="31"/>
      <c r="P13" s="31"/>
      <c r="Q13" s="30"/>
    </row>
    <row r="14" s="29" customFormat="1" customHeight="1" spans="1:17">
      <c r="B14" s="30"/>
      <c r="C14" s="30"/>
      <c r="D14" s="31"/>
      <c r="E14" s="17"/>
      <c r="F14" s="17"/>
      <c r="G14" s="17"/>
      <c r="H14" s="31"/>
      <c r="I14" s="31"/>
      <c r="J14" s="31"/>
      <c r="K14" s="31"/>
      <c r="L14" s="31"/>
      <c r="M14" s="31"/>
      <c r="N14" s="31"/>
      <c r="O14" s="31"/>
      <c r="P14" s="31"/>
      <c r="Q14" s="30"/>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L11" sqref="L11"/>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88</v>
      </c>
      <c r="D4" s="16" t="s">
        <v>27</v>
      </c>
      <c r="E4" s="16" t="s">
        <v>26</v>
      </c>
      <c r="F4" s="16" t="s">
        <v>76</v>
      </c>
      <c r="G4" s="25" t="s">
        <v>134</v>
      </c>
      <c r="H4" s="26"/>
      <c r="I4" s="25" t="s">
        <v>135</v>
      </c>
      <c r="J4" s="26"/>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3" t="s">
        <v>138</v>
      </c>
      <c r="E6" s="13" t="s">
        <v>36</v>
      </c>
      <c r="F6" s="13" t="s">
        <v>80</v>
      </c>
      <c r="G6" s="13">
        <v>80</v>
      </c>
      <c r="H6" s="13">
        <v>5280</v>
      </c>
      <c r="I6" s="13">
        <v>65</v>
      </c>
      <c r="J6" s="13">
        <v>5720</v>
      </c>
      <c r="K6" s="4"/>
    </row>
    <row r="7" s="3" customFormat="1" customHeight="1" spans="1:11">
      <c r="B7" s="4"/>
      <c r="C7" s="4"/>
      <c r="D7" s="23" t="s">
        <v>139</v>
      </c>
      <c r="E7" s="13" t="s">
        <v>36</v>
      </c>
      <c r="F7" s="13" t="s">
        <v>80</v>
      </c>
      <c r="G7" s="13">
        <v>120</v>
      </c>
      <c r="H7" s="13">
        <v>46000</v>
      </c>
      <c r="I7" s="13">
        <v>0</v>
      </c>
      <c r="J7" s="13">
        <v>0</v>
      </c>
      <c r="K7" s="4"/>
    </row>
    <row r="8" s="3" customFormat="1" customHeight="1" spans="1:11">
      <c r="B8" s="4"/>
      <c r="C8" s="4"/>
      <c r="D8" s="23" t="s">
        <v>37</v>
      </c>
      <c r="E8" s="13" t="s">
        <v>36</v>
      </c>
      <c r="F8" s="13" t="s">
        <v>38</v>
      </c>
      <c r="G8" s="13">
        <v>230</v>
      </c>
      <c r="H8" s="13">
        <v>14989</v>
      </c>
      <c r="I8" s="13">
        <v>344</v>
      </c>
      <c r="J8" s="13">
        <v>16851</v>
      </c>
      <c r="K8" s="4"/>
    </row>
    <row r="9" s="3" customFormat="1" customHeight="1" spans="1:11">
      <c r="B9" s="4"/>
      <c r="C9" s="4"/>
      <c r="D9" s="23" t="s">
        <v>37</v>
      </c>
      <c r="E9" s="13" t="s">
        <v>36</v>
      </c>
      <c r="F9" s="13" t="s">
        <v>80</v>
      </c>
      <c r="G9" s="13">
        <v>230</v>
      </c>
      <c r="H9" s="13">
        <v>14989</v>
      </c>
      <c r="I9" s="13">
        <v>344</v>
      </c>
      <c r="J9" s="13">
        <v>16851</v>
      </c>
      <c r="K9" s="4"/>
    </row>
    <row r="10" s="3" customFormat="1" customHeight="1" spans="1:11">
      <c r="B10" s="4"/>
      <c r="C10" s="4"/>
      <c r="D10" s="23" t="s">
        <v>112</v>
      </c>
      <c r="E10" s="13" t="s">
        <v>36</v>
      </c>
      <c r="F10" s="13" t="s">
        <v>38</v>
      </c>
      <c r="G10" s="13">
        <v>200</v>
      </c>
      <c r="H10" s="13">
        <v>14000</v>
      </c>
      <c r="I10" s="13">
        <v>20</v>
      </c>
      <c r="J10" s="13">
        <v>400</v>
      </c>
      <c r="K10" s="4"/>
    </row>
    <row r="11" s="3" customFormat="1" customHeight="1" spans="1:11">
      <c r="B11" s="4"/>
      <c r="C11" s="4"/>
      <c r="D11" s="23"/>
      <c r="E11" s="13"/>
      <c r="F11" s="13"/>
      <c r="G11" s="13"/>
      <c r="H11" s="13"/>
      <c r="I11" s="13"/>
      <c r="J11" s="13"/>
      <c r="K11" s="4"/>
    </row>
    <row r="12" s="3" customFormat="1" customHeight="1" spans="1:11">
      <c r="B12" s="4"/>
      <c r="C12" s="4"/>
      <c r="D12" s="23"/>
      <c r="E12" s="13"/>
      <c r="F12" s="13"/>
      <c r="G12" s="13"/>
      <c r="H12" s="13"/>
      <c r="I12" s="13"/>
      <c r="J12" s="13"/>
      <c r="K12" s="4"/>
    </row>
    <row r="13" s="3" customFormat="1" customHeight="1" spans="1:11">
      <c r="B13" s="4"/>
      <c r="C13" s="4"/>
      <c r="D13" s="23"/>
      <c r="E13" s="13"/>
      <c r="F13" s="13"/>
      <c r="G13" s="13"/>
      <c r="H13" s="13"/>
      <c r="I13" s="13"/>
      <c r="J13" s="13"/>
      <c r="K13" s="4"/>
    </row>
    <row r="14" s="3" customFormat="1" customHeight="1" spans="1:11">
      <c r="B14" s="4"/>
      <c r="C14" s="4"/>
      <c r="D14" s="23"/>
      <c r="E14" s="13"/>
      <c r="F14" s="13"/>
      <c r="G14" s="13"/>
      <c r="H14" s="13"/>
      <c r="I14" s="13"/>
      <c r="J14" s="13"/>
      <c r="K14" s="4"/>
    </row>
    <row r="15" s="3" customFormat="1" customHeight="1" spans="1:11">
      <c r="B15" s="4"/>
      <c r="C15" s="4"/>
      <c r="D15" s="23"/>
      <c r="E15" s="13"/>
      <c r="F15" s="13"/>
      <c r="G15" s="13"/>
      <c r="H15" s="13"/>
      <c r="I15" s="13"/>
      <c r="J15" s="13"/>
      <c r="K15" s="4"/>
    </row>
    <row r="16" s="3" customFormat="1" customHeight="1" spans="1: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G8" sqref="G8"/>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140</v>
      </c>
      <c r="E4" s="16" t="s">
        <v>27</v>
      </c>
      <c r="F4" s="24" t="s">
        <v>28</v>
      </c>
      <c r="G4" s="24" t="s">
        <v>26</v>
      </c>
      <c r="H4" s="24" t="s">
        <v>141</v>
      </c>
      <c r="I4" s="24" t="s">
        <v>142</v>
      </c>
      <c r="J4" s="9"/>
    </row>
    <row r="5" s="3" customFormat="1" customHeight="1" spans="1:10">
      <c r="B5" s="4"/>
      <c r="C5" s="4"/>
      <c r="D5" s="23" t="s">
        <v>138</v>
      </c>
      <c r="E5" s="13" t="s">
        <v>36</v>
      </c>
      <c r="F5" s="13" t="s">
        <v>80</v>
      </c>
      <c r="G5" s="13">
        <v>80</v>
      </c>
      <c r="H5" s="13">
        <v>5280</v>
      </c>
      <c r="I5" s="13">
        <v>65</v>
      </c>
      <c r="J5" s="4"/>
    </row>
    <row r="6" s="3" customFormat="1" customHeight="1" spans="1:10">
      <c r="B6" s="4"/>
      <c r="C6" s="4"/>
      <c r="D6" s="23"/>
      <c r="E6" s="13"/>
      <c r="F6" s="13"/>
      <c r="G6" s="13"/>
      <c r="H6" s="13"/>
      <c r="I6" s="13"/>
      <c r="J6" s="4"/>
    </row>
    <row r="7" s="3" customFormat="1" customHeight="1" spans="1:10">
      <c r="B7" s="4"/>
      <c r="C7" s="4"/>
      <c r="D7" s="23"/>
      <c r="E7" s="13"/>
      <c r="F7" s="13"/>
      <c r="G7" s="13"/>
      <c r="H7" s="13"/>
      <c r="I7" s="13"/>
      <c r="J7" s="4"/>
    </row>
    <row r="8" s="3" customFormat="1" customHeight="1" spans="1:10">
      <c r="B8" s="4"/>
      <c r="C8" s="4"/>
      <c r="D8" s="23"/>
      <c r="E8" s="13"/>
      <c r="F8" s="13"/>
      <c r="G8" s="13"/>
      <c r="H8" s="13"/>
      <c r="I8" s="13"/>
      <c r="J8" s="4"/>
    </row>
    <row r="9" s="3" customFormat="1" customHeight="1" spans="1:10">
      <c r="B9" s="4"/>
      <c r="C9" s="4"/>
      <c r="D9" s="23"/>
      <c r="E9" s="13"/>
      <c r="F9" s="13"/>
      <c r="G9" s="13"/>
      <c r="H9" s="13"/>
      <c r="I9" s="13"/>
      <c r="J9" s="4"/>
    </row>
    <row r="10" s="3" customFormat="1" customHeight="1" spans="1:10">
      <c r="B10" s="4"/>
      <c r="C10" s="4"/>
      <c r="D10" s="23"/>
      <c r="E10" s="13"/>
      <c r="F10" s="13"/>
      <c r="G10" s="13"/>
      <c r="H10" s="13"/>
      <c r="I10" s="13"/>
      <c r="J10" s="4"/>
    </row>
    <row r="11" s="3" customFormat="1" customHeight="1" spans="1:10">
      <c r="B11" s="4"/>
      <c r="C11" s="4"/>
      <c r="D11" s="23"/>
      <c r="E11" s="13"/>
      <c r="F11" s="13"/>
      <c r="G11" s="13"/>
      <c r="H11" s="13"/>
      <c r="I11" s="13"/>
      <c r="J11" s="4"/>
    </row>
    <row r="12" s="3" customFormat="1" customHeight="1" spans="1:10">
      <c r="B12" s="4"/>
      <c r="C12" s="4"/>
      <c r="D12" s="23"/>
      <c r="E12" s="13"/>
      <c r="F12" s="13"/>
      <c r="G12" s="13"/>
      <c r="H12" s="13"/>
      <c r="I12" s="13"/>
      <c r="J12" s="4"/>
    </row>
    <row r="13" s="3" customFormat="1" customHeight="1" spans="1:10">
      <c r="B13" s="4"/>
      <c r="C13" s="4"/>
      <c r="D13" s="23"/>
      <c r="E13" s="13"/>
      <c r="F13" s="13"/>
      <c r="G13" s="13"/>
      <c r="H13" s="13"/>
      <c r="I13" s="13"/>
      <c r="J13" s="4"/>
    </row>
    <row r="14" s="3" customFormat="1" customHeight="1" spans="1:10">
      <c r="B14" s="4"/>
      <c r="C14" s="4"/>
      <c r="D14" s="23"/>
      <c r="E14" s="13"/>
      <c r="F14" s="13"/>
      <c r="G14" s="13"/>
      <c r="H14" s="13"/>
      <c r="I14" s="13"/>
      <c r="J14" s="4"/>
    </row>
    <row r="15" s="3" customFormat="1" customHeight="1" spans="1:10">
      <c r="B15" s="4"/>
      <c r="C15" s="4"/>
      <c r="D15" s="23"/>
      <c r="E15" s="13"/>
      <c r="F15" s="13"/>
      <c r="G15" s="13"/>
      <c r="H15" s="13"/>
      <c r="I15" s="13"/>
      <c r="J15" s="4"/>
    </row>
    <row r="16" s="3" customFormat="1" customHeight="1" spans="1:10">
      <c r="B16" s="4"/>
      <c r="C16" s="4"/>
      <c r="D16" s="23"/>
      <c r="E16" s="13"/>
      <c r="F16" s="13"/>
      <c r="G16" s="13"/>
      <c r="H16" s="13"/>
      <c r="I16" s="13"/>
      <c r="J16" s="4"/>
    </row>
    <row r="17" s="3" customFormat="1" customHeight="1" spans="2:10">
      <c r="B17" s="4"/>
      <c r="C17" s="4"/>
      <c r="D17" s="23"/>
      <c r="E17" s="13"/>
      <c r="F17" s="13"/>
      <c r="G17" s="13"/>
      <c r="H17" s="13"/>
      <c r="I17" s="13"/>
      <c r="J17" s="4"/>
    </row>
    <row r="18" s="3" customFormat="1" customHeight="1" spans="2:10">
      <c r="B18" s="4"/>
      <c r="C18" s="4"/>
      <c r="D18" s="23"/>
      <c r="E18" s="13"/>
      <c r="F18" s="13"/>
      <c r="G18" s="13"/>
      <c r="H18" s="13"/>
      <c r="I18" s="13"/>
      <c r="J18" s="4"/>
    </row>
    <row r="19" s="3" customFormat="1" customHeight="1" spans="2:10">
      <c r="B19" s="4"/>
      <c r="C19" s="4"/>
      <c r="D19" s="23"/>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11" sqref="B11"/>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9"/>
      <c r="E3" s="9"/>
      <c r="F3" s="9"/>
      <c r="G3" s="9"/>
      <c r="H3" s="9"/>
      <c r="I3" s="9"/>
      <c r="J3" s="9"/>
      <c r="K3" s="9"/>
      <c r="L3" s="9"/>
      <c r="M3" s="9"/>
    </row>
    <row r="4" s="2" customFormat="1" ht="30" customHeight="1" spans="1:13">
      <c r="B4" s="20" t="s">
        <v>87</v>
      </c>
      <c r="C4" s="9" t="s">
        <v>88</v>
      </c>
      <c r="D4" s="21" t="s">
        <v>25</v>
      </c>
      <c r="E4" s="16" t="s">
        <v>26</v>
      </c>
      <c r="F4" s="16" t="s">
        <v>27</v>
      </c>
      <c r="G4" s="16" t="s">
        <v>28</v>
      </c>
      <c r="H4" s="16" t="s">
        <v>29</v>
      </c>
      <c r="I4" s="16" t="s">
        <v>143</v>
      </c>
      <c r="J4" s="16" t="s">
        <v>140</v>
      </c>
      <c r="K4" s="16" t="s">
        <v>144</v>
      </c>
      <c r="L4" s="16" t="s">
        <v>137</v>
      </c>
      <c r="M4" s="9"/>
    </row>
    <row r="5" customHeight="1" spans="1:13">
      <c r="D5" s="22"/>
    </row>
    <row r="6" customHeight="1" spans="1:13">
      <c r="D6" s="22"/>
    </row>
  </sheetData>
  <sheetProtection formatCells="0" formatColumns="0" formatRows="0" insertRows="0" insertColumns="0" insertHyperlinks="0" deleteColumns="0" deleteRows="0" sort="0" autoFilter="0" pivotTables="0"/>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AL6" sqref="AL6"/>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88</v>
      </c>
      <c r="D4" s="16" t="s">
        <v>25</v>
      </c>
      <c r="E4" s="16" t="s">
        <v>145</v>
      </c>
      <c r="F4" s="16" t="s">
        <v>146</v>
      </c>
      <c r="G4" s="16" t="s">
        <v>147</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AL4" sqref="AL4"/>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88</v>
      </c>
      <c r="D4" s="16" t="s">
        <v>25</v>
      </c>
      <c r="E4" s="16" t="s">
        <v>148</v>
      </c>
      <c r="F4" s="16" t="s">
        <v>146</v>
      </c>
      <c r="G4" s="16" t="s">
        <v>147</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AK4" sqref="AK4"/>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88</v>
      </c>
      <c r="D4" s="16" t="s">
        <v>25</v>
      </c>
      <c r="E4" s="16" t="s">
        <v>27</v>
      </c>
      <c r="F4" s="16" t="s">
        <v>26</v>
      </c>
      <c r="G4" s="16" t="s">
        <v>28</v>
      </c>
      <c r="H4" s="16" t="s">
        <v>29</v>
      </c>
      <c r="I4" s="16" t="s">
        <v>149</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O7" sqref="O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88</v>
      </c>
      <c r="D4" s="16" t="s">
        <v>79</v>
      </c>
      <c r="E4" s="9"/>
    </row>
    <row r="5" s="3" customFormat="1" customHeight="1" spans="1:5">
      <c r="B5" s="4"/>
      <c r="C5" s="4">
        <v>4</v>
      </c>
      <c r="D5" s="13" t="s">
        <v>35</v>
      </c>
      <c r="E5" s="4"/>
    </row>
    <row r="6" s="3" customFormat="1" customHeight="1" spans="1:5">
      <c r="B6" s="4"/>
      <c r="C6" s="4">
        <v>17</v>
      </c>
      <c r="D6" s="13" t="s">
        <v>64</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AK5" sqref="AK5"/>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88</v>
      </c>
      <c r="D4" s="16" t="s">
        <v>150</v>
      </c>
      <c r="E4" s="16" t="s">
        <v>151</v>
      </c>
      <c r="F4" s="16" t="s">
        <v>152</v>
      </c>
      <c r="G4" s="16" t="s">
        <v>153</v>
      </c>
      <c r="H4" s="16" t="s">
        <v>154</v>
      </c>
      <c r="I4" s="16" t="s">
        <v>155</v>
      </c>
      <c r="J4" s="16" t="s">
        <v>156</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D1" sqref="D1"/>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157</v>
      </c>
      <c r="E3" s="9"/>
    </row>
    <row r="4" s="3" customFormat="1" customHeight="1" spans="1:5">
      <c r="B4" s="4"/>
      <c r="C4" s="4"/>
      <c r="D4" s="11" t="s">
        <v>158</v>
      </c>
      <c r="E4" s="4"/>
    </row>
    <row r="5" s="3" customFormat="1" customHeight="1" spans="1:5">
      <c r="B5" s="4"/>
      <c r="C5" s="4"/>
      <c r="D5" s="11" t="s">
        <v>159</v>
      </c>
      <c r="E5" s="4"/>
    </row>
    <row r="6" s="3" customFormat="1" customHeight="1" spans="1:5">
      <c r="B6" s="4"/>
      <c r="C6" s="4"/>
      <c r="D6" s="11" t="s">
        <v>160</v>
      </c>
      <c r="E6" s="4"/>
    </row>
    <row r="7" s="3" customFormat="1" customHeight="1" spans="1:5">
      <c r="B7" s="4"/>
      <c r="C7" s="4"/>
      <c r="D7" s="11" t="s">
        <v>161</v>
      </c>
      <c r="E7" s="4"/>
    </row>
    <row r="8" s="3" customFormat="1" customHeight="1" spans="1:5">
      <c r="B8" s="4"/>
      <c r="C8" s="4"/>
      <c r="D8" s="11" t="s">
        <v>162</v>
      </c>
      <c r="E8" s="4"/>
    </row>
    <row r="9" s="3" customFormat="1" customHeight="1" spans="1:5">
      <c r="B9" s="4"/>
      <c r="C9" s="4"/>
      <c r="D9" s="11" t="s">
        <v>163</v>
      </c>
      <c r="E9" s="4"/>
    </row>
    <row r="10" s="3" customFormat="1" customHeight="1" spans="1:5">
      <c r="B10" s="4"/>
      <c r="C10" s="4"/>
      <c r="D10" s="11" t="s">
        <v>164</v>
      </c>
      <c r="E10" s="4"/>
    </row>
    <row r="11" s="3" customFormat="1" customHeight="1" spans="1:5">
      <c r="B11" s="4"/>
      <c r="C11" s="4"/>
      <c r="D11" s="11" t="s">
        <v>165</v>
      </c>
      <c r="E11" s="4"/>
    </row>
    <row r="12" s="3" customFormat="1" customHeight="1" spans="1:5">
      <c r="B12" s="4"/>
      <c r="C12" s="4"/>
      <c r="D12" s="11" t="s">
        <v>166</v>
      </c>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2026-02-26T06:09:07Z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