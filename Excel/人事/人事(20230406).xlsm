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I4" authorId="0">
      <text>
        <r>
          <rPr>
            <sz val="9"/>
            <rFont val="宋体"/>
            <charset val="134"/>
          </rPr>
          <t>双击角标单元格查看信息</t>
        </r>
      </text>
    </comment>
    <comment ref="P4" authorId="0">
      <text>
        <r>
          <rPr>
            <b/>
            <sz val="9"/>
            <rFont val="宋体"/>
            <charset val="134"/>
          </rPr>
          <t>Administrator:</t>
        </r>
        <r>
          <rPr>
            <sz val="9"/>
            <rFont val="宋体"/>
            <charset val="134"/>
          </rPr>
          <t xml:space="preserve">
</t>
        </r>
      </text>
    </comment>
    <comment ref="S4" authorId="0">
      <text>
        <r>
          <rPr>
            <b/>
            <sz val="9"/>
            <rFont val="宋体"/>
            <charset val="134"/>
          </rPr>
          <t>Administrator:</t>
        </r>
        <r>
          <rPr>
            <sz val="9"/>
            <rFont val="宋体"/>
            <charset val="134"/>
          </rPr>
          <t xml:space="preserve">
</t>
        </r>
      </text>
    </comment>
    <comment ref="U4" authorId="0">
      <text>
        <r>
          <rPr>
            <b/>
            <sz val="9"/>
            <rFont val="宋体"/>
            <charset val="134"/>
          </rPr>
          <t>Administrator:</t>
        </r>
        <r>
          <rPr>
            <sz val="9"/>
            <rFont val="宋体"/>
            <charset val="134"/>
          </rPr>
          <t xml:space="preserve">
</t>
        </r>
      </text>
    </comment>
    <comment ref="V4" authorId="0">
      <text>
        <r>
          <rPr>
            <b/>
            <sz val="9"/>
            <rFont val="宋体"/>
            <charset val="134"/>
          </rPr>
          <t>Administrator:</t>
        </r>
        <r>
          <rPr>
            <sz val="9"/>
            <rFont val="宋体"/>
            <charset val="134"/>
          </rPr>
          <t xml:space="preserve">
</t>
        </r>
      </text>
    </comment>
    <comment ref="AA4" authorId="0">
      <text>
        <r>
          <rPr>
            <b/>
            <sz val="9"/>
            <rFont val="宋体"/>
            <charset val="134"/>
          </rPr>
          <t>Administrator:</t>
        </r>
        <r>
          <rPr>
            <sz val="9"/>
            <rFont val="宋体"/>
            <charset val="134"/>
          </rPr>
          <t xml:space="preserve">
</t>
        </r>
      </text>
    </comment>
    <comment ref="AB4" authorId="0">
      <text>
        <r>
          <rPr>
            <b/>
            <sz val="9"/>
            <rFont val="宋体"/>
            <charset val="134"/>
          </rPr>
          <t>Administrator:</t>
        </r>
        <r>
          <rPr>
            <sz val="9"/>
            <rFont val="宋体"/>
            <charset val="134"/>
          </rPr>
          <t xml:space="preserve">
</t>
        </r>
      </text>
    </comment>
    <comment ref="AC4" authorId="0">
      <text>
        <r>
          <rPr>
            <b/>
            <sz val="9"/>
            <rFont val="宋体"/>
            <charset val="134"/>
          </rPr>
          <t>Administrator:</t>
        </r>
        <r>
          <rPr>
            <sz val="9"/>
            <rFont val="宋体"/>
            <charset val="134"/>
          </rPr>
          <t xml:space="preserve">
</t>
        </r>
      </text>
    </comment>
    <comment ref="AD4" authorId="0">
      <text>
        <r>
          <rPr>
            <b/>
            <sz val="9"/>
            <rFont val="宋体"/>
            <charset val="134"/>
          </rPr>
          <t>Administrator:</t>
        </r>
        <r>
          <rPr>
            <sz val="9"/>
            <rFont val="宋体"/>
            <charset val="134"/>
          </rPr>
          <t xml:space="preserve">
</t>
        </r>
      </text>
    </comment>
    <comment ref="AE4" authorId="0">
      <text>
        <r>
          <rPr>
            <b/>
            <sz val="9"/>
            <rFont val="宋体"/>
            <charset val="134"/>
          </rPr>
          <t>Administrator:</t>
        </r>
        <r>
          <rPr>
            <sz val="9"/>
            <rFont val="宋体"/>
            <charset val="134"/>
          </rPr>
          <t xml:space="preserve">
</t>
        </r>
      </text>
    </comment>
    <comment ref="AF4" authorId="0">
      <text>
        <r>
          <rPr>
            <b/>
            <sz val="9"/>
            <rFont val="宋体"/>
            <charset val="134"/>
          </rPr>
          <t>Administrator:</t>
        </r>
        <r>
          <rPr>
            <sz val="9"/>
            <rFont val="宋体"/>
            <charset val="134"/>
          </rPr>
          <t xml:space="preserve">
</t>
        </r>
      </text>
    </comment>
    <comment ref="AG4" authorId="0">
      <text>
        <r>
          <rPr>
            <b/>
            <sz val="9"/>
            <rFont val="宋体"/>
            <charset val="134"/>
          </rPr>
          <t>Administrator:</t>
        </r>
        <r>
          <rPr>
            <sz val="9"/>
            <rFont val="宋体"/>
            <charset val="134"/>
          </rPr>
          <t xml:space="preserve">
</t>
        </r>
      </text>
    </comment>
    <comment ref="AJ4" authorId="0">
      <text>
        <r>
          <rPr>
            <b/>
            <sz val="9"/>
            <rFont val="宋体"/>
            <charset val="134"/>
          </rPr>
          <t>Administrator:</t>
        </r>
        <r>
          <rPr>
            <sz val="9"/>
            <rFont val="宋体"/>
            <charset val="134"/>
          </rPr>
          <t xml:space="preserve">
</t>
        </r>
      </text>
    </comment>
    <comment ref="AK4" authorId="0">
      <text>
        <r>
          <rPr>
            <b/>
            <sz val="9"/>
            <rFont val="宋体"/>
            <charset val="134"/>
          </rPr>
          <t>Administrator:</t>
        </r>
        <r>
          <rPr>
            <sz val="9"/>
            <rFont val="宋体"/>
            <charset val="134"/>
          </rPr>
          <t xml:space="preserve">
</t>
        </r>
      </text>
    </comment>
    <comment ref="AL4" authorId="0">
      <text>
        <r>
          <rPr>
            <b/>
            <sz val="9"/>
            <rFont val="宋体"/>
            <charset val="134"/>
          </rPr>
          <t>Administrator:</t>
        </r>
        <r>
          <rPr>
            <sz val="9"/>
            <rFont val="宋体"/>
            <charset val="134"/>
          </rPr>
          <t xml:space="preserve">
</t>
        </r>
      </text>
    </comment>
    <comment ref="AM4" authorId="0">
      <text>
        <r>
          <rPr>
            <b/>
            <sz val="9"/>
            <rFont val="宋体"/>
            <charset val="134"/>
          </rPr>
          <t>Administrator:</t>
        </r>
        <r>
          <rPr>
            <sz val="9"/>
            <rFont val="宋体"/>
            <charset val="134"/>
          </rPr>
          <t xml:space="preserve">
</t>
        </r>
      </text>
    </comment>
    <comment ref="AN4" authorId="0">
      <text>
        <r>
          <rPr>
            <b/>
            <sz val="9"/>
            <rFont val="宋体"/>
            <charset val="134"/>
          </rPr>
          <t>Administrator:</t>
        </r>
        <r>
          <rPr>
            <sz val="9"/>
            <rFont val="宋体"/>
            <charset val="134"/>
          </rPr>
          <t xml:space="preserve">
</t>
        </r>
      </text>
    </comment>
    <comment ref="AO4" authorId="0">
      <text>
        <r>
          <rPr>
            <b/>
            <sz val="9"/>
            <rFont val="宋体"/>
            <charset val="134"/>
          </rPr>
          <t>Administrator:</t>
        </r>
        <r>
          <rPr>
            <sz val="9"/>
            <rFont val="宋体"/>
            <charset val="134"/>
          </rPr>
          <t xml:space="preserve">
</t>
        </r>
      </text>
    </comment>
    <comment ref="AS4" authorId="0">
      <text>
        <r>
          <rPr>
            <b/>
            <sz val="9"/>
            <rFont val="宋体"/>
            <charset val="134"/>
          </rPr>
          <t>Administrator:</t>
        </r>
        <r>
          <rPr>
            <sz val="9"/>
            <rFont val="宋体"/>
            <charset val="134"/>
          </rPr>
          <t xml:space="preserve">
</t>
        </r>
      </text>
    </comment>
    <comment ref="AT4" authorId="0">
      <text>
        <r>
          <rPr>
            <b/>
            <sz val="9"/>
            <rFont val="宋体"/>
            <charset val="134"/>
          </rPr>
          <t>Administrator:</t>
        </r>
        <r>
          <rPr>
            <sz val="9"/>
            <rFont val="宋体"/>
            <charset val="134"/>
          </rPr>
          <t xml:space="preserve">
</t>
        </r>
      </text>
    </comment>
    <comment ref="AU4" authorId="0">
      <text>
        <r>
          <rPr>
            <b/>
            <sz val="9"/>
            <rFont val="宋体"/>
            <charset val="134"/>
          </rPr>
          <t>Administrator:</t>
        </r>
        <r>
          <rPr>
            <sz val="9"/>
            <rFont val="宋体"/>
            <charset val="134"/>
          </rPr>
          <t xml:space="preserve">
</t>
        </r>
      </text>
    </comment>
    <comment ref="AV4" authorId="0">
      <text>
        <r>
          <rPr>
            <b/>
            <sz val="9"/>
            <rFont val="宋体"/>
            <charset val="134"/>
          </rPr>
          <t>Administrator:</t>
        </r>
        <r>
          <rPr>
            <sz val="9"/>
            <rFont val="宋体"/>
            <charset val="134"/>
          </rPr>
          <t xml:space="preserve">
</t>
        </r>
      </text>
    </comment>
    <comment ref="AX4" authorId="0">
      <text>
        <r>
          <rPr>
            <b/>
            <sz val="9"/>
            <rFont val="宋体"/>
            <charset val="134"/>
          </rPr>
          <t>Administrator:</t>
        </r>
        <r>
          <rPr>
            <sz val="9"/>
            <rFont val="宋体"/>
            <charset val="134"/>
          </rPr>
          <t xml:space="preserve">
</t>
        </r>
      </text>
    </comment>
    <comment ref="AZ4" authorId="0">
      <text>
        <r>
          <rPr>
            <b/>
            <sz val="9"/>
            <rFont val="宋体"/>
            <charset val="134"/>
          </rPr>
          <t>Administrator:</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O4" authorId="0">
      <text>
        <r>
          <rPr>
            <b/>
            <sz val="9"/>
            <rFont val="宋体"/>
            <charset val="134"/>
          </rPr>
          <t>Administrator:</t>
        </r>
        <r>
          <rPr>
            <sz val="9"/>
            <rFont val="宋体"/>
            <charset val="134"/>
          </rPr>
          <t xml:space="preserve">
</t>
        </r>
      </text>
    </comment>
  </commentList>
</comments>
</file>

<file path=xl/comments3.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5.xml><?xml version="1.0" encoding="utf-8"?>
<comments xmlns="http://schemas.openxmlformats.org/spreadsheetml/2006/main">
  <authors>
    <author>Administrator</author>
  </authors>
  <commentList>
    <comment ref="D4" authorId="0">
      <text>
        <r>
          <rPr>
            <sz val="9"/>
            <rFont val="宋体"/>
            <charset val="134"/>
          </rPr>
          <t>双击红角标处有提示</t>
        </r>
      </text>
    </comment>
    <comment ref="E4" authorId="0">
      <text>
        <r>
          <rPr>
            <b/>
            <sz val="9"/>
            <rFont val="宋体"/>
            <charset val="134"/>
          </rPr>
          <t>Administrator:</t>
        </r>
        <r>
          <rPr>
            <sz val="9"/>
            <rFont val="宋体"/>
            <charset val="134"/>
          </rPr>
          <t xml:space="preserve">
</t>
        </r>
      </text>
    </comment>
    <comment ref="F4" authorId="0">
      <text>
        <r>
          <rPr>
            <b/>
            <sz val="9"/>
            <rFont val="宋体"/>
            <charset val="134"/>
          </rPr>
          <t>Administrator:</t>
        </r>
        <r>
          <rPr>
            <sz val="9"/>
            <rFont val="宋体"/>
            <charset val="134"/>
          </rPr>
          <t xml:space="preserve">
</t>
        </r>
      </text>
    </comment>
  </commentList>
</comments>
</file>

<file path=xl/sharedStrings.xml><?xml version="1.0" encoding="utf-8"?>
<sst xmlns="http://schemas.openxmlformats.org/spreadsheetml/2006/main" count="1055" uniqueCount="300">
  <si>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</si>
  <si>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</si>
  <si>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</si>
  <si>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</si>
  <si>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</si>
  <si>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</si>
  <si>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</si>
  <si>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</si>
  <si>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</si>
  <si>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</si>
  <si>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</si>
  <si>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</si>
  <si>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</si>
  <si>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</si>
  <si>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</si>
  <si>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</si>
  <si>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</si>
  <si>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</si>
  <si>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</si>
  <si>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</si>
  <si>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</si>
  <si>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</si>
  <si>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</si>
  <si>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</si>
  <si>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</si>
  <si>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</si>
  <si>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</si>
  <si>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</si>
  <si>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</si>
  <si>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</si>
  <si>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</si>
  <si>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</si>
  <si>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</si>
  <si>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</si>
  <si>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</si>
  <si>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</si>
  <si>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</si>
  <si>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</si>
  <si>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</si>
  <si>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</si>
  <si>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</si>
  <si>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</si>
  <si>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</si>
  <si>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请假</t>
  </si>
  <si>
    <t>出勤</t>
  </si>
  <si>
    <t>迟到</t>
  </si>
  <si>
    <t>早退</t>
  </si>
  <si>
    <t>李玉生</t>
  </si>
  <si>
    <t>古玉琴</t>
  </si>
  <si>
    <t>王丹翠</t>
  </si>
  <si>
    <t>林昆宇</t>
  </si>
  <si>
    <t>林至阳</t>
  </si>
  <si>
    <t>测试时</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</si>
  <si>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</si>
  <si>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</si>
  <si>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</si>
  <si>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</si>
  <si>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</si>
  <si>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</si>
  <si>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</si>
  <si>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</si>
  <si>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</si>
  <si>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</si>
  <si>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</si>
  <si>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</si>
  <si>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</si>
  <si>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</si>
  <si>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</si>
  <si>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</si>
  <si>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</si>
  <si>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</si>
  <si>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</si>
  <si>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</si>
  <si>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</si>
  <si>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</si>
  <si>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</si>
  <si>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</si>
  <si>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</si>
  <si>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</si>
  <si>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</si>
  <si>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</si>
  <si>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</si>
  <si>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</si>
  <si>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</si>
  <si>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</si>
  <si>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</si>
  <si>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</si>
  <si>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</si>
  <si>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</si>
  <si>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</si>
  <si>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</si>
  <si>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</si>
  <si>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</si>
  <si>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</si>
  <si>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</si>
  <si>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</si>
  <si>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</si>
  <si>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</si>
  <si>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</si>
  <si>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</si>
  <si>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</si>
  <si>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</si>
  <si>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</si>
  <si>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</si>
  <si>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</si>
  <si>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</si>
  <si>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</si>
  <si>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</si>
  <si>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</si>
  <si>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</si>
  <si>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</si>
  <si>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</si>
  <si>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</si>
  <si>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</si>
  <si>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</si>
  <si>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</si>
  <si>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</si>
  <si>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</si>
  <si>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</si>
  <si>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</si>
  <si>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</si>
  <si>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</si>
  <si>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</si>
  <si>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</si>
  <si>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</si>
  <si>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</si>
  <si>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</si>
  <si>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</si>
  <si>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</si>
  <si>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</si>
  <si>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</si>
  <si>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</si>
  <si>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</si>
  <si>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</si>
  <si>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</si>
  <si>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</si>
  <si>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</si>
  <si>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</si>
  <si>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</si>
  <si>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</si>
  <si>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</si>
  <si>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</si>
  <si>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</si>
  <si>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dd</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</si>
  <si>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</si>
  <si>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</si>
  <si>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</si>
  <si>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</si>
  <si>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</si>
  <si>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</si>
  <si>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</si>
  <si>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</si>
  <si>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</si>
  <si>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</si>
  <si>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</si>
  <si>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</si>
  <si>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</si>
  <si>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</si>
  <si>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</si>
  <si>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</si>
  <si>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</si>
  <si>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</si>
  <si>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</si>
  <si>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</si>
  <si>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</si>
  <si>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</si>
  <si>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</si>
  <si>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</si>
  <si>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</si>
  <si>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</si>
  <si>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</si>
  <si>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</si>
  <si>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</si>
  <si>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</si>
  <si>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</si>
  <si>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</si>
  <si>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</si>
  <si>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</si>
  <si>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</si>
  <si>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</si>
  <si>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</si>
  <si>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</si>
  <si>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</si>
  <si>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</si>
  <si>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</si>
  <si>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</si>
  <si>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</si>
  <si>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</si>
  <si>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</si>
  <si>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</si>
  <si>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</si>
  <si>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</si>
  <si>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</si>
  <si>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</si>
  <si>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</si>
  <si>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</si>
  <si>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</si>
  <si>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</si>
  <si>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</si>
  <si>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</si>
  <si>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</si>
  <si>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齐铭</t>
  </si>
  <si>
    <t>财务部</t>
  </si>
  <si>
    <t>123123123123123123</t>
  </si>
  <si>
    <t>646454844535343</t>
  </si>
  <si>
    <t>王红</t>
  </si>
  <si>
    <t>人员信息管理</t>
  </si>
  <si>
    <t>123123213213211111</t>
  </si>
  <si>
    <t>6464548442342</t>
  </si>
  <si>
    <t>报盘</t>
  </si>
  <si>
    <t>刘嘉裕</t>
  </si>
  <si>
    <t>行政部</t>
  </si>
  <si>
    <t>副经理</t>
  </si>
  <si>
    <t>6464548423213</t>
  </si>
  <si>
    <t>配置表</t>
  </si>
  <si>
    <t>21312312312123</t>
  </si>
  <si>
    <t>12312312423423</t>
  </si>
  <si>
    <t>工资明细</t>
  </si>
  <si>
    <t>运营</t>
  </si>
  <si>
    <t>363176387163</t>
  </si>
  <si>
    <t>36178361872381</t>
  </si>
  <si>
    <t>报税</t>
  </si>
  <si>
    <t>人事</t>
  </si>
  <si>
    <t>222222222221212121</t>
  </si>
  <si>
    <t>324521456765465643</t>
  </si>
  <si>
    <t>考勤记录</t>
  </si>
  <si>
    <t>210402199612233227</t>
  </si>
  <si>
    <t>659805695826958</t>
  </si>
  <si>
    <t>部门汇总</t>
  </si>
  <si>
    <t>张三</t>
  </si>
  <si>
    <t>职员</t>
  </si>
  <si>
    <t>111111111111111111</t>
  </si>
  <si>
    <t>77777777777</t>
  </si>
  <si>
    <t>社保</t>
  </si>
  <si>
    <t>李四</t>
  </si>
  <si>
    <t>1231231232131</t>
  </si>
  <si>
    <t>123123123</t>
  </si>
  <si>
    <t>员工档案</t>
  </si>
  <si>
    <t>ddd</t>
  </si>
  <si>
    <t>123456789</t>
  </si>
  <si>
    <t>个人所得税</t>
  </si>
  <si>
    <t>工资条</t>
  </si>
  <si>
    <t>▌  工资明细</t>
  </si>
  <si>
    <t>当月工资合计</t>
  </si>
  <si>
    <t>个人生育</t>
  </si>
  <si>
    <t>个人年金4%</t>
  </si>
  <si>
    <t>年金1%</t>
  </si>
  <si>
    <t>验算公式</t>
  </si>
  <si>
    <t>22</t>
  </si>
  <si>
    <t>员工</t>
  </si>
  <si>
    <t>210282200103042311</t>
  </si>
  <si>
    <t>1</t>
  </si>
  <si>
    <t>▌  考勤记录</t>
  </si>
  <si>
    <t>应到</t>
  </si>
  <si>
    <t>实到</t>
  </si>
  <si>
    <t>加班</t>
  </si>
  <si>
    <t>▌  配置表</t>
  </si>
  <si>
    <t>部门配置</t>
  </si>
  <si>
    <t>职务配置</t>
  </si>
  <si>
    <t>个人年金</t>
  </si>
  <si>
    <t>工资</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</si>
  <si>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</si>
  <si>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</si>
  <si>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</si>
  <si>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</si>
  <si>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</si>
  <si>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</si>
  <si>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</si>
  <si>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</si>
  <si>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</si>
  <si>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</si>
  <si>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</si>
  <si>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</si>
  <si>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</si>
  <si>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</si>
  <si>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</si>
  <si>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</si>
  <si>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</si>
  <si>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</si>
  <si>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</si>
  <si>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</si>
  <si>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</si>
  <si>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</si>
  <si>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</si>
  <si>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</si>
  <si>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</si>
  <si>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</si>
  <si>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</si>
  <si>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</si>
  <si>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</si>
  <si>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</si>
  <si>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</si>
  <si>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</si>
  <si>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</si>
  <si>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</si>
  <si>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</si>
  <si>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</si>
  <si>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</si>
  <si>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李玉生,</t>
  </si>
  <si>
    <t>赵海生,</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</si>
</sst>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00"/>
    <numFmt numFmtId="180" formatCode="yyyy\-mm\-dd"/>
    <numFmt numFmtId="181" formatCode="yyyy/mm/dd"/>
  </numFmts>
  <fonts count="42">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80"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80" fontId="0" fillId="3" borderId="2" xfId="0" applyNumberFormat="1" applyFill="1" applyBorder="1" applyAlignment="1">
      <alignment horizontal="center" vertical="center"/>
    </xf>
    <xf numFmtId="49" fontId="0" fillId="0" borderId="0" xfId="0" applyNumberFormat="1">
      <alignment vertical="center"/>
    </xf>
    <xf numFmtId="180"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80" fontId="2" fillId="2" borderId="2" xfId="0" applyNumberFormat="1" applyFont="1" applyFill="1" applyBorder="1" applyAlignment="1">
      <alignment horizontal="center" vertical="center" wrapText="1"/>
    </xf>
    <xf numFmtId="179" fontId="0" fillId="3" borderId="2" xfId="0" applyNumberFormat="1" applyFill="1" applyBorder="1" applyAlignment="1">
      <alignment horizontal="center" vertical="center"/>
    </xf>
    <xf numFmtId="179" fontId="0" fillId="0" borderId="0" xfId="0" applyNumberFormat="1">
      <alignment vertical="center"/>
    </xf>
    <xf numFmtId="179"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79"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520700</xdr:colOff>
      <xdr:row>2</xdr:row>
      <xdr:rowOff>0</xdr:rowOff>
    </xdr:from>
    <xdr:to>
      <xdr:col>7</xdr:col>
      <xdr:colOff>427990</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1"/>
  <sheetViews>
    <sheetView showGridLines="0" workbookViewId="0">
      <pane ySplit="4" topLeftCell="A5" activePane="bottomLeft" state="frozen"/>
      <selection/>
      <selection pane="bottomLeft" activeCell="E7" sqref="E7"/>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45180</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44</v>
      </c>
      <c r="M5" s="8" t="s">
        <v>45</v>
      </c>
      <c r="N5" s="8" t="s">
        <v>44</v>
      </c>
      <c r="O5" s="8" t="s">
        <v>44</v>
      </c>
      <c r="P5" s="8" t="s">
        <v>44</v>
      </c>
      <c r="Q5" s="8" t="s">
        <v>44</v>
      </c>
      <c r="R5" s="8" t="s">
        <v>44</v>
      </c>
      <c r="S5" s="9" t="s">
        <v>46</v>
      </c>
      <c r="T5" s="8" t="s">
        <v>44</v>
      </c>
      <c r="U5" s="8" t="s">
        <v>44</v>
      </c>
      <c r="V5" s="8" t="s">
        <v>44</v>
      </c>
      <c r="W5" s="8" t="s">
        <v>44</v>
      </c>
      <c r="X5" s="8" t="s">
        <v>44</v>
      </c>
      <c r="Y5" s="8" t="s">
        <v>44</v>
      </c>
      <c r="Z5" s="8" t="s">
        <v>44</v>
      </c>
      <c r="AA5" s="8" t="s">
        <v>44</v>
      </c>
      <c r="AB5" s="8" t="s">
        <v>44</v>
      </c>
      <c r="AC5" s="8" t="s">
        <v>44</v>
      </c>
      <c r="AD5" s="8" t="s">
        <v>44</v>
      </c>
      <c r="AE5" s="8" t="s">
        <v>44</v>
      </c>
      <c r="AF5" s="8" t="s">
        <v>44</v>
      </c>
      <c r="AG5" s="8" t="s">
        <v>44</v>
      </c>
      <c r="AH5" s="8" t="s">
        <v>44</v>
      </c>
      <c r="AI5" s="8" t="s">
        <v>44</v>
      </c>
      <c r="AJ5" s="8" t="s">
        <v>44</v>
      </c>
      <c r="AK5" s="8">
        <v>0</v>
      </c>
      <c r="AL5" s="8">
        <v>0</v>
      </c>
      <c r="AM5" s="8">
        <v>0</v>
      </c>
      <c r="AN5" s="8">
        <v>0</v>
      </c>
      <c r="AO5" s="8">
        <v>0</v>
      </c>
    </row>
    <row r="6" customHeight="1" spans="2:41">
      <c r="B6">
        <v>771</v>
      </c>
      <c r="C6" s="8">
        <v>2023</v>
      </c>
      <c r="D6" s="8">
        <v>2</v>
      </c>
      <c r="E6" s="8" t="s">
        <v>47</v>
      </c>
      <c r="F6" s="8" t="s">
        <v>44</v>
      </c>
      <c r="G6" s="8" t="s">
        <v>44</v>
      </c>
      <c r="H6" s="8" t="s">
        <v>44</v>
      </c>
      <c r="I6" s="8" t="s">
        <v>44</v>
      </c>
      <c r="J6" s="8" t="s">
        <v>44</v>
      </c>
      <c r="K6" s="8" t="s">
        <v>44</v>
      </c>
      <c r="L6" s="8" t="s">
        <v>44</v>
      </c>
      <c r="M6" s="8" t="s">
        <v>44</v>
      </c>
      <c r="N6" s="8" t="s">
        <v>44</v>
      </c>
      <c r="O6" s="8" t="s">
        <v>44</v>
      </c>
      <c r="P6" s="8" t="s">
        <v>43</v>
      </c>
      <c r="Q6" s="8" t="s">
        <v>44</v>
      </c>
      <c r="R6" s="8" t="s">
        <v>44</v>
      </c>
      <c r="S6" s="8" t="s">
        <v>44</v>
      </c>
      <c r="T6" s="8" t="s">
        <v>44</v>
      </c>
      <c r="U6" s="8" t="s">
        <v>44</v>
      </c>
      <c r="V6" s="8" t="s">
        <v>44</v>
      </c>
      <c r="W6" s="8" t="s">
        <v>44</v>
      </c>
      <c r="X6" s="8" t="s">
        <v>44</v>
      </c>
      <c r="Y6" s="8" t="s">
        <v>45</v>
      </c>
      <c r="Z6" s="8" t="s">
        <v>44</v>
      </c>
      <c r="AA6" s="8" t="s">
        <v>44</v>
      </c>
      <c r="AB6" s="8" t="s">
        <v>44</v>
      </c>
      <c r="AC6" s="8" t="s">
        <v>44</v>
      </c>
      <c r="AD6" s="8" t="s">
        <v>44</v>
      </c>
      <c r="AE6" s="8" t="s">
        <v>44</v>
      </c>
      <c r="AF6" s="8" t="s">
        <v>44</v>
      </c>
      <c r="AG6" s="8" t="s">
        <v>44</v>
      </c>
      <c r="AH6" s="8" t="s">
        <v>44</v>
      </c>
      <c r="AI6" s="8" t="s">
        <v>44</v>
      </c>
      <c r="AJ6" s="8" t="s">
        <v>44</v>
      </c>
      <c r="AK6" s="8">
        <v>0</v>
      </c>
      <c r="AL6" s="8">
        <v>0</v>
      </c>
      <c r="AM6" s="8">
        <v>0</v>
      </c>
      <c r="AN6" s="8">
        <v>0</v>
      </c>
      <c r="AO6" s="8">
        <v>0</v>
      </c>
    </row>
    <row r="7" customHeight="1" spans="2:41">
      <c r="B7">
        <v>772</v>
      </c>
      <c r="C7" s="8">
        <v>2023</v>
      </c>
      <c r="D7" s="8">
        <v>4</v>
      </c>
      <c r="E7" s="8" t="s">
        <v>48</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0</v>
      </c>
      <c r="AL7" s="8">
        <v>0</v>
      </c>
      <c r="AM7" s="8">
        <v>0</v>
      </c>
      <c r="AN7" s="8">
        <v>0</v>
      </c>
      <c r="AO7" s="8">
        <v>0</v>
      </c>
    </row>
    <row r="8" customHeight="1" spans="2:41">
      <c r="B8">
        <v>773</v>
      </c>
      <c r="C8" s="8">
        <v>2023</v>
      </c>
      <c r="D8" s="8">
        <v>1</v>
      </c>
      <c r="E8" s="8" t="s">
        <v>49</v>
      </c>
      <c r="F8" s="8" t="s">
        <v>44</v>
      </c>
      <c r="G8" s="8" t="s">
        <v>44</v>
      </c>
      <c r="H8" s="8" t="s">
        <v>44</v>
      </c>
      <c r="I8" s="8" t="s">
        <v>44</v>
      </c>
      <c r="J8" s="8" t="s">
        <v>44</v>
      </c>
      <c r="K8" s="8" t="s">
        <v>44</v>
      </c>
      <c r="L8" s="8" t="s">
        <v>44</v>
      </c>
      <c r="M8" s="8" t="s">
        <v>44</v>
      </c>
      <c r="N8" s="8" t="s">
        <v>44</v>
      </c>
      <c r="O8" s="8" t="s">
        <v>44</v>
      </c>
      <c r="P8" s="8" t="s">
        <v>44</v>
      </c>
      <c r="Q8" s="8" t="s">
        <v>44</v>
      </c>
      <c r="R8" s="8" t="s">
        <v>44</v>
      </c>
      <c r="S8" s="8" t="s">
        <v>44</v>
      </c>
      <c r="T8" s="8" t="s">
        <v>44</v>
      </c>
      <c r="U8" s="8" t="s">
        <v>44</v>
      </c>
      <c r="V8" s="8" t="s">
        <v>44</v>
      </c>
      <c r="W8" s="8" t="s">
        <v>44</v>
      </c>
      <c r="X8" s="8" t="s">
        <v>44</v>
      </c>
      <c r="Y8" s="8" t="s">
        <v>44</v>
      </c>
      <c r="Z8" s="8" t="s">
        <v>44</v>
      </c>
      <c r="AA8" s="8" t="s">
        <v>44</v>
      </c>
      <c r="AB8" s="8" t="s">
        <v>44</v>
      </c>
      <c r="AC8" s="8" t="s">
        <v>44</v>
      </c>
      <c r="AD8" s="8" t="s">
        <v>44</v>
      </c>
      <c r="AE8" s="8" t="s">
        <v>44</v>
      </c>
      <c r="AF8" s="8" t="s">
        <v>44</v>
      </c>
      <c r="AG8" s="8" t="s">
        <v>44</v>
      </c>
      <c r="AH8" s="8" t="s">
        <v>44</v>
      </c>
      <c r="AI8" s="8" t="s">
        <v>44</v>
      </c>
      <c r="AJ8" s="8" t="s">
        <v>44</v>
      </c>
      <c r="AK8" s="8">
        <v>0</v>
      </c>
      <c r="AL8" s="8">
        <v>0</v>
      </c>
      <c r="AM8" s="8">
        <v>0</v>
      </c>
      <c r="AN8" s="8">
        <v>0</v>
      </c>
      <c r="AO8" s="8">
        <v>0</v>
      </c>
    </row>
    <row r="9" customHeight="1" spans="2:41">
      <c r="B9">
        <v>774</v>
      </c>
      <c r="C9" s="8">
        <v>2023</v>
      </c>
      <c r="D9" s="8">
        <v>4</v>
      </c>
      <c r="E9" s="8" t="s">
        <v>50</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0</v>
      </c>
      <c r="AL9" s="8">
        <v>0</v>
      </c>
      <c r="AM9" s="8">
        <v>0</v>
      </c>
      <c r="AN9" s="8">
        <v>0</v>
      </c>
      <c r="AO9" s="8">
        <v>0</v>
      </c>
    </row>
    <row r="10" customHeight="1" spans="2:41">
      <c r="B10">
        <v>775</v>
      </c>
      <c r="C10" s="8">
        <v>2023</v>
      </c>
      <c r="D10" s="8">
        <v>4</v>
      </c>
      <c r="E10" s="8" t="s">
        <v>51</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44</v>
      </c>
      <c r="AH10" s="8" t="s">
        <v>44</v>
      </c>
      <c r="AI10" s="8" t="s">
        <v>44</v>
      </c>
      <c r="AJ10" s="8" t="s">
        <v>44</v>
      </c>
      <c r="AK10" s="8">
        <v>0</v>
      </c>
      <c r="AL10" s="8">
        <v>0</v>
      </c>
      <c r="AM10" s="8">
        <v>0</v>
      </c>
      <c r="AN10" s="8">
        <v>0</v>
      </c>
      <c r="AO10" s="8">
        <v>0</v>
      </c>
    </row>
    <row r="11" customHeight="1" spans="2:5">
      <c r="B11">
        <v>784</v>
      </c>
      <c r="C11" s="8">
        <v>2023</v>
      </c>
      <c r="D11" s="8">
        <v>6</v>
      </c>
      <c r="E11" s="8" t="s">
        <v>52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2 C13:E13 C14:Z1048576">
    <cfRule type="expression" dxfId="0" priority="43">
      <formula>MOD(ROW(),2)=0</formula>
    </cfRule>
  </conditionalFormatting>
  <conditionalFormatting sqref="AA5:AA12 AA14:AA1048576">
    <cfRule type="expression" dxfId="0" priority="42">
      <formula>MOD(ROW(),2)=0</formula>
    </cfRule>
  </conditionalFormatting>
  <conditionalFormatting sqref="AB5:AB12 AB14:AB1048576">
    <cfRule type="expression" dxfId="0" priority="41">
      <formula>MOD(ROW(),2)=0</formula>
    </cfRule>
  </conditionalFormatting>
  <conditionalFormatting sqref="AC5:AC12 AC14:AC1048576">
    <cfRule type="expression" dxfId="0" priority="40">
      <formula>MOD(ROW(),2)=0</formula>
    </cfRule>
  </conditionalFormatting>
  <conditionalFormatting sqref="AD5:AD12 AD14:AD1048576">
    <cfRule type="expression" dxfId="0" priority="39">
      <formula>MOD(ROW(),2)=0</formula>
    </cfRule>
  </conditionalFormatting>
  <conditionalFormatting sqref="AE5:AE12 AE14:AE1048576">
    <cfRule type="expression" dxfId="0" priority="38">
      <formula>MOD(ROW(),2)=0</formula>
    </cfRule>
  </conditionalFormatting>
  <conditionalFormatting sqref="AF5:AF12 AF14:AF1048576">
    <cfRule type="expression" dxfId="0" priority="37">
      <formula>MOD(ROW(),2)=0</formula>
    </cfRule>
  </conditionalFormatting>
  <conditionalFormatting sqref="AG5:AG12 AG14:AG1048576">
    <cfRule type="expression" dxfId="0" priority="36">
      <formula>MOD(ROW(),2)=0</formula>
    </cfRule>
  </conditionalFormatting>
  <conditionalFormatting sqref="AH5:AH12 AH14:AH1048576">
    <cfRule type="expression" dxfId="0" priority="35">
      <formula>MOD(ROW(),2)=0</formula>
    </cfRule>
  </conditionalFormatting>
  <conditionalFormatting sqref="AI5:AI12 AI14:AI1048576">
    <cfRule type="expression" dxfId="0" priority="34">
      <formula>MOD(ROW(),2)=0</formula>
    </cfRule>
  </conditionalFormatting>
  <conditionalFormatting sqref="AJ5: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5:D13 D15:D1048576">
      <formula1>"1,2,3,4,5,6,7,8,9,10,11,12"</formula1>
    </dataValidation>
    <dataValidation type="list" allowBlank="1" showInputMessage="1" showErrorMessage="1" sqref="F13:AJ13 F5:AJ12 F14:AJ1048576">
      <formula1>"-,出勤,旷勤,请假,迟到,早退"</formula1>
    </dataValidation>
    <dataValidation type="list" allowBlank="1" showInputMessage="1" showErrorMessage="1" sqref="D14">
      <formula1>"01,02,03,04,05,06,07,08,09,10,11,12"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E10" sqref="E10"/>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53</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54</v>
      </c>
      <c r="E4" s="25" t="s">
        <v>55</v>
      </c>
      <c r="F4" s="18" t="s">
        <v>56</v>
      </c>
      <c r="G4" s="18" t="s">
        <v>57</v>
      </c>
      <c r="H4" s="18" t="s">
        <v>58</v>
      </c>
      <c r="I4" s="25" t="s">
        <v>59</v>
      </c>
      <c r="J4" s="25" t="s">
        <v>60</v>
      </c>
      <c r="K4" s="18" t="s">
        <v>61</v>
      </c>
      <c r="L4" s="25" t="s">
        <v>62</v>
      </c>
      <c r="M4" s="26" t="s">
        <v>63</v>
      </c>
      <c r="N4" s="25" t="s">
        <v>64</v>
      </c>
      <c r="O4" s="25" t="s">
        <v>65</v>
      </c>
      <c r="P4" s="25" t="s">
        <v>66</v>
      </c>
      <c r="Q4" s="25" t="s">
        <v>67</v>
      </c>
      <c r="R4" s="18" t="s">
        <v>68</v>
      </c>
      <c r="S4" s="26" t="s">
        <v>69</v>
      </c>
      <c r="T4" s="25" t="s">
        <v>70</v>
      </c>
      <c r="U4" s="25" t="s">
        <v>71</v>
      </c>
      <c r="V4" s="25" t="s">
        <v>72</v>
      </c>
      <c r="W4" s="25" t="s">
        <v>73</v>
      </c>
      <c r="X4" s="25" t="s">
        <v>74</v>
      </c>
      <c r="Y4" s="25" t="s">
        <v>75</v>
      </c>
      <c r="Z4" s="26" t="s">
        <v>76</v>
      </c>
      <c r="AA4" s="25" t="s">
        <v>77</v>
      </c>
      <c r="AB4" s="25" t="s">
        <v>78</v>
      </c>
      <c r="AC4" s="25" t="s">
        <v>79</v>
      </c>
      <c r="AD4" s="25" t="s">
        <v>80</v>
      </c>
    </row>
    <row r="5" customHeight="1" spans="2:30">
      <c r="B5">
        <v>76</v>
      </c>
      <c r="C5" s="24" t="s">
        <v>81</v>
      </c>
      <c r="D5" s="24" t="s">
        <v>82</v>
      </c>
      <c r="E5" s="24" t="s">
        <v>83</v>
      </c>
      <c r="F5" s="10" t="s">
        <v>84</v>
      </c>
      <c r="G5" s="10" t="s">
        <v>84</v>
      </c>
      <c r="H5" s="10" t="s">
        <v>85</v>
      </c>
      <c r="I5" s="24" t="s">
        <v>86</v>
      </c>
      <c r="J5" s="24" t="s">
        <v>87</v>
      </c>
      <c r="K5" s="10" t="s">
        <v>88</v>
      </c>
      <c r="L5" s="24" t="s">
        <v>89</v>
      </c>
      <c r="M5" s="9">
        <v>45097</v>
      </c>
      <c r="N5" s="24" t="s">
        <v>90</v>
      </c>
      <c r="O5" s="24" t="s">
        <v>91</v>
      </c>
      <c r="P5" s="24">
        <v>9000</v>
      </c>
      <c r="Q5" s="24">
        <v>2000</v>
      </c>
      <c r="R5" s="10" t="s">
        <v>92</v>
      </c>
      <c r="S5" s="9">
        <v>43922</v>
      </c>
      <c r="T5" s="24">
        <v>3</v>
      </c>
      <c r="Z5" s="9"/>
      <c r="AD5" s="24" t="s">
        <v>93</v>
      </c>
    </row>
    <row r="6" customHeight="1" spans="2:30">
      <c r="B6">
        <v>94</v>
      </c>
      <c r="C6" s="24" t="s">
        <v>94</v>
      </c>
      <c r="D6" s="24" t="s">
        <v>82</v>
      </c>
      <c r="E6" s="24" t="s">
        <v>95</v>
      </c>
      <c r="F6" s="10" t="s">
        <v>96</v>
      </c>
      <c r="G6" s="10" t="s">
        <v>96</v>
      </c>
      <c r="H6" s="10" t="s">
        <v>97</v>
      </c>
      <c r="I6" s="24" t="s">
        <v>86</v>
      </c>
      <c r="J6" s="24" t="s">
        <v>87</v>
      </c>
      <c r="K6" s="10" t="s">
        <v>98</v>
      </c>
      <c r="L6" s="24" t="s">
        <v>89</v>
      </c>
      <c r="M6" s="9">
        <v>36047</v>
      </c>
      <c r="N6" s="24" t="s">
        <v>90</v>
      </c>
      <c r="O6" s="24" t="s">
        <v>91</v>
      </c>
      <c r="P6" s="24">
        <v>6000</v>
      </c>
      <c r="Q6" s="24">
        <v>2000</v>
      </c>
      <c r="R6" s="10" t="s">
        <v>99</v>
      </c>
      <c r="S6" s="9">
        <v>43908</v>
      </c>
      <c r="T6" s="24">
        <v>3</v>
      </c>
      <c r="Z6" s="9"/>
      <c r="AD6" s="24" t="s">
        <v>100</v>
      </c>
    </row>
    <row r="7" customHeight="1" spans="2:30">
      <c r="B7">
        <v>108</v>
      </c>
      <c r="C7" s="24" t="s">
        <v>47</v>
      </c>
      <c r="D7" s="24" t="s">
        <v>82</v>
      </c>
      <c r="E7" s="24" t="s">
        <v>101</v>
      </c>
      <c r="F7" s="10" t="s">
        <v>102</v>
      </c>
      <c r="G7" s="10" t="s">
        <v>102</v>
      </c>
      <c r="H7" s="10" t="s">
        <v>103</v>
      </c>
      <c r="I7" s="24" t="s">
        <v>86</v>
      </c>
      <c r="J7" s="24" t="s">
        <v>87</v>
      </c>
      <c r="K7" s="10" t="s">
        <v>104</v>
      </c>
      <c r="L7" s="24" t="s">
        <v>89</v>
      </c>
      <c r="M7" s="9">
        <v>34859</v>
      </c>
      <c r="N7" s="24" t="s">
        <v>90</v>
      </c>
      <c r="O7" s="24" t="s">
        <v>91</v>
      </c>
      <c r="P7" s="24">
        <v>5000</v>
      </c>
      <c r="Q7" s="24">
        <v>2000</v>
      </c>
      <c r="R7" s="10" t="s">
        <v>105</v>
      </c>
      <c r="S7" s="9">
        <v>44378</v>
      </c>
      <c r="T7" s="24">
        <v>2</v>
      </c>
      <c r="Z7" s="9"/>
      <c r="AD7" s="24" t="s">
        <v>106</v>
      </c>
    </row>
    <row r="8" customHeight="1" spans="2:30">
      <c r="B8">
        <v>174</v>
      </c>
      <c r="C8" s="24" t="s">
        <v>42</v>
      </c>
      <c r="D8" s="24" t="s">
        <v>107</v>
      </c>
      <c r="E8" s="24" t="s">
        <v>83</v>
      </c>
      <c r="F8" s="10" t="s">
        <v>108</v>
      </c>
      <c r="G8" s="10" t="s">
        <v>108</v>
      </c>
      <c r="H8" s="10" t="s">
        <v>109</v>
      </c>
      <c r="I8" s="24" t="s">
        <v>86</v>
      </c>
      <c r="J8" s="24" t="s">
        <v>110</v>
      </c>
      <c r="K8" s="10" t="s">
        <v>111</v>
      </c>
      <c r="L8" s="24" t="s">
        <v>112</v>
      </c>
      <c r="M8" s="9">
        <v>38204</v>
      </c>
      <c r="N8" s="24" t="s">
        <v>90</v>
      </c>
      <c r="O8" s="24" t="s">
        <v>91</v>
      </c>
      <c r="P8" s="24">
        <v>3000</v>
      </c>
      <c r="Q8" s="24">
        <v>200</v>
      </c>
      <c r="R8" s="10" t="s">
        <v>113</v>
      </c>
      <c r="S8" s="9">
        <v>45017</v>
      </c>
      <c r="T8" s="24">
        <v>1</v>
      </c>
      <c r="Z8" s="9"/>
      <c r="AD8" s="9" t="s">
        <v>114</v>
      </c>
    </row>
    <row r="9" customHeight="1" spans="2:30">
      <c r="B9">
        <v>175</v>
      </c>
      <c r="C9" s="24" t="s">
        <v>115</v>
      </c>
      <c r="D9" s="24" t="s">
        <v>82</v>
      </c>
      <c r="E9" s="24" t="s">
        <v>83</v>
      </c>
      <c r="F9" s="10" t="s">
        <v>116</v>
      </c>
      <c r="G9" s="10" t="s">
        <v>116</v>
      </c>
      <c r="H9" s="10" t="s">
        <v>117</v>
      </c>
      <c r="I9" s="24" t="s">
        <v>86</v>
      </c>
      <c r="J9" s="24" t="s">
        <v>110</v>
      </c>
      <c r="K9" s="10" t="s">
        <v>118</v>
      </c>
      <c r="L9" s="24" t="s">
        <v>89</v>
      </c>
      <c r="M9" s="9">
        <v>32998</v>
      </c>
      <c r="N9" s="24" t="s">
        <v>119</v>
      </c>
      <c r="O9" s="24" t="s">
        <v>91</v>
      </c>
      <c r="P9" s="24">
        <v>5000</v>
      </c>
      <c r="Q9" s="24">
        <v>450</v>
      </c>
      <c r="R9" s="10" t="s">
        <v>113</v>
      </c>
      <c r="S9" s="9">
        <v>43020</v>
      </c>
      <c r="T9" s="24">
        <v>6</v>
      </c>
      <c r="Z9" s="9"/>
      <c r="AD9" s="24" t="s">
        <v>120</v>
      </c>
    </row>
    <row r="10" customHeight="1" spans="2:30">
      <c r="B10">
        <v>176</v>
      </c>
      <c r="C10" s="24" t="s">
        <v>121</v>
      </c>
      <c r="D10" s="24" t="s">
        <v>107</v>
      </c>
      <c r="E10" s="24" t="s">
        <v>95</v>
      </c>
      <c r="F10" s="10" t="s">
        <v>122</v>
      </c>
      <c r="G10" s="10" t="s">
        <v>122</v>
      </c>
      <c r="H10" s="10" t="s">
        <v>123</v>
      </c>
      <c r="I10" s="24" t="s">
        <v>124</v>
      </c>
      <c r="J10" s="24" t="s">
        <v>110</v>
      </c>
      <c r="K10" s="10" t="s">
        <v>125</v>
      </c>
      <c r="L10" s="24" t="s">
        <v>112</v>
      </c>
      <c r="M10" s="9">
        <v>36915</v>
      </c>
      <c r="N10" s="24" t="s">
        <v>90</v>
      </c>
      <c r="O10" s="24" t="s">
        <v>91</v>
      </c>
      <c r="P10" s="24">
        <v>3000</v>
      </c>
      <c r="Q10" s="24">
        <v>200</v>
      </c>
      <c r="R10" s="10" t="s">
        <v>126</v>
      </c>
      <c r="S10" s="9">
        <v>43922</v>
      </c>
      <c r="T10" s="24">
        <v>3</v>
      </c>
      <c r="Z10" s="9"/>
      <c r="AD10" s="9">
        <v>43922</v>
      </c>
    </row>
    <row r="11" customHeight="1" spans="2:30">
      <c r="B11">
        <v>177</v>
      </c>
      <c r="C11" s="24" t="s">
        <v>49</v>
      </c>
      <c r="D11" s="24" t="s">
        <v>107</v>
      </c>
      <c r="E11" s="24" t="s">
        <v>83</v>
      </c>
      <c r="F11" s="10" t="s">
        <v>127</v>
      </c>
      <c r="G11" s="10" t="s">
        <v>127</v>
      </c>
      <c r="H11" s="10" t="s">
        <v>128</v>
      </c>
      <c r="I11" s="24" t="s">
        <v>86</v>
      </c>
      <c r="J11" s="24" t="s">
        <v>87</v>
      </c>
      <c r="K11" s="10" t="s">
        <v>129</v>
      </c>
      <c r="L11" s="24" t="s">
        <v>112</v>
      </c>
      <c r="M11" s="9">
        <v>36894</v>
      </c>
      <c r="N11" s="24" t="s">
        <v>90</v>
      </c>
      <c r="O11" s="24" t="s">
        <v>91</v>
      </c>
      <c r="P11" s="24">
        <v>3000</v>
      </c>
      <c r="Q11" s="24">
        <v>200</v>
      </c>
      <c r="R11" s="10" t="s">
        <v>130</v>
      </c>
      <c r="S11" s="9">
        <v>43922</v>
      </c>
      <c r="T11" s="24">
        <v>3</v>
      </c>
      <c r="Z11" s="9"/>
      <c r="AD11" s="24" t="s">
        <v>131</v>
      </c>
    </row>
    <row r="12" customHeight="1" spans="2:30">
      <c r="B12">
        <v>178</v>
      </c>
      <c r="C12" s="24" t="s">
        <v>50</v>
      </c>
      <c r="D12" s="24" t="s">
        <v>132</v>
      </c>
      <c r="E12" s="24" t="s">
        <v>83</v>
      </c>
      <c r="F12" s="10" t="s">
        <v>133</v>
      </c>
      <c r="G12" s="10" t="s">
        <v>133</v>
      </c>
      <c r="H12" s="10" t="s">
        <v>134</v>
      </c>
      <c r="I12" s="24" t="s">
        <v>86</v>
      </c>
      <c r="J12" s="24" t="s">
        <v>110</v>
      </c>
      <c r="K12" s="10" t="s">
        <v>135</v>
      </c>
      <c r="L12" s="24" t="s">
        <v>112</v>
      </c>
      <c r="M12" s="9">
        <v>34235</v>
      </c>
      <c r="N12" s="24" t="s">
        <v>90</v>
      </c>
      <c r="O12" s="24" t="s">
        <v>91</v>
      </c>
      <c r="P12" s="24">
        <v>5000</v>
      </c>
      <c r="Q12" s="24">
        <v>200</v>
      </c>
      <c r="R12" s="10" t="s">
        <v>136</v>
      </c>
      <c r="S12" s="9">
        <v>45006</v>
      </c>
      <c r="T12" s="24">
        <v>1</v>
      </c>
      <c r="U12" s="24">
        <v>1</v>
      </c>
      <c r="V12" s="24">
        <v>2</v>
      </c>
      <c r="W12" s="24">
        <v>3</v>
      </c>
      <c r="X12" s="24">
        <v>4</v>
      </c>
      <c r="Y12" s="24">
        <v>5</v>
      </c>
      <c r="Z12" s="24">
        <v>6</v>
      </c>
      <c r="AA12" s="24">
        <v>7</v>
      </c>
      <c r="AB12" s="24">
        <v>8</v>
      </c>
      <c r="AC12" s="24">
        <v>9</v>
      </c>
      <c r="AD12" s="9" t="s">
        <v>137</v>
      </c>
    </row>
    <row r="13" customHeight="1" spans="2:30">
      <c r="B13">
        <v>179</v>
      </c>
      <c r="C13" s="24" t="s">
        <v>51</v>
      </c>
      <c r="D13" s="24" t="s">
        <v>138</v>
      </c>
      <c r="E13" s="24" t="s">
        <v>83</v>
      </c>
      <c r="F13" s="10" t="s">
        <v>139</v>
      </c>
      <c r="G13" s="10" t="s">
        <v>139</v>
      </c>
      <c r="H13" s="10" t="s">
        <v>140</v>
      </c>
      <c r="I13" s="24" t="s">
        <v>86</v>
      </c>
      <c r="J13" s="24" t="s">
        <v>110</v>
      </c>
      <c r="K13" s="10" t="s">
        <v>141</v>
      </c>
      <c r="L13" s="24" t="s">
        <v>112</v>
      </c>
      <c r="M13" s="9">
        <v>36872</v>
      </c>
      <c r="N13" s="24" t="s">
        <v>90</v>
      </c>
      <c r="O13" s="24" t="s">
        <v>91</v>
      </c>
      <c r="P13" s="24">
        <v>3000</v>
      </c>
      <c r="Q13" s="24">
        <v>300</v>
      </c>
      <c r="R13" s="10" t="s">
        <v>142</v>
      </c>
      <c r="S13" s="9">
        <v>45017</v>
      </c>
      <c r="T13" s="24">
        <v>1</v>
      </c>
      <c r="U13" s="24" t="s">
        <v>143</v>
      </c>
      <c r="AD13" s="24" t="s">
        <v>144</v>
      </c>
    </row>
    <row r="14" customHeight="1" spans="13:19">
      <c r="M14" s="9"/>
      <c r="N14" s="24"/>
      <c r="O14" s="24"/>
      <c r="P14" s="24"/>
      <c r="Q14" s="24"/>
      <c r="R14" s="10"/>
      <c r="S14" s="9"/>
    </row>
  </sheetData>
  <conditionalFormatting sqref="C14:AC14">
    <cfRule type="expression" dxfId="0" priority="2">
      <formula>MOD(ROW(),2)=0</formula>
    </cfRule>
  </conditionalFormatting>
  <conditionalFormatting sqref="AD14">
    <cfRule type="expression" dxfId="0" priority="1">
      <formula>MOD(ROW(),2)=0</formula>
    </cfRule>
  </conditionalFormatting>
  <conditionalFormatting sqref="C5:AC13 C15:AC1048576">
    <cfRule type="expression" dxfId="0" priority="6">
      <formula>MOD(ROW(),2)=0</formula>
    </cfRule>
  </conditionalFormatting>
  <conditionalFormatting sqref="AD5:AD13 AD15:AD1048576">
    <cfRule type="expression" dxfId="0" priority="5">
      <formula>MOD(ROW(),2)=0</formula>
    </cfRule>
  </conditionalFormatting>
  <dataValidations count="2">
    <dataValidation type="list" allowBlank="1" showInputMessage="1" showErrorMessage="1" sqref="D14 D5:D13 D15:D1048576">
      <formula1>配置表!$E$5:$E$65536</formula1>
    </dataValidation>
    <dataValidation type="list" allowBlank="1" showInputMessage="1" showErrorMessage="1" sqref="E14 E5:E13 E1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145</v>
      </c>
      <c r="B1" t="s">
        <v>36</v>
      </c>
      <c r="C1" t="s">
        <v>56</v>
      </c>
      <c r="D1" t="s">
        <v>57</v>
      </c>
      <c r="E1" t="s">
        <v>146</v>
      </c>
      <c r="J1" t="s">
        <v>147</v>
      </c>
      <c r="K1" t="s">
        <v>148</v>
      </c>
      <c r="L1" t="s">
        <v>149</v>
      </c>
      <c r="M1" t="s">
        <v>150</v>
      </c>
      <c r="N1" t="s">
        <v>151</v>
      </c>
      <c r="O1" t="s">
        <v>152</v>
      </c>
      <c r="P1" t="s">
        <v>153</v>
      </c>
      <c r="V1" s="12" t="s">
        <v>36</v>
      </c>
      <c r="W1" s="12" t="s">
        <v>54</v>
      </c>
      <c r="X1" s="12" t="s">
        <v>154</v>
      </c>
      <c r="Y1" s="15" t="s">
        <v>58</v>
      </c>
      <c r="Z1" s="16" t="s">
        <v>69</v>
      </c>
      <c r="AA1" s="12" t="s">
        <v>66</v>
      </c>
      <c r="AB1" s="12" t="s">
        <v>67</v>
      </c>
      <c r="AC1" s="15" t="s">
        <v>155</v>
      </c>
      <c r="AI1" t="s">
        <v>54</v>
      </c>
      <c r="AJ1" t="s">
        <v>36</v>
      </c>
      <c r="AK1" t="s">
        <v>154</v>
      </c>
      <c r="AL1" t="s">
        <v>66</v>
      </c>
      <c r="AM1" t="s">
        <v>156</v>
      </c>
      <c r="AN1" t="s">
        <v>157</v>
      </c>
      <c r="AO1" t="s">
        <v>158</v>
      </c>
      <c r="AP1" t="s">
        <v>159</v>
      </c>
      <c r="AQ1" t="s">
        <v>160</v>
      </c>
      <c r="AR1" t="s">
        <v>161</v>
      </c>
      <c r="AS1" t="s">
        <v>162</v>
      </c>
      <c r="AT1" t="s">
        <v>163</v>
      </c>
      <c r="AU1" t="s">
        <v>164</v>
      </c>
      <c r="AV1" t="s">
        <v>165</v>
      </c>
      <c r="AW1" t="s">
        <v>166</v>
      </c>
      <c r="AX1" t="s">
        <v>41</v>
      </c>
      <c r="AY1" t="s">
        <v>167</v>
      </c>
      <c r="AZ1" t="s">
        <v>168</v>
      </c>
      <c r="BA1" t="s">
        <v>169</v>
      </c>
      <c r="BB1" t="s">
        <v>170</v>
      </c>
      <c r="BC1" t="s">
        <v>171</v>
      </c>
      <c r="BD1" t="s">
        <v>172</v>
      </c>
      <c r="BE1" t="s">
        <v>173</v>
      </c>
      <c r="BF1" t="s">
        <v>174</v>
      </c>
      <c r="BG1" t="s">
        <v>175</v>
      </c>
      <c r="BH1" t="s">
        <v>176</v>
      </c>
      <c r="BI1" t="s">
        <v>177</v>
      </c>
      <c r="BJ1" t="s">
        <v>178</v>
      </c>
      <c r="BK1" t="s">
        <v>179</v>
      </c>
      <c r="BL1" t="s">
        <v>180</v>
      </c>
      <c r="BM1" t="s">
        <v>181</v>
      </c>
      <c r="BN1" t="s">
        <v>182</v>
      </c>
      <c r="BO1" t="s">
        <v>183</v>
      </c>
      <c r="BP1" t="s">
        <v>184</v>
      </c>
      <c r="BQ1" t="s">
        <v>185</v>
      </c>
      <c r="BR1" t="s">
        <v>186</v>
      </c>
      <c r="BS1" t="s">
        <v>187</v>
      </c>
      <c r="BT1" t="s">
        <v>179</v>
      </c>
      <c r="BU1" t="s">
        <v>180</v>
      </c>
      <c r="BV1" t="s">
        <v>181</v>
      </c>
      <c r="BW1" t="s">
        <v>188</v>
      </c>
      <c r="BX1" t="s">
        <v>189</v>
      </c>
      <c r="BY1" t="s">
        <v>190</v>
      </c>
      <c r="BZ1" t="s">
        <v>191</v>
      </c>
      <c r="CA1" t="s">
        <v>192</v>
      </c>
      <c r="CB1" t="s">
        <v>193</v>
      </c>
      <c r="CC1" s="12" t="s">
        <v>194</v>
      </c>
      <c r="CD1" s="12" t="s">
        <v>195</v>
      </c>
      <c r="CE1" s="16" t="s">
        <v>196</v>
      </c>
      <c r="CF1"/>
      <c r="CK1" t="s">
        <v>36</v>
      </c>
      <c r="CL1" t="s">
        <v>54</v>
      </c>
      <c r="CM1" t="s">
        <v>154</v>
      </c>
      <c r="CN1" t="s">
        <v>173</v>
      </c>
      <c r="CO1" t="s">
        <v>183</v>
      </c>
      <c r="CP1" t="s">
        <v>197</v>
      </c>
      <c r="CQ1" t="s">
        <v>174</v>
      </c>
      <c r="CR1" t="s">
        <v>184</v>
      </c>
      <c r="CS1" t="s">
        <v>198</v>
      </c>
      <c r="CT1" t="s">
        <v>176</v>
      </c>
      <c r="CU1" t="s">
        <v>177</v>
      </c>
      <c r="CV1" t="s">
        <v>199</v>
      </c>
      <c r="CW1" t="s">
        <v>200</v>
      </c>
      <c r="CX1" t="s">
        <v>196</v>
      </c>
    </row>
    <row r="2" spans="1:83">
      <c r="A2">
        <v>94</v>
      </c>
      <c r="B2" t="s">
        <v>94</v>
      </c>
      <c r="C2" t="s">
        <v>96</v>
      </c>
      <c r="D2" t="s">
        <v>96</v>
      </c>
      <c r="E2" t="s">
        <v>32</v>
      </c>
      <c r="J2">
        <v>94</v>
      </c>
      <c r="K2">
        <v>1</v>
      </c>
      <c r="L2">
        <v>1</v>
      </c>
      <c r="M2">
        <v>1</v>
      </c>
      <c r="N2">
        <v>1</v>
      </c>
      <c r="O2">
        <v>1</v>
      </c>
      <c r="P2" t="s">
        <v>1</v>
      </c>
      <c r="V2" t="s">
        <v>201</v>
      </c>
      <c r="W2" t="s">
        <v>202</v>
      </c>
      <c r="X2" t="s">
        <v>83</v>
      </c>
      <c r="Y2" s="15" t="s">
        <v>203</v>
      </c>
      <c r="Z2" s="16">
        <v>44120</v>
      </c>
      <c r="AA2">
        <v>6700</v>
      </c>
      <c r="AB2">
        <v>2500</v>
      </c>
      <c r="AC2" s="15" t="s">
        <v>204</v>
      </c>
      <c r="AI2" t="s">
        <v>202</v>
      </c>
      <c r="AJ2" t="s">
        <v>205</v>
      </c>
      <c r="AK2" t="s">
        <v>101</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2">
        <v>0</v>
      </c>
      <c r="CD2" s="12">
        <v>4000</v>
      </c>
      <c r="CE2" s="16">
        <v>44734</v>
      </c>
    </row>
    <row r="3" spans="10:82">
      <c r="J3">
        <v>94</v>
      </c>
      <c r="K3">
        <v>1</v>
      </c>
      <c r="L3">
        <v>1</v>
      </c>
      <c r="M3">
        <v>1</v>
      </c>
      <c r="N3">
        <v>1</v>
      </c>
      <c r="O3">
        <v>1</v>
      </c>
      <c r="P3" t="s">
        <v>206</v>
      </c>
      <c r="V3" t="s">
        <v>115</v>
      </c>
      <c r="W3" t="s">
        <v>202</v>
      </c>
      <c r="X3" t="s">
        <v>101</v>
      </c>
      <c r="Y3" s="15" t="s">
        <v>207</v>
      </c>
      <c r="Z3" s="16">
        <v>43012</v>
      </c>
      <c r="AA3">
        <v>7800</v>
      </c>
      <c r="AC3" s="15" t="s">
        <v>208</v>
      </c>
      <c r="AI3" t="s">
        <v>202</v>
      </c>
      <c r="AJ3" t="s">
        <v>205</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2">
        <v>0</v>
      </c>
      <c r="CD3" s="12">
        <v>0</v>
      </c>
    </row>
    <row r="4" spans="10:29">
      <c r="J4">
        <v>94</v>
      </c>
      <c r="K4">
        <v>1</v>
      </c>
      <c r="L4">
        <v>1</v>
      </c>
      <c r="M4">
        <v>1</v>
      </c>
      <c r="N4">
        <v>1</v>
      </c>
      <c r="O4">
        <v>1</v>
      </c>
      <c r="P4" t="s">
        <v>209</v>
      </c>
      <c r="V4" t="s">
        <v>210</v>
      </c>
      <c r="W4" t="s">
        <v>211</v>
      </c>
      <c r="X4" t="s">
        <v>212</v>
      </c>
      <c r="Y4" s="15" t="s">
        <v>207</v>
      </c>
      <c r="Z4" s="16">
        <v>44120</v>
      </c>
      <c r="AA4">
        <v>78000</v>
      </c>
      <c r="AC4" s="15" t="s">
        <v>213</v>
      </c>
    </row>
    <row r="5" spans="10:29">
      <c r="J5">
        <v>94</v>
      </c>
      <c r="K5">
        <v>1</v>
      </c>
      <c r="L5">
        <v>1</v>
      </c>
      <c r="M5">
        <v>1</v>
      </c>
      <c r="N5">
        <v>1</v>
      </c>
      <c r="O5">
        <v>1</v>
      </c>
      <c r="P5" t="s">
        <v>214</v>
      </c>
      <c r="V5" t="s">
        <v>81</v>
      </c>
      <c r="W5" t="s">
        <v>138</v>
      </c>
      <c r="X5" t="s">
        <v>83</v>
      </c>
      <c r="Y5" s="15" t="s">
        <v>215</v>
      </c>
      <c r="Z5" s="16">
        <v>43922</v>
      </c>
      <c r="AA5">
        <v>9000</v>
      </c>
      <c r="AC5" s="15" t="s">
        <v>216</v>
      </c>
    </row>
    <row r="6" spans="10:29">
      <c r="J6">
        <v>94</v>
      </c>
      <c r="K6">
        <v>1</v>
      </c>
      <c r="L6">
        <v>1</v>
      </c>
      <c r="M6">
        <v>1</v>
      </c>
      <c r="N6">
        <v>1</v>
      </c>
      <c r="O6">
        <v>1</v>
      </c>
      <c r="P6" t="s">
        <v>217</v>
      </c>
      <c r="V6" t="s">
        <v>94</v>
      </c>
      <c r="W6" t="s">
        <v>218</v>
      </c>
      <c r="X6" t="s">
        <v>95</v>
      </c>
      <c r="Y6" s="15" t="s">
        <v>219</v>
      </c>
      <c r="Z6" s="16">
        <v>43908</v>
      </c>
      <c r="AA6">
        <v>6000</v>
      </c>
      <c r="AC6" s="15" t="s">
        <v>220</v>
      </c>
    </row>
    <row r="7" spans="10:29">
      <c r="J7">
        <v>94</v>
      </c>
      <c r="K7">
        <v>1</v>
      </c>
      <c r="L7">
        <v>1</v>
      </c>
      <c r="M7">
        <v>1</v>
      </c>
      <c r="N7">
        <v>1</v>
      </c>
      <c r="O7">
        <v>1</v>
      </c>
      <c r="P7" t="s">
        <v>221</v>
      </c>
      <c r="V7" t="s">
        <v>47</v>
      </c>
      <c r="W7" t="s">
        <v>222</v>
      </c>
      <c r="X7" t="s">
        <v>101</v>
      </c>
      <c r="Y7" s="15" t="s">
        <v>223</v>
      </c>
      <c r="Z7" s="16">
        <v>44378</v>
      </c>
      <c r="AA7">
        <v>5000</v>
      </c>
      <c r="AC7" s="15" t="s">
        <v>224</v>
      </c>
    </row>
    <row r="8" spans="10:29">
      <c r="J8">
        <v>94</v>
      </c>
      <c r="K8">
        <v>1</v>
      </c>
      <c r="L8">
        <v>1</v>
      </c>
      <c r="M8">
        <v>1</v>
      </c>
      <c r="N8">
        <v>1</v>
      </c>
      <c r="O8">
        <v>1</v>
      </c>
      <c r="P8" t="s">
        <v>225</v>
      </c>
      <c r="V8" t="s">
        <v>205</v>
      </c>
      <c r="W8" t="s">
        <v>202</v>
      </c>
      <c r="X8" t="s">
        <v>101</v>
      </c>
      <c r="Y8" s="15" t="s">
        <v>226</v>
      </c>
      <c r="Z8" s="16">
        <v>44727</v>
      </c>
      <c r="AA8">
        <v>2500</v>
      </c>
      <c r="AC8" s="15" t="s">
        <v>227</v>
      </c>
    </row>
    <row r="9" spans="10:29">
      <c r="J9">
        <v>94</v>
      </c>
      <c r="K9">
        <v>1</v>
      </c>
      <c r="L9">
        <v>1</v>
      </c>
      <c r="M9">
        <v>1</v>
      </c>
      <c r="N9">
        <v>1</v>
      </c>
      <c r="O9">
        <v>1</v>
      </c>
      <c r="P9" t="s">
        <v>228</v>
      </c>
      <c r="V9" t="s">
        <v>229</v>
      </c>
      <c r="W9" t="s">
        <v>82</v>
      </c>
      <c r="X9" t="s">
        <v>230</v>
      </c>
      <c r="Y9" s="15" t="s">
        <v>231</v>
      </c>
      <c r="Z9" s="16">
        <v>44715</v>
      </c>
      <c r="AA9">
        <v>4000</v>
      </c>
      <c r="AB9">
        <v>3000</v>
      </c>
      <c r="AC9" s="15" t="s">
        <v>232</v>
      </c>
    </row>
    <row r="10" spans="10:29">
      <c r="J10">
        <v>94</v>
      </c>
      <c r="K10">
        <v>1</v>
      </c>
      <c r="L10">
        <v>1</v>
      </c>
      <c r="M10">
        <v>1</v>
      </c>
      <c r="N10">
        <v>1</v>
      </c>
      <c r="O10">
        <v>1</v>
      </c>
      <c r="P10" t="s">
        <v>233</v>
      </c>
      <c r="V10" t="s">
        <v>234</v>
      </c>
      <c r="W10" t="s">
        <v>82</v>
      </c>
      <c r="X10" t="s">
        <v>230</v>
      </c>
      <c r="Y10" s="15" t="s">
        <v>235</v>
      </c>
      <c r="Z10" s="16">
        <v>44658</v>
      </c>
      <c r="AA10">
        <v>4000</v>
      </c>
      <c r="AB10">
        <v>3000</v>
      </c>
      <c r="AC10" s="15" t="s">
        <v>236</v>
      </c>
    </row>
    <row r="11" spans="10:29">
      <c r="J11">
        <v>94</v>
      </c>
      <c r="K11">
        <v>1</v>
      </c>
      <c r="L11">
        <v>1</v>
      </c>
      <c r="M11">
        <v>1</v>
      </c>
      <c r="N11">
        <v>1</v>
      </c>
      <c r="O11">
        <v>1</v>
      </c>
      <c r="P11" t="s">
        <v>237</v>
      </c>
      <c r="V11" t="s">
        <v>238</v>
      </c>
      <c r="W11" t="s">
        <v>82</v>
      </c>
      <c r="X11" t="s">
        <v>230</v>
      </c>
      <c r="Y11" s="15" t="s">
        <v>239</v>
      </c>
      <c r="Z11" s="16">
        <v>44762</v>
      </c>
      <c r="AA11">
        <v>6000</v>
      </c>
      <c r="AB11">
        <v>3000</v>
      </c>
      <c r="AC11" s="15" t="s">
        <v>239</v>
      </c>
    </row>
    <row r="12" spans="10:16">
      <c r="J12">
        <v>94</v>
      </c>
      <c r="K12">
        <v>1</v>
      </c>
      <c r="L12">
        <v>1</v>
      </c>
      <c r="M12">
        <v>1</v>
      </c>
      <c r="N12">
        <v>1</v>
      </c>
      <c r="O12">
        <v>1</v>
      </c>
      <c r="P12" t="s">
        <v>240</v>
      </c>
    </row>
    <row r="13" spans="10:16">
      <c r="J13">
        <v>94</v>
      </c>
      <c r="K13">
        <v>1</v>
      </c>
      <c r="L13">
        <v>1</v>
      </c>
      <c r="M13">
        <v>1</v>
      </c>
      <c r="N13">
        <v>1</v>
      </c>
      <c r="O13">
        <v>1</v>
      </c>
      <c r="P13" t="s">
        <v>241</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4"/>
  <sheetViews>
    <sheetView showGridLines="0" topLeftCell="I1" workbookViewId="0">
      <pane ySplit="4" topLeftCell="A5" activePane="bottomLeft" state="frozen"/>
      <selection/>
      <selection pane="bottomLeft" activeCell="I7" sqref="I7"/>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s>
  <sheetData>
    <row r="1" ht="54.75" customHeight="1" spans="3:56">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row>
    <row r="2" ht="40" customHeight="1" spans="3:56">
      <c r="C2" s="4" t="s">
        <v>242</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row>
    <row r="3" ht="30" customHeight="1" spans="3:56">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row>
    <row r="4" ht="30" customHeight="1" spans="3:56">
      <c r="C4" s="17" t="s">
        <v>36</v>
      </c>
      <c r="D4" s="17" t="s">
        <v>54</v>
      </c>
      <c r="E4" s="17" t="s">
        <v>154</v>
      </c>
      <c r="F4" s="18" t="s">
        <v>58</v>
      </c>
      <c r="G4" s="19" t="s">
        <v>69</v>
      </c>
      <c r="H4" s="17" t="s">
        <v>66</v>
      </c>
      <c r="I4" s="17" t="s">
        <v>67</v>
      </c>
      <c r="J4" s="17" t="s">
        <v>157</v>
      </c>
      <c r="K4" s="17" t="s">
        <v>243</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244</v>
      </c>
      <c r="AO4" s="17" t="s">
        <v>187</v>
      </c>
      <c r="AP4" s="17" t="s">
        <v>245</v>
      </c>
      <c r="AQ4" s="17" t="s">
        <v>180</v>
      </c>
      <c r="AR4" s="17" t="s">
        <v>181</v>
      </c>
      <c r="AS4" s="17" t="s">
        <v>188</v>
      </c>
      <c r="AT4" s="17" t="s">
        <v>189</v>
      </c>
      <c r="AU4" s="17" t="s">
        <v>190</v>
      </c>
      <c r="AV4" s="17" t="s">
        <v>191</v>
      </c>
      <c r="AW4" s="17" t="s">
        <v>192</v>
      </c>
      <c r="AX4" s="17" t="s">
        <v>193</v>
      </c>
      <c r="AY4" s="17" t="s">
        <v>246</v>
      </c>
      <c r="AZ4" s="17" t="s">
        <v>195</v>
      </c>
      <c r="BA4" s="18" t="s">
        <v>247</v>
      </c>
      <c r="BB4" s="18" t="s">
        <v>155</v>
      </c>
      <c r="BC4" s="19" t="s">
        <v>80</v>
      </c>
      <c r="BD4" s="19" t="s">
        <v>196</v>
      </c>
    </row>
    <row r="5" customHeight="1" spans="2:56">
      <c r="B5">
        <v>234</v>
      </c>
      <c r="C5" s="8" t="s">
        <v>81</v>
      </c>
      <c r="D5" s="8" t="s">
        <v>82</v>
      </c>
      <c r="E5" s="8" t="s">
        <v>83</v>
      </c>
      <c r="F5" s="10" t="s">
        <v>85</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248</v>
      </c>
      <c r="BB5" s="10" t="s">
        <v>92</v>
      </c>
      <c r="BC5" s="14">
        <v>45028</v>
      </c>
      <c r="BD5" s="14">
        <v>45042</v>
      </c>
    </row>
    <row r="6" customHeight="1" spans="2:56">
      <c r="B6">
        <v>235</v>
      </c>
      <c r="C6" s="8" t="s">
        <v>94</v>
      </c>
      <c r="D6" s="8" t="s">
        <v>82</v>
      </c>
      <c r="E6" s="8" t="s">
        <v>95</v>
      </c>
      <c r="F6" s="10" t="s">
        <v>97</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248</v>
      </c>
      <c r="BB6" s="10" t="s">
        <v>99</v>
      </c>
      <c r="BC6" s="14">
        <v>45029</v>
      </c>
      <c r="BD6" s="14">
        <v>45011</v>
      </c>
    </row>
    <row r="7" customHeight="1" spans="2:56">
      <c r="B7">
        <v>236</v>
      </c>
      <c r="C7" s="8" t="s">
        <v>47</v>
      </c>
      <c r="D7" s="8" t="s">
        <v>82</v>
      </c>
      <c r="E7" s="8" t="s">
        <v>101</v>
      </c>
      <c r="F7" s="10" t="s">
        <v>103</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105</v>
      </c>
      <c r="BC7" s="14">
        <v>45020</v>
      </c>
      <c r="BD7" s="14">
        <v>45029</v>
      </c>
    </row>
    <row r="8" customHeight="1" spans="2:56">
      <c r="B8">
        <v>237</v>
      </c>
      <c r="C8" s="8" t="s">
        <v>42</v>
      </c>
      <c r="D8" s="8" t="s">
        <v>107</v>
      </c>
      <c r="E8" s="8" t="s">
        <v>83</v>
      </c>
      <c r="F8" s="10" t="s">
        <v>109</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113</v>
      </c>
      <c r="BC8" s="14">
        <v>45034</v>
      </c>
      <c r="BD8" s="14">
        <v>45005</v>
      </c>
    </row>
    <row r="9" customHeight="1" spans="2:56">
      <c r="B9">
        <v>238</v>
      </c>
      <c r="C9" s="8" t="s">
        <v>115</v>
      </c>
      <c r="D9" s="8" t="s">
        <v>82</v>
      </c>
      <c r="E9" s="8" t="s">
        <v>83</v>
      </c>
      <c r="F9" s="10" t="s">
        <v>117</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113</v>
      </c>
      <c r="BC9" s="14">
        <v>45019</v>
      </c>
      <c r="BD9" s="14">
        <v>45028</v>
      </c>
    </row>
    <row r="10" customHeight="1" spans="2:56">
      <c r="B10">
        <v>239</v>
      </c>
      <c r="C10" s="8" t="s">
        <v>48</v>
      </c>
      <c r="D10" s="8" t="s">
        <v>107</v>
      </c>
      <c r="E10" s="8" t="s">
        <v>249</v>
      </c>
      <c r="F10" s="10" t="s">
        <v>250</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113</v>
      </c>
      <c r="BC10" s="14">
        <v>45021</v>
      </c>
      <c r="BD10" s="14">
        <v>45046</v>
      </c>
    </row>
    <row r="11" customHeight="1" spans="2:56">
      <c r="B11">
        <v>240</v>
      </c>
      <c r="C11" s="8" t="s">
        <v>49</v>
      </c>
      <c r="D11" s="8" t="s">
        <v>107</v>
      </c>
      <c r="E11" s="8" t="s">
        <v>83</v>
      </c>
      <c r="F11" s="10" t="s">
        <v>128</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c r="BB11" s="10" t="s">
        <v>130</v>
      </c>
      <c r="BC11" s="14">
        <v>45017</v>
      </c>
      <c r="BD11" s="14">
        <v>45032</v>
      </c>
    </row>
    <row r="12" customHeight="1" spans="2:56">
      <c r="B12">
        <v>241</v>
      </c>
      <c r="C12" s="8" t="s">
        <v>50</v>
      </c>
      <c r="D12" s="8" t="s">
        <v>132</v>
      </c>
      <c r="E12" s="8" t="s">
        <v>83</v>
      </c>
      <c r="F12" s="10" t="s">
        <v>134</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c r="BB12" s="10" t="s">
        <v>136</v>
      </c>
      <c r="BC12" s="14">
        <v>45034</v>
      </c>
      <c r="BD12" s="14">
        <v>45043</v>
      </c>
    </row>
    <row r="13" customHeight="1" spans="2:56">
      <c r="B13">
        <v>242</v>
      </c>
      <c r="C13" s="8" t="s">
        <v>51</v>
      </c>
      <c r="D13" s="8" t="s">
        <v>138</v>
      </c>
      <c r="E13" s="8" t="s">
        <v>83</v>
      </c>
      <c r="F13" s="10" t="s">
        <v>140</v>
      </c>
      <c r="G13" s="14">
        <v>45017</v>
      </c>
      <c r="H13" s="8">
        <v>5000</v>
      </c>
      <c r="I13" s="8">
        <v>300</v>
      </c>
      <c r="J13" s="8">
        <v>6790</v>
      </c>
      <c r="K13" s="8">
        <v>6790</v>
      </c>
      <c r="N13" s="8">
        <v>22</v>
      </c>
      <c r="O13" s="8">
        <v>50</v>
      </c>
      <c r="P13" s="8">
        <v>350</v>
      </c>
      <c r="Q13" s="8">
        <v>7000</v>
      </c>
      <c r="R13" s="8">
        <v>0</v>
      </c>
      <c r="S13" s="8">
        <v>300</v>
      </c>
      <c r="T13" s="8">
        <v>5</v>
      </c>
      <c r="U13" s="8">
        <v>500</v>
      </c>
      <c r="V13" s="8">
        <v>6790</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c r="BB13" s="10" t="s">
        <v>142</v>
      </c>
      <c r="BC13" s="14">
        <v>45029</v>
      </c>
      <c r="BD13" s="14">
        <v>45043</v>
      </c>
    </row>
    <row r="14" customHeight="1" spans="2:56">
      <c r="B14">
        <v>246</v>
      </c>
      <c r="C14" s="8" t="s">
        <v>81</v>
      </c>
      <c r="D14" s="8" t="s">
        <v>82</v>
      </c>
      <c r="E14" s="8" t="s">
        <v>101</v>
      </c>
      <c r="F14" s="10" t="s">
        <v>85</v>
      </c>
      <c r="H14" s="8">
        <v>9000</v>
      </c>
      <c r="I14" s="8">
        <v>2000</v>
      </c>
      <c r="J14" s="8">
        <v>3000</v>
      </c>
      <c r="K14" s="8">
        <v>7672270</v>
      </c>
      <c r="L14" s="8">
        <v>360</v>
      </c>
      <c r="M14" s="8">
        <v>300</v>
      </c>
      <c r="V14" s="8">
        <v>-9439270</v>
      </c>
      <c r="W14" s="8">
        <v>0.3</v>
      </c>
      <c r="X14" s="8">
        <v>150</v>
      </c>
      <c r="Y14" s="8">
        <v>0.5</v>
      </c>
      <c r="Z14" s="8">
        <v>220</v>
      </c>
      <c r="AA14" s="8">
        <v>2700000</v>
      </c>
      <c r="AB14" s="8">
        <v>3600000</v>
      </c>
      <c r="AC14" s="8">
        <v>675</v>
      </c>
      <c r="AD14" s="8">
        <v>2520000</v>
      </c>
      <c r="AE14" s="8">
        <v>180</v>
      </c>
      <c r="AF14" s="8">
        <v>1800000</v>
      </c>
      <c r="AG14" s="8">
        <v>4500000</v>
      </c>
      <c r="AH14" s="8">
        <v>240</v>
      </c>
      <c r="AI14" s="8">
        <v>0.03</v>
      </c>
      <c r="AJ14" s="23">
        <v>15120855</v>
      </c>
      <c r="AK14" s="8">
        <v>3150000</v>
      </c>
      <c r="AL14" s="8">
        <v>2700000</v>
      </c>
      <c r="AM14" s="8">
        <v>180</v>
      </c>
      <c r="AN14" s="8">
        <v>90</v>
      </c>
      <c r="AO14" s="8">
        <v>900000</v>
      </c>
      <c r="AP14" s="8">
        <v>2700000</v>
      </c>
      <c r="AQ14" s="8">
        <v>240</v>
      </c>
      <c r="AR14" s="8">
        <v>0.03</v>
      </c>
      <c r="AS14" s="8">
        <v>9461270</v>
      </c>
      <c r="AT14" s="8">
        <v>11000</v>
      </c>
      <c r="AX14" s="8">
        <v>0</v>
      </c>
      <c r="AY14" s="8">
        <v>367</v>
      </c>
      <c r="AZ14" s="8">
        <v>7661270</v>
      </c>
      <c r="BA14" s="10" t="s">
        <v>251</v>
      </c>
      <c r="BB14" s="10" t="s">
        <v>92</v>
      </c>
      <c r="BD14" s="14">
        <v>45095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1"/>
  <sheetViews>
    <sheetView showGridLines="0" workbookViewId="0">
      <pane ySplit="4" topLeftCell="A5" activePane="bottomLeft" state="frozen"/>
      <selection/>
      <selection pane="bottomLeft" activeCell="F10" sqref="F10"/>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252</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253</v>
      </c>
      <c r="G4" s="17" t="s">
        <v>254</v>
      </c>
      <c r="H4" s="17" t="s">
        <v>43</v>
      </c>
      <c r="I4" s="17" t="s">
        <v>255</v>
      </c>
      <c r="J4" s="17" t="s">
        <v>45</v>
      </c>
    </row>
    <row r="5" customHeight="1" spans="2:10">
      <c r="B5">
        <v>768</v>
      </c>
      <c r="C5" s="8" t="s">
        <v>42</v>
      </c>
      <c r="D5" s="20">
        <v>2023</v>
      </c>
      <c r="E5" s="20">
        <v>1</v>
      </c>
      <c r="F5" s="8">
        <v>0</v>
      </c>
      <c r="G5" s="8">
        <v>0</v>
      </c>
      <c r="H5" s="8">
        <v>0</v>
      </c>
      <c r="I5" s="8">
        <v>0</v>
      </c>
      <c r="J5" s="8">
        <v>0</v>
      </c>
    </row>
    <row r="6" customHeight="1" spans="2:10">
      <c r="B6">
        <v>771</v>
      </c>
      <c r="C6" s="8" t="s">
        <v>47</v>
      </c>
      <c r="D6" s="20">
        <v>2023</v>
      </c>
      <c r="E6" s="20">
        <v>2</v>
      </c>
      <c r="F6" s="8">
        <v>0</v>
      </c>
      <c r="G6" s="8">
        <v>0</v>
      </c>
      <c r="H6" s="8">
        <v>0</v>
      </c>
      <c r="I6" s="8">
        <v>0</v>
      </c>
      <c r="J6" s="8">
        <v>0</v>
      </c>
    </row>
    <row r="7" customHeight="1" spans="2:10">
      <c r="B7">
        <v>772</v>
      </c>
      <c r="C7" s="8" t="s">
        <v>48</v>
      </c>
      <c r="D7" s="20">
        <v>2023</v>
      </c>
      <c r="E7" s="20">
        <v>4</v>
      </c>
      <c r="F7" s="8">
        <v>0</v>
      </c>
      <c r="G7" s="8">
        <v>0</v>
      </c>
      <c r="H7" s="8">
        <v>0</v>
      </c>
      <c r="I7" s="8">
        <v>0</v>
      </c>
      <c r="J7" s="8">
        <v>0</v>
      </c>
    </row>
    <row r="8" customHeight="1" spans="2:10">
      <c r="B8">
        <v>773</v>
      </c>
      <c r="C8" s="8" t="s">
        <v>49</v>
      </c>
      <c r="D8" s="20">
        <v>2023</v>
      </c>
      <c r="E8" s="20">
        <v>1</v>
      </c>
      <c r="F8" s="8">
        <v>0</v>
      </c>
      <c r="G8" s="8">
        <v>0</v>
      </c>
      <c r="H8" s="8">
        <v>0</v>
      </c>
      <c r="I8" s="8">
        <v>0</v>
      </c>
      <c r="J8" s="8">
        <v>0</v>
      </c>
    </row>
    <row r="9" customHeight="1" spans="2:10">
      <c r="B9">
        <v>774</v>
      </c>
      <c r="C9" s="8" t="s">
        <v>50</v>
      </c>
      <c r="D9" s="20">
        <v>2023</v>
      </c>
      <c r="E9" s="20">
        <v>4</v>
      </c>
      <c r="F9" s="8">
        <v>0</v>
      </c>
      <c r="G9" s="8">
        <v>0</v>
      </c>
      <c r="H9" s="8">
        <v>0</v>
      </c>
      <c r="I9" s="8">
        <v>0</v>
      </c>
      <c r="J9" s="8">
        <v>0</v>
      </c>
    </row>
    <row r="10" customHeight="1" spans="2:10">
      <c r="B10">
        <v>775</v>
      </c>
      <c r="C10" s="8" t="s">
        <v>51</v>
      </c>
      <c r="D10" s="20">
        <v>2023</v>
      </c>
      <c r="E10" s="20">
        <v>4</v>
      </c>
      <c r="F10" s="8">
        <v>0</v>
      </c>
      <c r="G10" s="8">
        <v>0</v>
      </c>
      <c r="H10" s="8">
        <v>0</v>
      </c>
      <c r="I10" s="8">
        <v>0</v>
      </c>
      <c r="J10" s="8">
        <v>0</v>
      </c>
    </row>
    <row r="11" customHeight="1" spans="2:5">
      <c r="B11">
        <v>786</v>
      </c>
      <c r="C11" s="8" t="s">
        <v>229</v>
      </c>
      <c r="D11" s="20">
        <v>2023</v>
      </c>
      <c r="E11" s="20">
        <v>6</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8"/>
  <sheetViews>
    <sheetView showGridLines="0" workbookViewId="0">
      <pane ySplit="4" topLeftCell="A5" activePane="bottomLeft" state="frozen"/>
      <selection/>
      <selection pane="bottomLeft" activeCell="H18" sqref="H18"/>
    </sheetView>
  </sheetViews>
  <sheetFormatPr defaultColWidth="9" defaultRowHeight="20" customHeight="1" outlineLevelRow="7"/>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256</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169</v>
      </c>
      <c r="D4" s="17" t="s">
        <v>171</v>
      </c>
      <c r="E4" s="17" t="s">
        <v>257</v>
      </c>
      <c r="F4" s="17" t="s">
        <v>258</v>
      </c>
      <c r="G4" s="17" t="s">
        <v>167</v>
      </c>
      <c r="H4" s="17" t="s">
        <v>185</v>
      </c>
      <c r="I4" s="17" t="s">
        <v>175</v>
      </c>
      <c r="J4" s="17" t="s">
        <v>244</v>
      </c>
      <c r="K4" s="17" t="s">
        <v>177</v>
      </c>
      <c r="L4" s="17" t="s">
        <v>187</v>
      </c>
      <c r="M4" s="17" t="s">
        <v>178</v>
      </c>
      <c r="N4" s="17" t="s">
        <v>170</v>
      </c>
      <c r="O4" s="17" t="s">
        <v>259</v>
      </c>
      <c r="P4" s="17" t="s">
        <v>179</v>
      </c>
      <c r="Q4" s="17" t="s">
        <v>180</v>
      </c>
      <c r="R4" s="17" t="s">
        <v>172</v>
      </c>
      <c r="S4" s="17" t="s">
        <v>181</v>
      </c>
      <c r="T4" s="17" t="s">
        <v>183</v>
      </c>
      <c r="U4" s="17" t="s">
        <v>173</v>
      </c>
      <c r="V4" s="17" t="s">
        <v>154</v>
      </c>
      <c r="W4" s="17" t="s">
        <v>157</v>
      </c>
      <c r="X4" s="17" t="s">
        <v>184</v>
      </c>
      <c r="Y4" s="17" t="s">
        <v>174</v>
      </c>
      <c r="Z4" s="17" t="s">
        <v>260</v>
      </c>
      <c r="AA4" s="17" t="s">
        <v>191</v>
      </c>
      <c r="AB4" s="17" t="s">
        <v>159</v>
      </c>
      <c r="AC4" s="17" t="s">
        <v>176</v>
      </c>
      <c r="AD4" s="17" t="s">
        <v>160</v>
      </c>
      <c r="AE4" s="17" t="s">
        <v>246</v>
      </c>
      <c r="AF4" s="17" t="s">
        <v>163</v>
      </c>
      <c r="AG4" s="17" t="s">
        <v>247</v>
      </c>
      <c r="AH4" s="17" t="s">
        <v>166</v>
      </c>
    </row>
    <row r="5" customHeight="1" spans="2:34">
      <c r="B5" s="12">
        <v>7</v>
      </c>
      <c r="C5" s="8">
        <v>0.3</v>
      </c>
      <c r="D5" s="8">
        <v>0.5</v>
      </c>
      <c r="E5" s="8" t="s">
        <v>82</v>
      </c>
      <c r="F5" s="8" t="s">
        <v>83</v>
      </c>
      <c r="G5" s="8">
        <v>100</v>
      </c>
      <c r="H5" s="8">
        <v>0.02</v>
      </c>
      <c r="I5" s="8">
        <v>0.075</v>
      </c>
      <c r="J5" s="8">
        <v>0.01</v>
      </c>
      <c r="K5" s="8">
        <v>0.02</v>
      </c>
      <c r="L5" s="8">
        <v>100</v>
      </c>
      <c r="M5" s="8">
        <v>200</v>
      </c>
      <c r="N5" s="8">
        <v>150</v>
      </c>
      <c r="O5" s="8">
        <v>300</v>
      </c>
      <c r="P5" s="8">
        <v>500</v>
      </c>
      <c r="Q5" s="8">
        <v>240</v>
      </c>
      <c r="R5" s="8">
        <v>220</v>
      </c>
      <c r="S5" s="8">
        <v>0.03</v>
      </c>
      <c r="T5" s="8">
        <v>350</v>
      </c>
      <c r="U5" s="8">
        <v>300</v>
      </c>
      <c r="V5" s="8" t="s">
        <v>230</v>
      </c>
      <c r="W5" s="8">
        <v>5000</v>
      </c>
      <c r="X5" s="8">
        <v>300</v>
      </c>
      <c r="Y5" s="8">
        <v>400</v>
      </c>
      <c r="Z5" s="8" t="s">
        <v>261</v>
      </c>
      <c r="AA5" s="8">
        <v>0.1</v>
      </c>
      <c r="AB5" s="8">
        <v>360</v>
      </c>
      <c r="AC5" s="8">
        <v>280</v>
      </c>
      <c r="AD5" s="8">
        <v>300</v>
      </c>
      <c r="AE5" s="8">
        <v>367</v>
      </c>
      <c r="AF5" s="8">
        <v>430</v>
      </c>
      <c r="AG5" s="8">
        <v>1</v>
      </c>
      <c r="AH5" s="8">
        <v>300</v>
      </c>
    </row>
    <row r="6" customHeight="1" spans="2:34">
      <c r="B6" s="12">
        <v>265</v>
      </c>
      <c r="C6" s="8">
        <v>2</v>
      </c>
      <c r="D6" s="8">
        <v>1</v>
      </c>
      <c r="E6" s="8" t="s">
        <v>107</v>
      </c>
      <c r="F6" s="8" t="s">
        <v>83</v>
      </c>
      <c r="G6" s="8">
        <v>100</v>
      </c>
      <c r="H6" s="8">
        <v>0.03</v>
      </c>
      <c r="I6" s="8">
        <v>0.08</v>
      </c>
      <c r="J6" s="8">
        <v>0.02</v>
      </c>
      <c r="K6" s="8">
        <v>0.03</v>
      </c>
      <c r="L6" s="8">
        <v>100</v>
      </c>
      <c r="M6" s="8">
        <v>200</v>
      </c>
      <c r="N6" s="8">
        <v>180</v>
      </c>
      <c r="O6" s="8">
        <v>360</v>
      </c>
      <c r="P6" s="8">
        <v>500</v>
      </c>
      <c r="Q6" s="8">
        <v>200</v>
      </c>
      <c r="R6" s="8">
        <v>240</v>
      </c>
      <c r="S6" s="8">
        <v>0.02</v>
      </c>
      <c r="T6" s="8">
        <v>290</v>
      </c>
      <c r="U6" s="8">
        <v>300</v>
      </c>
      <c r="V6" s="8" t="s">
        <v>230</v>
      </c>
      <c r="W6" s="8">
        <v>6000</v>
      </c>
      <c r="X6" s="8">
        <v>350</v>
      </c>
      <c r="Y6" s="8">
        <v>400</v>
      </c>
      <c r="Z6" s="8" t="s">
        <v>261</v>
      </c>
      <c r="AA6" s="8">
        <v>0.1</v>
      </c>
      <c r="AB6" s="8">
        <v>500</v>
      </c>
      <c r="AC6" s="8">
        <v>200</v>
      </c>
      <c r="AD6" s="8">
        <v>310</v>
      </c>
      <c r="AE6" s="8">
        <v>400</v>
      </c>
      <c r="AF6" s="8">
        <v>230</v>
      </c>
      <c r="AG6" s="8">
        <v>1</v>
      </c>
      <c r="AH6" s="8">
        <v>250</v>
      </c>
    </row>
    <row r="7" customHeight="1" spans="2:34">
      <c r="B7" s="12">
        <v>338</v>
      </c>
      <c r="C7" s="8">
        <v>0.5</v>
      </c>
      <c r="D7" s="8">
        <v>1</v>
      </c>
      <c r="E7" s="8" t="s">
        <v>132</v>
      </c>
      <c r="F7" s="8" t="s">
        <v>83</v>
      </c>
      <c r="G7" s="8">
        <v>100</v>
      </c>
      <c r="H7" s="8">
        <v>0.05</v>
      </c>
      <c r="I7" s="8">
        <v>0.06</v>
      </c>
      <c r="J7" s="8">
        <v>0.03</v>
      </c>
      <c r="K7" s="8">
        <v>0.02</v>
      </c>
      <c r="L7" s="8">
        <v>100</v>
      </c>
      <c r="M7" s="8">
        <v>100</v>
      </c>
      <c r="N7" s="8">
        <v>150</v>
      </c>
      <c r="O7" s="8">
        <v>500</v>
      </c>
      <c r="P7" s="8">
        <v>500</v>
      </c>
      <c r="Q7" s="8">
        <v>300</v>
      </c>
      <c r="R7" s="8">
        <v>200</v>
      </c>
      <c r="S7" s="8">
        <v>0.2</v>
      </c>
      <c r="T7" s="8">
        <v>400</v>
      </c>
      <c r="U7" s="8">
        <v>300</v>
      </c>
      <c r="V7" s="8" t="s">
        <v>230</v>
      </c>
      <c r="W7" s="8">
        <v>5000</v>
      </c>
      <c r="X7" s="8">
        <v>200</v>
      </c>
      <c r="Y7" s="8">
        <v>400</v>
      </c>
      <c r="Z7" s="8" t="s">
        <v>261</v>
      </c>
      <c r="AA7" s="8">
        <v>0.1</v>
      </c>
      <c r="AB7" s="8">
        <v>300</v>
      </c>
      <c r="AC7" s="8">
        <v>300</v>
      </c>
      <c r="AD7" s="8">
        <v>250</v>
      </c>
      <c r="AE7" s="8">
        <v>305</v>
      </c>
      <c r="AF7" s="8">
        <v>400</v>
      </c>
      <c r="AG7" s="8">
        <v>1</v>
      </c>
      <c r="AH7" s="8">
        <v>200</v>
      </c>
    </row>
    <row r="8" customHeight="1" spans="2:34">
      <c r="B8" s="12">
        <v>339</v>
      </c>
      <c r="C8" s="8">
        <v>1</v>
      </c>
      <c r="D8" s="8">
        <v>0.7</v>
      </c>
      <c r="E8" s="8" t="s">
        <v>138</v>
      </c>
      <c r="F8" s="8" t="s">
        <v>83</v>
      </c>
      <c r="G8" s="8">
        <v>100</v>
      </c>
      <c r="H8" s="8">
        <v>0.03</v>
      </c>
      <c r="I8" s="8">
        <v>0.05</v>
      </c>
      <c r="J8" s="8">
        <v>0.02</v>
      </c>
      <c r="K8" s="8">
        <v>0.04</v>
      </c>
      <c r="L8" s="8">
        <v>100</v>
      </c>
      <c r="M8" s="8">
        <v>150</v>
      </c>
      <c r="N8" s="8">
        <v>160</v>
      </c>
      <c r="O8" s="8">
        <v>420</v>
      </c>
      <c r="P8" s="8">
        <v>500</v>
      </c>
      <c r="Q8" s="8">
        <v>320</v>
      </c>
      <c r="R8" s="8">
        <v>250</v>
      </c>
      <c r="S8" s="8">
        <v>0.03</v>
      </c>
      <c r="T8" s="8">
        <v>300</v>
      </c>
      <c r="U8" s="8">
        <v>300</v>
      </c>
      <c r="V8" s="8" t="s">
        <v>230</v>
      </c>
      <c r="W8" s="8">
        <v>5500</v>
      </c>
      <c r="X8" s="8">
        <v>200</v>
      </c>
      <c r="Y8" s="8">
        <v>400</v>
      </c>
      <c r="Z8" s="8" t="s">
        <v>261</v>
      </c>
      <c r="AA8" s="8">
        <v>0.1</v>
      </c>
      <c r="AB8" s="8">
        <v>340</v>
      </c>
      <c r="AC8" s="8">
        <v>300</v>
      </c>
      <c r="AD8" s="8">
        <v>230</v>
      </c>
      <c r="AE8" s="8">
        <v>400</v>
      </c>
      <c r="AF8" s="8">
        <v>350</v>
      </c>
      <c r="AG8" s="8">
        <v>1</v>
      </c>
      <c r="AH8" s="8">
        <v>300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3"/>
  <sheetViews>
    <sheetView showGridLines="0" workbookViewId="0">
      <pane ySplit="4" topLeftCell="A5" activePane="bottomLeft" state="frozen"/>
      <selection/>
      <selection pane="bottomLeft" activeCell="E15" sqref="E15"/>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262</v>
      </c>
      <c r="D2" s="16"/>
      <c r="E2" s="15"/>
      <c r="F2" s="12"/>
      <c r="G2" s="12"/>
      <c r="H2" s="12"/>
    </row>
    <row r="3" customFormat="1" ht="30" customHeight="1" spans="3:8">
      <c r="C3" s="12"/>
      <c r="D3" s="16"/>
      <c r="E3" s="15"/>
      <c r="F3" s="12"/>
      <c r="G3" s="12"/>
      <c r="H3" s="12"/>
    </row>
    <row r="4" customFormat="1" ht="30" customHeight="1" spans="3:8">
      <c r="C4" s="17" t="s">
        <v>263</v>
      </c>
      <c r="D4" s="19" t="s">
        <v>264</v>
      </c>
      <c r="E4" s="18" t="s">
        <v>195</v>
      </c>
      <c r="F4" s="17" t="s">
        <v>37</v>
      </c>
      <c r="G4" s="17" t="s">
        <v>265</v>
      </c>
      <c r="H4" s="17" t="s">
        <v>266</v>
      </c>
    </row>
    <row r="5" customHeight="1" spans="2:8">
      <c r="B5" s="12">
        <v>234</v>
      </c>
      <c r="C5" s="8" t="s">
        <v>81</v>
      </c>
      <c r="D5" s="14">
        <v>45042</v>
      </c>
      <c r="E5" s="8">
        <v>236270</v>
      </c>
      <c r="F5" s="8">
        <v>25</v>
      </c>
      <c r="G5" s="8">
        <v>243270</v>
      </c>
      <c r="H5" s="8">
        <v>441855</v>
      </c>
    </row>
    <row r="6" customHeight="1" spans="2:8">
      <c r="B6" s="12">
        <v>235</v>
      </c>
      <c r="C6" s="8" t="s">
        <v>94</v>
      </c>
      <c r="D6" s="14">
        <v>45011</v>
      </c>
      <c r="E6" s="8">
        <v>10000</v>
      </c>
      <c r="F6" s="8">
        <v>26</v>
      </c>
      <c r="G6" s="8">
        <v>920</v>
      </c>
      <c r="H6" s="8">
        <v>1100</v>
      </c>
    </row>
    <row r="7" customHeight="1" spans="2:8">
      <c r="B7" s="12">
        <v>236</v>
      </c>
      <c r="C7" s="8" t="s">
        <v>47</v>
      </c>
      <c r="D7" s="14">
        <v>45029</v>
      </c>
      <c r="E7" s="8">
        <v>9000</v>
      </c>
      <c r="F7" s="8">
        <v>0</v>
      </c>
      <c r="G7" s="8">
        <v>1310</v>
      </c>
      <c r="H7" s="8">
        <v>1000</v>
      </c>
    </row>
    <row r="8" customHeight="1" spans="2:8">
      <c r="B8" s="12">
        <v>237</v>
      </c>
      <c r="C8" s="8" t="s">
        <v>42</v>
      </c>
      <c r="D8" s="14">
        <v>45005</v>
      </c>
      <c r="E8" s="8">
        <v>8500</v>
      </c>
      <c r="F8" s="8">
        <v>25</v>
      </c>
      <c r="G8" s="8">
        <v>1240</v>
      </c>
      <c r="H8" s="8">
        <v>9400</v>
      </c>
    </row>
    <row r="9" customHeight="1" spans="2:8">
      <c r="B9" s="12">
        <v>238</v>
      </c>
      <c r="C9" s="8" t="s">
        <v>115</v>
      </c>
      <c r="D9" s="14">
        <v>45028</v>
      </c>
      <c r="E9" s="8">
        <v>9000</v>
      </c>
      <c r="F9" s="8">
        <v>20</v>
      </c>
      <c r="G9" s="8">
        <v>860</v>
      </c>
      <c r="H9" s="8">
        <v>1000</v>
      </c>
    </row>
    <row r="10" customHeight="1" spans="2:8">
      <c r="B10" s="12">
        <v>239</v>
      </c>
      <c r="C10" s="8" t="s">
        <v>48</v>
      </c>
      <c r="D10" s="14">
        <v>45046</v>
      </c>
      <c r="E10" s="8">
        <v>5000</v>
      </c>
      <c r="F10" s="8">
        <v>23</v>
      </c>
      <c r="G10" s="8">
        <v>940</v>
      </c>
      <c r="H10" s="8">
        <v>6020</v>
      </c>
    </row>
    <row r="11" customHeight="1" spans="2:8">
      <c r="B11" s="12">
        <v>240</v>
      </c>
      <c r="C11" s="8" t="s">
        <v>49</v>
      </c>
      <c r="D11" s="14">
        <v>45032</v>
      </c>
      <c r="E11" s="8">
        <v>7000</v>
      </c>
      <c r="F11" s="8">
        <v>23</v>
      </c>
      <c r="G11" s="8">
        <v>830</v>
      </c>
      <c r="H11" s="8">
        <v>8310</v>
      </c>
    </row>
    <row r="12" customHeight="1" spans="2:8">
      <c r="B12" s="12">
        <v>241</v>
      </c>
      <c r="C12" s="8" t="s">
        <v>50</v>
      </c>
      <c r="D12" s="14">
        <v>45043</v>
      </c>
      <c r="E12" s="8">
        <v>4250150</v>
      </c>
      <c r="F12" s="8">
        <v>22</v>
      </c>
      <c r="G12" s="8">
        <v>1125</v>
      </c>
      <c r="H12" s="8">
        <v>1315</v>
      </c>
    </row>
    <row r="13" customHeight="1" spans="2:8">
      <c r="B13" s="12">
        <v>242</v>
      </c>
      <c r="C13" s="8" t="s">
        <v>51</v>
      </c>
      <c r="D13" s="14">
        <v>45043</v>
      </c>
      <c r="E13" s="8">
        <v>6790</v>
      </c>
      <c r="F13" s="8">
        <v>22</v>
      </c>
      <c r="G13" s="8">
        <v>1052190</v>
      </c>
      <c r="H13" s="8">
        <v>901995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4"/>
  <sheetViews>
    <sheetView showGridLines="0" workbookViewId="0">
      <pane ySplit="4" topLeftCell="A7" activePane="bottomLeft" state="frozen"/>
      <selection/>
      <selection pane="bottomLeft" activeCell="J10" sqref="J10"/>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267</v>
      </c>
      <c r="D2" s="12"/>
      <c r="E2" s="12"/>
      <c r="F2" s="12"/>
      <c r="G2" s="12"/>
      <c r="H2" s="12"/>
      <c r="I2" s="16"/>
    </row>
    <row r="3" customFormat="1" ht="30" customHeight="1" spans="3:9">
      <c r="C3" s="12"/>
      <c r="D3" s="12"/>
      <c r="E3" s="12"/>
      <c r="F3" s="12"/>
      <c r="G3" s="12"/>
      <c r="H3" s="12"/>
      <c r="I3" s="16"/>
    </row>
    <row r="4" customFormat="1" ht="30" customHeight="1" spans="3:9">
      <c r="C4" s="17" t="s">
        <v>195</v>
      </c>
      <c r="D4" s="17" t="s">
        <v>265</v>
      </c>
      <c r="E4" s="17" t="s">
        <v>266</v>
      </c>
      <c r="F4" s="17" t="s">
        <v>268</v>
      </c>
      <c r="G4" s="17" t="s">
        <v>37</v>
      </c>
      <c r="H4" s="17" t="s">
        <v>269</v>
      </c>
      <c r="I4" s="19" t="s">
        <v>270</v>
      </c>
    </row>
    <row r="5" s="12" customFormat="1" customHeight="1" spans="2:9">
      <c r="B5" s="12">
        <v>21</v>
      </c>
      <c r="C5" s="8">
        <v>236270</v>
      </c>
      <c r="D5" s="8">
        <v>243270</v>
      </c>
      <c r="E5" s="8">
        <v>441855</v>
      </c>
      <c r="F5" s="8">
        <v>1</v>
      </c>
      <c r="G5" s="8">
        <v>25</v>
      </c>
      <c r="H5" s="8" t="s">
        <v>94</v>
      </c>
      <c r="I5" s="14">
        <v>45043</v>
      </c>
    </row>
    <row r="6" customHeight="1" spans="2:9">
      <c r="B6" s="12">
        <v>22</v>
      </c>
      <c r="C6" s="8">
        <v>3000</v>
      </c>
      <c r="D6" s="8">
        <v>0</v>
      </c>
      <c r="E6" s="8">
        <v>3000</v>
      </c>
      <c r="F6" s="8">
        <v>1</v>
      </c>
      <c r="G6" s="8">
        <v>25</v>
      </c>
      <c r="H6" s="8" t="s">
        <v>81</v>
      </c>
      <c r="I6" s="14">
        <v>45042</v>
      </c>
    </row>
    <row r="7" customHeight="1" spans="2:9">
      <c r="B7" s="12">
        <v>23</v>
      </c>
      <c r="C7" s="8">
        <v>3000</v>
      </c>
      <c r="D7" s="8">
        <v>100</v>
      </c>
      <c r="E7" s="8">
        <v>2900</v>
      </c>
      <c r="F7" s="8">
        <v>1</v>
      </c>
      <c r="G7" s="8">
        <v>22</v>
      </c>
      <c r="H7" s="8" t="s">
        <v>48</v>
      </c>
      <c r="I7" s="14">
        <v>45044</v>
      </c>
    </row>
    <row r="8" customHeight="1" spans="2:9">
      <c r="B8" s="12">
        <v>24</v>
      </c>
      <c r="C8" s="8">
        <v>6000</v>
      </c>
      <c r="D8" s="8">
        <v>200</v>
      </c>
      <c r="E8" s="8">
        <v>5800</v>
      </c>
      <c r="F8" s="8">
        <v>1</v>
      </c>
      <c r="G8" s="8">
        <v>22</v>
      </c>
      <c r="H8" s="8" t="s">
        <v>47</v>
      </c>
      <c r="I8" s="14">
        <v>45041</v>
      </c>
    </row>
    <row r="9" customHeight="1" spans="2:8">
      <c r="B9" s="12">
        <v>25</v>
      </c>
      <c r="C9" s="8">
        <v>10000</v>
      </c>
      <c r="D9" s="8">
        <v>0</v>
      </c>
      <c r="E9" s="8">
        <v>10000</v>
      </c>
      <c r="F9" s="8">
        <v>1</v>
      </c>
      <c r="G9" s="8">
        <v>21</v>
      </c>
      <c r="H9" s="8" t="s">
        <v>49</v>
      </c>
    </row>
    <row r="10" customHeight="1" spans="2:8">
      <c r="B10" s="12">
        <v>26</v>
      </c>
      <c r="C10" s="8">
        <v>8000</v>
      </c>
      <c r="D10" s="8">
        <v>30</v>
      </c>
      <c r="E10" s="8">
        <v>7970</v>
      </c>
      <c r="F10" s="8">
        <v>1</v>
      </c>
      <c r="G10" s="8">
        <v>22</v>
      </c>
      <c r="H10" s="8" t="s">
        <v>42</v>
      </c>
    </row>
    <row r="11" customHeight="1" spans="2:9">
      <c r="B11" s="12">
        <v>27</v>
      </c>
      <c r="C11" s="8">
        <v>7800</v>
      </c>
      <c r="D11" s="8">
        <v>300</v>
      </c>
      <c r="E11" s="8">
        <v>7500</v>
      </c>
      <c r="F11" s="8">
        <v>1</v>
      </c>
      <c r="G11" s="8">
        <v>22</v>
      </c>
      <c r="H11" s="8" t="s">
        <v>115</v>
      </c>
      <c r="I11" s="14">
        <v>45035</v>
      </c>
    </row>
    <row r="12" customHeight="1" spans="2:9">
      <c r="B12" s="12">
        <v>28</v>
      </c>
      <c r="C12" s="8">
        <v>6000</v>
      </c>
      <c r="D12" s="8">
        <v>70</v>
      </c>
      <c r="E12" s="8">
        <v>5930</v>
      </c>
      <c r="F12" s="8">
        <v>1</v>
      </c>
      <c r="G12" s="8">
        <v>22</v>
      </c>
      <c r="H12" s="8" t="s">
        <v>50</v>
      </c>
      <c r="I12" s="14">
        <v>45045</v>
      </c>
    </row>
    <row r="13" customHeight="1" spans="2:9">
      <c r="B13" s="12">
        <v>29</v>
      </c>
      <c r="C13" s="8">
        <v>7500</v>
      </c>
      <c r="D13" s="8">
        <v>500</v>
      </c>
      <c r="E13" s="8">
        <v>7000</v>
      </c>
      <c r="F13" s="8">
        <v>1</v>
      </c>
      <c r="G13" s="8">
        <v>22</v>
      </c>
      <c r="H13" s="8" t="s">
        <v>51</v>
      </c>
      <c r="I13" s="14">
        <v>45027</v>
      </c>
    </row>
    <row r="14" customHeight="1" spans="2:9">
      <c r="B14" s="12">
        <v>31</v>
      </c>
      <c r="C14" s="8">
        <v>4523210</v>
      </c>
      <c r="D14" s="8">
        <v>1300525</v>
      </c>
      <c r="E14" s="8">
        <v>1361495</v>
      </c>
      <c r="F14" s="8">
        <v>9</v>
      </c>
      <c r="G14" s="8">
        <v>4523210</v>
      </c>
      <c r="H14" s="8" t="s">
        <v>94</v>
      </c>
      <c r="I14" s="14">
        <v>45107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3"/>
  <sheetViews>
    <sheetView showGridLines="0" workbookViewId="0">
      <pane ySplit="4" topLeftCell="A5" activePane="bottomLeft" state="frozen"/>
      <selection/>
      <selection pane="bottomLeft" activeCell="G13" sqref="G13"/>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7" width="12.625" style="8" customWidth="1"/>
    <col min="8" max="8" width="20" style="8" customWidth="1"/>
    <col min="9" max="10" width="12.625" style="8" customWidth="1"/>
  </cols>
  <sheetData>
    <row r="1" ht="54.75" customHeight="1" spans="3:10">
      <c r="C1" s="12"/>
      <c r="D1" s="21"/>
      <c r="E1" s="15"/>
      <c r="F1" s="12"/>
      <c r="G1" s="12"/>
      <c r="H1" s="12"/>
      <c r="I1" s="12"/>
      <c r="J1" s="12"/>
    </row>
    <row r="2" ht="40" customHeight="1" spans="3:10">
      <c r="C2" s="4" t="s">
        <v>271</v>
      </c>
      <c r="D2" s="21"/>
      <c r="E2" s="15"/>
      <c r="F2" s="12"/>
      <c r="G2" s="12"/>
      <c r="H2" s="12"/>
      <c r="I2" s="12"/>
      <c r="J2" s="12"/>
    </row>
    <row r="3" ht="30" customHeight="1" spans="3:10">
      <c r="C3" s="12"/>
      <c r="D3" s="21"/>
      <c r="E3" s="15"/>
      <c r="F3" s="12"/>
      <c r="G3" s="12"/>
      <c r="H3" s="12"/>
      <c r="I3" s="12"/>
      <c r="J3" s="12"/>
    </row>
    <row r="4" ht="30" customHeight="1" spans="3:10">
      <c r="C4" s="17" t="s">
        <v>36</v>
      </c>
      <c r="D4" s="22" t="s">
        <v>272</v>
      </c>
      <c r="E4" s="18" t="s">
        <v>273</v>
      </c>
      <c r="F4" s="17" t="s">
        <v>274</v>
      </c>
      <c r="G4" s="17" t="s">
        <v>275</v>
      </c>
      <c r="H4" s="17" t="s">
        <v>276</v>
      </c>
      <c r="I4" s="17" t="s">
        <v>277</v>
      </c>
      <c r="J4" s="17" t="s">
        <v>278</v>
      </c>
    </row>
    <row r="5" customHeight="1" spans="2:10">
      <c r="B5">
        <v>234</v>
      </c>
      <c r="C5" s="8" t="s">
        <v>81</v>
      </c>
      <c r="D5" s="20" t="s">
        <v>279</v>
      </c>
      <c r="E5" s="10" t="s">
        <v>85</v>
      </c>
      <c r="F5" s="8">
        <v>9000</v>
      </c>
      <c r="G5" s="8">
        <v>441855</v>
      </c>
      <c r="H5" s="8">
        <v>117000</v>
      </c>
      <c r="I5" s="8">
        <v>36000</v>
      </c>
      <c r="J5" s="8">
        <v>6</v>
      </c>
    </row>
    <row r="6" customHeight="1" spans="2:10">
      <c r="B6">
        <v>235</v>
      </c>
      <c r="C6" s="8" t="s">
        <v>94</v>
      </c>
      <c r="D6" s="20" t="s">
        <v>279</v>
      </c>
      <c r="E6" s="10" t="s">
        <v>97</v>
      </c>
      <c r="F6" s="8">
        <v>6000</v>
      </c>
      <c r="G6" s="8">
        <v>10000</v>
      </c>
      <c r="H6" s="8">
        <v>0</v>
      </c>
      <c r="I6" s="8">
        <v>400</v>
      </c>
      <c r="J6" s="8">
        <v>6</v>
      </c>
    </row>
    <row r="7" customHeight="1" spans="2:9">
      <c r="B7">
        <v>236</v>
      </c>
      <c r="C7" s="8" t="s">
        <v>47</v>
      </c>
      <c r="D7" s="20" t="s">
        <v>279</v>
      </c>
      <c r="E7" s="10" t="s">
        <v>103</v>
      </c>
      <c r="F7" s="8">
        <v>5000</v>
      </c>
      <c r="G7" s="8">
        <v>9000</v>
      </c>
      <c r="H7" s="8">
        <v>0</v>
      </c>
      <c r="I7" s="8">
        <v>360</v>
      </c>
    </row>
    <row r="8" customHeight="1" spans="2:9">
      <c r="B8">
        <v>237</v>
      </c>
      <c r="C8" s="8" t="s">
        <v>42</v>
      </c>
      <c r="D8" s="20" t="s">
        <v>279</v>
      </c>
      <c r="E8" s="10" t="s">
        <v>109</v>
      </c>
      <c r="F8" s="8">
        <v>3000</v>
      </c>
      <c r="G8" s="8">
        <v>8500</v>
      </c>
      <c r="H8" s="8">
        <v>0</v>
      </c>
      <c r="I8" s="8">
        <v>340</v>
      </c>
    </row>
    <row r="9" customHeight="1" spans="2:9">
      <c r="B9">
        <v>238</v>
      </c>
      <c r="C9" s="8" t="s">
        <v>115</v>
      </c>
      <c r="D9" s="20" t="s">
        <v>279</v>
      </c>
      <c r="E9" s="10" t="s">
        <v>117</v>
      </c>
      <c r="F9" s="8">
        <v>5000</v>
      </c>
      <c r="G9" s="8">
        <v>9000</v>
      </c>
      <c r="H9" s="8">
        <v>0</v>
      </c>
      <c r="I9" s="8">
        <v>360</v>
      </c>
    </row>
    <row r="10" customHeight="1" spans="2:9">
      <c r="B10">
        <v>239</v>
      </c>
      <c r="C10" s="8" t="s">
        <v>48</v>
      </c>
      <c r="D10" s="20" t="s">
        <v>279</v>
      </c>
      <c r="E10" s="10" t="s">
        <v>250</v>
      </c>
      <c r="F10" s="8">
        <v>5000</v>
      </c>
      <c r="G10" s="8">
        <v>5000</v>
      </c>
      <c r="H10" s="8">
        <v>0</v>
      </c>
      <c r="I10" s="8">
        <v>200</v>
      </c>
    </row>
    <row r="11" customHeight="1" spans="2:9">
      <c r="B11">
        <v>240</v>
      </c>
      <c r="C11" s="8" t="s">
        <v>49</v>
      </c>
      <c r="D11" s="20" t="s">
        <v>279</v>
      </c>
      <c r="E11" s="10" t="s">
        <v>128</v>
      </c>
      <c r="F11" s="8">
        <v>3000</v>
      </c>
      <c r="G11" s="8">
        <v>7000</v>
      </c>
      <c r="H11" s="8">
        <v>0</v>
      </c>
      <c r="I11" s="8">
        <v>280</v>
      </c>
    </row>
    <row r="12" customHeight="1" spans="2:9">
      <c r="B12">
        <v>241</v>
      </c>
      <c r="C12" s="8" t="s">
        <v>50</v>
      </c>
      <c r="D12" s="20" t="s">
        <v>279</v>
      </c>
      <c r="E12" s="10" t="s">
        <v>134</v>
      </c>
      <c r="F12" s="8">
        <v>5000</v>
      </c>
      <c r="G12" s="8">
        <v>840</v>
      </c>
      <c r="H12" s="8">
        <v>150</v>
      </c>
      <c r="I12" s="8">
        <v>150</v>
      </c>
    </row>
    <row r="13" customHeight="1" spans="2:9">
      <c r="B13">
        <v>242</v>
      </c>
      <c r="C13" s="8" t="s">
        <v>51</v>
      </c>
      <c r="D13" s="20" t="s">
        <v>279</v>
      </c>
      <c r="E13" s="10" t="s">
        <v>140</v>
      </c>
      <c r="F13" s="8">
        <v>5000</v>
      </c>
      <c r="G13" s="8">
        <v>6790</v>
      </c>
      <c r="H13" s="8">
        <v>900</v>
      </c>
      <c r="I13" s="8">
        <v>900</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H13" sqref="H13"/>
    </sheetView>
  </sheetViews>
  <sheetFormatPr defaultColWidth="9" defaultRowHeight="20" customHeight="1" outlineLevelRow="7"/>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280</v>
      </c>
    </row>
    <row r="3" s="12" customFormat="1" ht="30" customHeight="1"/>
    <row r="4" s="12" customFormat="1" ht="30" customHeight="1" spans="3:49">
      <c r="C4" s="17" t="s">
        <v>54</v>
      </c>
      <c r="D4" s="17" t="s">
        <v>281</v>
      </c>
      <c r="E4" s="17" t="s">
        <v>66</v>
      </c>
      <c r="F4" s="17" t="s">
        <v>67</v>
      </c>
      <c r="G4" s="17" t="s">
        <v>157</v>
      </c>
      <c r="H4" s="17" t="s">
        <v>158</v>
      </c>
      <c r="I4" s="17" t="s">
        <v>159</v>
      </c>
      <c r="J4" s="17" t="s">
        <v>160</v>
      </c>
      <c r="K4" s="17" t="s">
        <v>161</v>
      </c>
      <c r="L4" s="17" t="s">
        <v>162</v>
      </c>
      <c r="M4" s="17" t="s">
        <v>163</v>
      </c>
      <c r="N4" s="17" t="s">
        <v>164</v>
      </c>
      <c r="O4" s="17" t="s">
        <v>165</v>
      </c>
      <c r="P4" s="17" t="s">
        <v>166</v>
      </c>
      <c r="Q4" s="17" t="s">
        <v>41</v>
      </c>
      <c r="R4" s="17" t="s">
        <v>167</v>
      </c>
      <c r="S4" s="17" t="s">
        <v>168</v>
      </c>
      <c r="T4" s="17" t="s">
        <v>169</v>
      </c>
      <c r="U4" s="17" t="s">
        <v>170</v>
      </c>
      <c r="V4" s="17" t="s">
        <v>171</v>
      </c>
      <c r="W4" s="17" t="s">
        <v>172</v>
      </c>
      <c r="X4" s="17" t="s">
        <v>173</v>
      </c>
      <c r="Y4" s="17" t="s">
        <v>174</v>
      </c>
      <c r="Z4" s="17" t="s">
        <v>175</v>
      </c>
      <c r="AA4" s="17" t="s">
        <v>176</v>
      </c>
      <c r="AB4" s="17" t="s">
        <v>177</v>
      </c>
      <c r="AC4" s="17" t="s">
        <v>178</v>
      </c>
      <c r="AD4" s="17" t="s">
        <v>179</v>
      </c>
      <c r="AE4" s="17" t="s">
        <v>180</v>
      </c>
      <c r="AF4" s="17" t="s">
        <v>181</v>
      </c>
      <c r="AG4" s="17" t="s">
        <v>182</v>
      </c>
      <c r="AH4" s="17" t="s">
        <v>183</v>
      </c>
      <c r="AI4" s="17" t="s">
        <v>184</v>
      </c>
      <c r="AJ4" s="17" t="s">
        <v>185</v>
      </c>
      <c r="AK4" s="17" t="s">
        <v>186</v>
      </c>
      <c r="AL4" s="17" t="s">
        <v>187</v>
      </c>
      <c r="AM4" s="17" t="s">
        <v>245</v>
      </c>
      <c r="AN4" s="17" t="s">
        <v>180</v>
      </c>
      <c r="AO4" s="17" t="s">
        <v>181</v>
      </c>
      <c r="AP4" s="17" t="s">
        <v>188</v>
      </c>
      <c r="AQ4" s="17" t="s">
        <v>189</v>
      </c>
      <c r="AR4" s="17" t="s">
        <v>190</v>
      </c>
      <c r="AS4" s="17" t="s">
        <v>191</v>
      </c>
      <c r="AT4" s="17" t="s">
        <v>192</v>
      </c>
      <c r="AU4" s="17" t="s">
        <v>193</v>
      </c>
      <c r="AV4" s="17" t="s">
        <v>194</v>
      </c>
      <c r="AW4" s="17" t="s">
        <v>195</v>
      </c>
    </row>
    <row r="5" customHeight="1" spans="3:49">
      <c r="C5" s="8" t="s">
        <v>107</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138</v>
      </c>
      <c r="D6" s="8">
        <v>1</v>
      </c>
      <c r="E6" s="8">
        <v>5000</v>
      </c>
      <c r="F6" s="8">
        <v>300</v>
      </c>
      <c r="G6" s="8">
        <v>6790</v>
      </c>
      <c r="H6" s="8">
        <v>6790</v>
      </c>
      <c r="I6" s="8">
        <v>0</v>
      </c>
      <c r="J6" s="8">
        <v>0</v>
      </c>
      <c r="K6" s="8">
        <v>22</v>
      </c>
      <c r="L6" s="8">
        <v>50</v>
      </c>
      <c r="M6" s="8">
        <v>350</v>
      </c>
      <c r="N6" s="8">
        <v>7000</v>
      </c>
      <c r="O6" s="8">
        <v>0</v>
      </c>
      <c r="P6" s="8">
        <v>300</v>
      </c>
      <c r="Q6" s="8">
        <v>5</v>
      </c>
      <c r="R6" s="8">
        <v>500</v>
      </c>
      <c r="S6" s="8">
        <v>6791</v>
      </c>
      <c r="T6" s="8">
        <v>0.3</v>
      </c>
      <c r="U6" s="8">
        <v>0</v>
      </c>
      <c r="V6" s="8">
        <v>0.5</v>
      </c>
      <c r="W6" s="8">
        <v>0</v>
      </c>
      <c r="X6" s="8">
        <v>900000</v>
      </c>
      <c r="Y6" s="8">
        <v>120</v>
      </c>
      <c r="Z6" s="8">
        <v>225</v>
      </c>
      <c r="AA6" s="8">
        <v>840</v>
      </c>
      <c r="AB6" s="8">
        <v>60</v>
      </c>
      <c r="AC6" s="8">
        <v>600</v>
      </c>
      <c r="AD6" s="8">
        <v>150</v>
      </c>
      <c r="AE6" s="8">
        <v>0</v>
      </c>
      <c r="AF6" s="8">
        <v>0</v>
      </c>
      <c r="AG6" s="8">
        <v>6790</v>
      </c>
      <c r="AH6" s="8">
        <v>1050000</v>
      </c>
      <c r="AI6" s="8">
        <v>900</v>
      </c>
      <c r="AJ6" s="8">
        <v>60</v>
      </c>
      <c r="AK6" s="8">
        <v>30</v>
      </c>
      <c r="AL6" s="8">
        <v>300</v>
      </c>
      <c r="AM6" s="8">
        <v>900</v>
      </c>
      <c r="AN6" s="8">
        <v>0</v>
      </c>
      <c r="AO6" s="8">
        <v>0</v>
      </c>
      <c r="AP6" s="8">
        <v>315</v>
      </c>
      <c r="AQ6" s="8">
        <v>7000</v>
      </c>
      <c r="AR6" s="8">
        <v>297</v>
      </c>
      <c r="AS6" s="8">
        <v>0.1</v>
      </c>
      <c r="AT6" s="8">
        <v>0</v>
      </c>
      <c r="AU6" s="8">
        <v>303</v>
      </c>
      <c r="AV6" s="8">
        <v>0</v>
      </c>
      <c r="AW6" s="8">
        <v>6790</v>
      </c>
    </row>
    <row r="7" customHeight="1" spans="3:49">
      <c r="C7" s="8" t="s">
        <v>132</v>
      </c>
      <c r="D7" s="8">
        <v>1</v>
      </c>
      <c r="E7" s="8">
        <v>5000</v>
      </c>
      <c r="F7" s="8">
        <v>200</v>
      </c>
      <c r="G7" s="8">
        <v>4950</v>
      </c>
      <c r="H7" s="8">
        <v>4950</v>
      </c>
      <c r="I7" s="8">
        <v>0</v>
      </c>
      <c r="J7" s="8">
        <v>0</v>
      </c>
      <c r="K7" s="8">
        <v>22</v>
      </c>
      <c r="L7" s="8">
        <v>40</v>
      </c>
      <c r="M7" s="8">
        <v>400</v>
      </c>
      <c r="N7" s="8">
        <v>5500</v>
      </c>
      <c r="O7" s="8">
        <v>0</v>
      </c>
      <c r="P7" s="8">
        <v>200</v>
      </c>
      <c r="Q7" s="8">
        <v>3</v>
      </c>
      <c r="R7" s="8">
        <v>300</v>
      </c>
      <c r="S7" s="8">
        <v>4950</v>
      </c>
      <c r="T7" s="8">
        <v>0.3</v>
      </c>
      <c r="U7" s="8">
        <v>0</v>
      </c>
      <c r="V7" s="8">
        <v>0.5</v>
      </c>
      <c r="W7" s="8">
        <v>0</v>
      </c>
      <c r="X7" s="8">
        <v>150</v>
      </c>
      <c r="Y7" s="8">
        <v>200</v>
      </c>
      <c r="Z7" s="8">
        <v>375</v>
      </c>
      <c r="AA7" s="8">
        <v>140</v>
      </c>
      <c r="AB7" s="8">
        <v>100</v>
      </c>
      <c r="AC7" s="8">
        <v>100</v>
      </c>
      <c r="AD7" s="8">
        <v>250</v>
      </c>
      <c r="AE7" s="8">
        <v>0</v>
      </c>
      <c r="AF7" s="8">
        <v>0</v>
      </c>
      <c r="AG7" s="8">
        <v>840</v>
      </c>
      <c r="AH7" s="8">
        <v>175</v>
      </c>
      <c r="AI7" s="8">
        <v>150</v>
      </c>
      <c r="AJ7" s="8">
        <v>100</v>
      </c>
      <c r="AK7" s="8">
        <v>50</v>
      </c>
      <c r="AL7" s="8">
        <v>500</v>
      </c>
      <c r="AM7" s="8">
        <v>150</v>
      </c>
      <c r="AN7" s="8">
        <v>0</v>
      </c>
      <c r="AO7" s="8">
        <v>0</v>
      </c>
      <c r="AP7" s="8">
        <v>4950</v>
      </c>
      <c r="AQ7" s="8">
        <v>5200</v>
      </c>
      <c r="AR7" s="8">
        <v>200</v>
      </c>
      <c r="AS7" s="8">
        <v>0</v>
      </c>
      <c r="AT7" s="8">
        <v>0</v>
      </c>
      <c r="AU7" s="8">
        <v>0</v>
      </c>
      <c r="AV7" s="8">
        <v>0</v>
      </c>
      <c r="AW7" s="8">
        <v>4250150</v>
      </c>
    </row>
    <row r="8" customHeight="1" spans="3:49">
      <c r="C8" s="8" t="s">
        <v>82</v>
      </c>
      <c r="D8" s="8">
        <v>4</v>
      </c>
      <c r="E8" s="8">
        <v>25000</v>
      </c>
      <c r="F8" s="8">
        <v>6450</v>
      </c>
      <c r="G8" s="8">
        <v>33000</v>
      </c>
      <c r="H8" s="8">
        <v>265900</v>
      </c>
      <c r="I8" s="8">
        <v>34</v>
      </c>
      <c r="J8" s="8">
        <v>38</v>
      </c>
      <c r="K8" s="8">
        <v>71</v>
      </c>
      <c r="L8" s="8">
        <v>140</v>
      </c>
      <c r="M8" s="8">
        <v>728</v>
      </c>
      <c r="N8" s="8">
        <v>37000</v>
      </c>
      <c r="O8" s="8">
        <v>2</v>
      </c>
      <c r="P8" s="8">
        <v>0</v>
      </c>
      <c r="Q8" s="8">
        <v>0</v>
      </c>
      <c r="R8" s="8">
        <v>150</v>
      </c>
      <c r="S8" s="8">
        <v>260270</v>
      </c>
      <c r="T8" s="8">
        <v>1.2</v>
      </c>
      <c r="U8" s="8">
        <v>6</v>
      </c>
      <c r="V8" s="8">
        <v>2</v>
      </c>
      <c r="W8" s="8">
        <v>14</v>
      </c>
      <c r="X8" s="8">
        <v>90900</v>
      </c>
      <c r="Y8" s="8">
        <v>126000</v>
      </c>
      <c r="Z8" s="8">
        <v>1075</v>
      </c>
      <c r="AA8" s="8">
        <v>162000</v>
      </c>
      <c r="AB8" s="8">
        <v>780</v>
      </c>
      <c r="AC8" s="8">
        <v>19200</v>
      </c>
      <c r="AD8" s="8">
        <v>45000</v>
      </c>
      <c r="AE8" s="8">
        <v>12</v>
      </c>
      <c r="AF8" s="8">
        <v>16</v>
      </c>
      <c r="AG8" s="8">
        <v>469855</v>
      </c>
      <c r="AH8" s="8">
        <v>81400</v>
      </c>
      <c r="AI8" s="8">
        <v>117000</v>
      </c>
      <c r="AJ8" s="8">
        <v>450</v>
      </c>
      <c r="AK8" s="8">
        <v>490</v>
      </c>
      <c r="AL8" s="8">
        <v>9900</v>
      </c>
      <c r="AM8" s="8">
        <v>37120</v>
      </c>
      <c r="AN8" s="8">
        <v>12</v>
      </c>
      <c r="AO8" s="8">
        <v>16</v>
      </c>
      <c r="AP8" s="8">
        <v>282270</v>
      </c>
      <c r="AQ8" s="8">
        <v>43000</v>
      </c>
      <c r="AR8" s="8">
        <v>4000</v>
      </c>
      <c r="AS8" s="8">
        <v>0</v>
      </c>
      <c r="AT8" s="8">
        <v>10</v>
      </c>
      <c r="AU8" s="8">
        <v>880</v>
      </c>
      <c r="AV8" s="8">
        <v>40</v>
      </c>
      <c r="AW8"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E12" sqref="E12"/>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282</v>
      </c>
    </row>
    <row r="3" s="12" customFormat="1" ht="30" customHeight="1"/>
    <row r="4" s="12" customFormat="1" ht="30" customHeight="1" spans="3:13">
      <c r="C4" s="17" t="s">
        <v>54</v>
      </c>
      <c r="D4" s="17" t="s">
        <v>173</v>
      </c>
      <c r="E4" s="17" t="s">
        <v>183</v>
      </c>
      <c r="F4" s="17" t="s">
        <v>197</v>
      </c>
      <c r="G4" s="17" t="s">
        <v>174</v>
      </c>
      <c r="H4" s="17" t="s">
        <v>184</v>
      </c>
      <c r="I4" s="17" t="s">
        <v>198</v>
      </c>
      <c r="J4" s="17" t="s">
        <v>176</v>
      </c>
      <c r="K4" s="17" t="s">
        <v>177</v>
      </c>
      <c r="L4" s="17" t="s">
        <v>199</v>
      </c>
      <c r="M4" s="17" t="s">
        <v>200</v>
      </c>
    </row>
    <row r="5" s="12" customFormat="1" customHeight="1" spans="3:13">
      <c r="C5" s="8" t="s">
        <v>107</v>
      </c>
      <c r="D5" s="8">
        <v>1100</v>
      </c>
      <c r="E5" s="8">
        <v>210</v>
      </c>
      <c r="F5" s="8">
        <v>1310</v>
      </c>
      <c r="G5" s="8">
        <v>20</v>
      </c>
      <c r="H5" s="8">
        <v>0</v>
      </c>
      <c r="I5" s="8">
        <v>20</v>
      </c>
      <c r="J5" s="8">
        <v>200</v>
      </c>
      <c r="K5" s="8">
        <v>200</v>
      </c>
      <c r="L5" s="8">
        <v>1520</v>
      </c>
      <c r="M5" s="8">
        <v>210</v>
      </c>
    </row>
    <row r="6" s="12" customFormat="1" customHeight="1" spans="3:13">
      <c r="C6" s="8" t="s">
        <v>138</v>
      </c>
      <c r="D6" s="8">
        <v>900000</v>
      </c>
      <c r="E6" s="8">
        <v>1050000</v>
      </c>
      <c r="F6" s="8">
        <v>1950000</v>
      </c>
      <c r="G6" s="8">
        <v>120</v>
      </c>
      <c r="H6" s="8">
        <v>900</v>
      </c>
      <c r="I6" s="8">
        <v>1020</v>
      </c>
      <c r="J6" s="8">
        <v>840</v>
      </c>
      <c r="K6" s="8">
        <v>60</v>
      </c>
      <c r="L6" s="8">
        <v>901020</v>
      </c>
      <c r="M6" s="8">
        <v>1050900</v>
      </c>
    </row>
    <row r="7" s="12" customFormat="1" customHeight="1" spans="3:13">
      <c r="C7" s="8" t="s">
        <v>132</v>
      </c>
      <c r="D7" s="8">
        <v>150</v>
      </c>
      <c r="E7" s="8">
        <v>175</v>
      </c>
      <c r="F7" s="8">
        <v>325</v>
      </c>
      <c r="G7" s="8">
        <v>200</v>
      </c>
      <c r="H7" s="8">
        <v>150</v>
      </c>
      <c r="I7" s="8">
        <v>350</v>
      </c>
      <c r="J7" s="8">
        <v>140</v>
      </c>
      <c r="K7" s="8">
        <v>100</v>
      </c>
      <c r="L7" s="8">
        <v>590</v>
      </c>
      <c r="M7" s="8">
        <v>325</v>
      </c>
    </row>
    <row r="8" s="12" customFormat="1" customHeight="1" spans="3:13">
      <c r="C8" s="8" t="s">
        <v>82</v>
      </c>
      <c r="D8" s="8">
        <v>90900</v>
      </c>
      <c r="E8" s="8">
        <v>81400</v>
      </c>
      <c r="F8" s="8">
        <v>172300</v>
      </c>
      <c r="G8" s="8">
        <v>126000</v>
      </c>
      <c r="H8" s="8">
        <v>117000</v>
      </c>
      <c r="I8" s="8">
        <v>243000</v>
      </c>
      <c r="J8" s="8">
        <v>162000</v>
      </c>
      <c r="K8" s="8">
        <v>780</v>
      </c>
      <c r="L8" s="8">
        <v>379680</v>
      </c>
      <c r="M8" s="8">
        <v>198400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G7" sqref="G7"/>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283</v>
      </c>
      <c r="F2" s="15"/>
      <c r="H2" s="15"/>
      <c r="M2" s="15"/>
    </row>
    <row r="3" s="12" customFormat="1" ht="30" customHeight="1" spans="6:13">
      <c r="F3" s="15"/>
      <c r="H3" s="15"/>
      <c r="M3" s="15"/>
    </row>
    <row r="4" s="12" customFormat="1" ht="30" customHeight="1" spans="3:28">
      <c r="C4" s="17" t="s">
        <v>36</v>
      </c>
      <c r="D4" s="17" t="s">
        <v>54</v>
      </c>
      <c r="E4" s="17" t="s">
        <v>55</v>
      </c>
      <c r="F4" s="18" t="s">
        <v>58</v>
      </c>
      <c r="G4" s="17" t="s">
        <v>66</v>
      </c>
      <c r="H4" s="18" t="s">
        <v>68</v>
      </c>
      <c r="I4" s="17" t="s">
        <v>69</v>
      </c>
      <c r="J4" s="17" t="s">
        <v>70</v>
      </c>
      <c r="K4" s="17" t="s">
        <v>59</v>
      </c>
      <c r="L4" s="17" t="s">
        <v>60</v>
      </c>
      <c r="M4" s="18" t="s">
        <v>61</v>
      </c>
      <c r="N4" s="17" t="s">
        <v>62</v>
      </c>
      <c r="O4" s="17" t="s">
        <v>63</v>
      </c>
      <c r="P4" s="17" t="s">
        <v>64</v>
      </c>
      <c r="Q4" s="17" t="s">
        <v>65</v>
      </c>
      <c r="R4" s="17" t="s">
        <v>67</v>
      </c>
      <c r="S4" s="17" t="s">
        <v>80</v>
      </c>
      <c r="T4" s="17" t="s">
        <v>71</v>
      </c>
      <c r="U4" s="17" t="s">
        <v>72</v>
      </c>
      <c r="V4" s="17" t="s">
        <v>73</v>
      </c>
      <c r="W4" s="17" t="s">
        <v>74</v>
      </c>
      <c r="X4" s="17" t="s">
        <v>75</v>
      </c>
      <c r="Y4" s="17" t="s">
        <v>76</v>
      </c>
      <c r="Z4" s="17" t="s">
        <v>77</v>
      </c>
      <c r="AA4" s="17" t="s">
        <v>78</v>
      </c>
      <c r="AB4" s="17" t="s">
        <v>79</v>
      </c>
    </row>
    <row r="5" s="12" customFormat="1" customHeight="1" spans="3:28">
      <c r="C5" s="8" t="s">
        <v>81</v>
      </c>
      <c r="D5" s="8" t="s">
        <v>82</v>
      </c>
      <c r="E5" s="8" t="s">
        <v>83</v>
      </c>
      <c r="F5" s="10" t="s">
        <v>85</v>
      </c>
      <c r="G5" s="8">
        <v>9000</v>
      </c>
      <c r="H5" s="10" t="s">
        <v>92</v>
      </c>
      <c r="I5" s="9">
        <v>43922</v>
      </c>
      <c r="J5" s="8">
        <v>3</v>
      </c>
      <c r="K5" s="8" t="s">
        <v>86</v>
      </c>
      <c r="L5" s="8" t="s">
        <v>87</v>
      </c>
      <c r="M5" s="10" t="s">
        <v>88</v>
      </c>
      <c r="N5" s="9" t="s">
        <v>89</v>
      </c>
      <c r="O5" s="9">
        <v>45096</v>
      </c>
      <c r="P5" s="8" t="s">
        <v>90</v>
      </c>
      <c r="Q5" s="8" t="s">
        <v>91</v>
      </c>
      <c r="R5" s="8">
        <v>2000</v>
      </c>
      <c r="S5" s="8" t="s">
        <v>93</v>
      </c>
      <c r="T5" s="8"/>
      <c r="U5" s="8"/>
      <c r="V5" s="8"/>
      <c r="W5" s="8"/>
      <c r="X5" s="8"/>
      <c r="Y5" s="8"/>
      <c r="Z5" s="8"/>
      <c r="AA5" s="8"/>
      <c r="AB5" s="8"/>
    </row>
    <row r="6" s="12" customFormat="1" customHeight="1" spans="3:28">
      <c r="C6" s="8"/>
      <c r="D6" s="8"/>
      <c r="E6" s="8"/>
      <c r="F6" s="10"/>
      <c r="G6" s="8"/>
      <c r="H6" s="10"/>
      <c r="I6" s="9"/>
      <c r="J6" s="8"/>
      <c r="K6" s="8"/>
      <c r="L6" s="8"/>
      <c r="M6" s="10"/>
      <c r="N6" s="9"/>
      <c r="O6" s="9"/>
      <c r="P6" s="8"/>
      <c r="Q6" s="8"/>
      <c r="R6" s="8"/>
      <c r="S6" s="8"/>
      <c r="T6" s="8"/>
      <c r="U6" s="8"/>
      <c r="V6" s="8"/>
      <c r="W6" s="8"/>
      <c r="X6" s="8"/>
      <c r="Y6" s="8"/>
      <c r="Z6" s="8"/>
      <c r="AA6" s="8"/>
      <c r="AB6" s="8"/>
    </row>
    <row r="7" s="12" customFormat="1" customHeight="1" spans="3:28">
      <c r="C7" s="8"/>
      <c r="D7" s="8"/>
      <c r="E7" s="8"/>
      <c r="F7" s="10"/>
      <c r="G7" s="8"/>
      <c r="H7" s="10"/>
      <c r="I7" s="9"/>
      <c r="J7" s="8"/>
      <c r="K7" s="8"/>
      <c r="L7" s="8"/>
      <c r="M7" s="10"/>
      <c r="N7" s="9"/>
      <c r="O7" s="9"/>
      <c r="P7" s="8"/>
      <c r="Q7" s="8"/>
      <c r="R7" s="8"/>
      <c r="S7" s="8"/>
      <c r="T7" s="8"/>
      <c r="U7" s="8"/>
      <c r="V7" s="8"/>
      <c r="W7" s="8"/>
      <c r="X7" s="8"/>
      <c r="Y7" s="8"/>
      <c r="Z7" s="8"/>
      <c r="AA7" s="8"/>
      <c r="AB7" s="8"/>
    </row>
    <row r="8" s="12" customFormat="1" customHeight="1" spans="3:28">
      <c r="C8" s="8"/>
      <c r="D8" s="8"/>
      <c r="E8" s="8"/>
      <c r="F8" s="10"/>
      <c r="G8" s="8"/>
      <c r="H8" s="10"/>
      <c r="I8" s="9"/>
      <c r="J8" s="8"/>
      <c r="K8" s="8"/>
      <c r="L8" s="8"/>
      <c r="M8" s="10"/>
      <c r="N8" s="9"/>
      <c r="O8" s="9"/>
      <c r="P8" s="8"/>
      <c r="Q8" s="8"/>
      <c r="R8" s="8"/>
      <c r="S8" s="9"/>
      <c r="T8" s="8"/>
      <c r="U8" s="8"/>
      <c r="V8" s="8"/>
      <c r="W8" s="8"/>
      <c r="X8" s="8"/>
      <c r="Y8" s="8"/>
      <c r="Z8" s="8"/>
      <c r="AA8" s="8"/>
      <c r="AB8" s="8"/>
    </row>
    <row r="9" customHeight="1" spans="9:15">
      <c r="I9" s="9"/>
      <c r="N9" s="9"/>
      <c r="O9" s="9"/>
    </row>
    <row r="10" customHeight="1" spans="9:19">
      <c r="I10" s="9"/>
      <c r="N10" s="9"/>
      <c r="O10" s="9"/>
      <c r="S10" s="9"/>
    </row>
    <row r="11" customHeight="1" spans="9:15">
      <c r="I11" s="9"/>
      <c r="N11" s="9"/>
      <c r="O11" s="9"/>
    </row>
    <row r="12" customHeight="1" spans="9:15">
      <c r="I12" s="9"/>
      <c r="N12" s="9"/>
      <c r="O12" s="9"/>
    </row>
    <row r="13" customHeight="1" spans="9:15">
      <c r="I13" s="9"/>
      <c r="N13" s="9"/>
      <c r="O13" s="9"/>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D10" sqref="D10"/>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284</v>
      </c>
      <c r="F2" s="15"/>
    </row>
    <row r="3" s="12" customFormat="1" ht="30" customHeight="1" spans="6:6">
      <c r="F3" s="15"/>
    </row>
    <row r="4" s="12" customFormat="1" ht="30" customHeight="1" spans="3:6">
      <c r="C4" s="17" t="s">
        <v>191</v>
      </c>
      <c r="D4" s="17" t="s">
        <v>285</v>
      </c>
      <c r="E4" s="17" t="s">
        <v>286</v>
      </c>
      <c r="F4" s="18" t="s">
        <v>240</v>
      </c>
    </row>
    <row r="5" s="12" customFormat="1" customHeight="1" spans="3:6">
      <c r="C5" s="8">
        <v>0</v>
      </c>
      <c r="D5" s="8">
        <v>0</v>
      </c>
      <c r="E5" s="8">
        <v>8</v>
      </c>
      <c r="F5" s="8">
        <v>0</v>
      </c>
    </row>
    <row r="6" s="12" customFormat="1" customHeight="1" spans="3:6">
      <c r="C6" s="8">
        <v>0.1</v>
      </c>
      <c r="D6" s="8">
        <v>29.7</v>
      </c>
      <c r="E6" s="8">
        <v>1</v>
      </c>
      <c r="F6" s="8">
        <v>30.3</v>
      </c>
    </row>
    <row r="7" s="12" customFormat="1" customHeight="1" spans="3:6">
      <c r="C7" s="8" t="s">
        <v>287</v>
      </c>
      <c r="D7" s="8">
        <f>SUM(D5:D6)</f>
        <v>29.7</v>
      </c>
      <c r="E7" s="8">
        <f>SUM(E5:E6)</f>
        <v>9</v>
      </c>
      <c r="F7" s="8">
        <f>SUM(F5:F6)</f>
        <v>30.3</v>
      </c>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3"/>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288</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54</v>
      </c>
      <c r="E4" s="17" t="s">
        <v>154</v>
      </c>
      <c r="F4" s="18" t="s">
        <v>58</v>
      </c>
      <c r="G4" s="19" t="s">
        <v>69</v>
      </c>
      <c r="H4" s="17" t="s">
        <v>66</v>
      </c>
      <c r="I4" s="17" t="s">
        <v>67</v>
      </c>
      <c r="J4" s="17" t="s">
        <v>157</v>
      </c>
      <c r="K4" s="17" t="s">
        <v>289</v>
      </c>
      <c r="L4" s="17" t="s">
        <v>159</v>
      </c>
      <c r="M4" s="17" t="s">
        <v>160</v>
      </c>
      <c r="N4" s="17" t="s">
        <v>161</v>
      </c>
      <c r="O4" s="17" t="s">
        <v>162</v>
      </c>
      <c r="P4" s="17" t="s">
        <v>163</v>
      </c>
      <c r="Q4" s="17" t="s">
        <v>164</v>
      </c>
      <c r="R4" s="17" t="s">
        <v>165</v>
      </c>
      <c r="S4" s="17" t="s">
        <v>166</v>
      </c>
      <c r="T4" s="17" t="s">
        <v>41</v>
      </c>
      <c r="U4" s="17" t="s">
        <v>167</v>
      </c>
      <c r="V4" s="17" t="s">
        <v>168</v>
      </c>
      <c r="W4" s="17" t="s">
        <v>169</v>
      </c>
      <c r="X4" s="17" t="s">
        <v>170</v>
      </c>
      <c r="Y4" s="17" t="s">
        <v>171</v>
      </c>
      <c r="Z4" s="17" t="s">
        <v>172</v>
      </c>
      <c r="AA4" s="17" t="s">
        <v>173</v>
      </c>
      <c r="AB4" s="17" t="s">
        <v>174</v>
      </c>
      <c r="AC4" s="17" t="s">
        <v>175</v>
      </c>
      <c r="AD4" s="17" t="s">
        <v>176</v>
      </c>
      <c r="AE4" s="17" t="s">
        <v>177</v>
      </c>
      <c r="AF4" s="17" t="s">
        <v>178</v>
      </c>
      <c r="AG4" s="17" t="s">
        <v>179</v>
      </c>
      <c r="AH4" s="17" t="s">
        <v>180</v>
      </c>
      <c r="AI4" s="17" t="s">
        <v>181</v>
      </c>
      <c r="AJ4" s="17" t="s">
        <v>182</v>
      </c>
      <c r="AK4" s="17" t="s">
        <v>183</v>
      </c>
      <c r="AL4" s="17" t="s">
        <v>184</v>
      </c>
      <c r="AM4" s="17" t="s">
        <v>185</v>
      </c>
      <c r="AN4" s="17" t="s">
        <v>244</v>
      </c>
      <c r="AO4" s="17" t="s">
        <v>187</v>
      </c>
      <c r="AP4" s="17" t="s">
        <v>245</v>
      </c>
      <c r="AQ4" s="17" t="s">
        <v>180</v>
      </c>
      <c r="AR4" s="17" t="s">
        <v>181</v>
      </c>
      <c r="AS4" s="17" t="s">
        <v>188</v>
      </c>
      <c r="AT4" s="17" t="s">
        <v>189</v>
      </c>
      <c r="AU4" s="17" t="s">
        <v>190</v>
      </c>
      <c r="AV4" s="17" t="s">
        <v>191</v>
      </c>
      <c r="AW4" s="17" t="s">
        <v>192</v>
      </c>
      <c r="AX4" s="17" t="s">
        <v>193</v>
      </c>
      <c r="AY4" s="17" t="s">
        <v>246</v>
      </c>
      <c r="AZ4" s="17" t="s">
        <v>195</v>
      </c>
      <c r="BA4" s="17" t="s">
        <v>247</v>
      </c>
    </row>
    <row r="5" customHeight="1" spans="3:53">
      <c r="C5" s="8" t="s">
        <v>81</v>
      </c>
      <c r="D5" s="8" t="s">
        <v>82</v>
      </c>
      <c r="E5" s="8" t="s">
        <v>83</v>
      </c>
      <c r="F5" s="10" t="s">
        <v>85</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8">
        <v>22</v>
      </c>
    </row>
    <row r="6" customHeight="1" spans="3:53">
      <c r="C6" s="8" t="s">
        <v>94</v>
      </c>
      <c r="D6" s="8" t="s">
        <v>82</v>
      </c>
      <c r="E6" s="8" t="s">
        <v>95</v>
      </c>
      <c r="F6" s="10" t="s">
        <v>97</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8">
        <v>22</v>
      </c>
    </row>
    <row r="7" customHeight="1" spans="3:52">
      <c r="C7" s="8" t="s">
        <v>47</v>
      </c>
      <c r="D7" s="8" t="s">
        <v>82</v>
      </c>
      <c r="E7" s="8" t="s">
        <v>101</v>
      </c>
      <c r="F7" s="10" t="s">
        <v>103</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row>
    <row r="8" customHeight="1" spans="3:52">
      <c r="C8" s="8" t="s">
        <v>42</v>
      </c>
      <c r="D8" s="8" t="s">
        <v>107</v>
      </c>
      <c r="E8" s="8" t="s">
        <v>83</v>
      </c>
      <c r="F8" s="10" t="s">
        <v>109</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row>
    <row r="9" customHeight="1" spans="3:52">
      <c r="C9" s="8" t="s">
        <v>115</v>
      </c>
      <c r="D9" s="8" t="s">
        <v>82</v>
      </c>
      <c r="E9" s="8" t="s">
        <v>83</v>
      </c>
      <c r="F9" s="10" t="s">
        <v>117</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row>
    <row r="10" customHeight="1" spans="3:52">
      <c r="C10" s="8" t="s">
        <v>48</v>
      </c>
      <c r="D10" s="8" t="s">
        <v>107</v>
      </c>
      <c r="E10" s="8" t="s">
        <v>249</v>
      </c>
      <c r="F10" s="10" t="s">
        <v>250</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row>
    <row r="11" customHeight="1" spans="3:52">
      <c r="C11" s="8" t="s">
        <v>49</v>
      </c>
      <c r="D11" s="8" t="s">
        <v>107</v>
      </c>
      <c r="E11" s="8" t="s">
        <v>83</v>
      </c>
      <c r="F11" s="10" t="s">
        <v>128</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row>
    <row r="12" customHeight="1" spans="3:52">
      <c r="C12" s="8" t="s">
        <v>50</v>
      </c>
      <c r="D12" s="8" t="s">
        <v>132</v>
      </c>
      <c r="E12" s="8" t="s">
        <v>83</v>
      </c>
      <c r="F12" s="10" t="s">
        <v>134</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row>
    <row r="13" customHeight="1" spans="3:52">
      <c r="C13" s="8" t="s">
        <v>51</v>
      </c>
      <c r="D13" s="8" t="s">
        <v>138</v>
      </c>
      <c r="E13" s="8" t="s">
        <v>83</v>
      </c>
      <c r="F13" s="10" t="s">
        <v>140</v>
      </c>
      <c r="G13" s="14">
        <v>45017</v>
      </c>
      <c r="H13" s="8">
        <v>5000</v>
      </c>
      <c r="I13" s="8">
        <v>300</v>
      </c>
      <c r="J13" s="8">
        <v>6790</v>
      </c>
      <c r="K13" s="8">
        <v>6790</v>
      </c>
      <c r="N13" s="8">
        <v>22</v>
      </c>
      <c r="O13" s="8">
        <v>50</v>
      </c>
      <c r="P13" s="8">
        <v>350</v>
      </c>
      <c r="Q13" s="8">
        <v>7000</v>
      </c>
      <c r="R13" s="8">
        <v>0</v>
      </c>
      <c r="S13" s="8">
        <v>300</v>
      </c>
      <c r="T13" s="8">
        <v>5</v>
      </c>
      <c r="U13" s="8">
        <v>500</v>
      </c>
      <c r="V13" s="8">
        <v>6791</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I11" sqref="I1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45180</v>
      </c>
      <c r="C1" s="2">
        <v>45078</v>
      </c>
      <c r="D1" s="3">
        <f>WEEKDAY(C1)</f>
        <v>5</v>
      </c>
      <c r="E1" s="1"/>
    </row>
    <row r="2" ht="40" customHeight="1" spans="3:3">
      <c r="C2" s="4" t="s">
        <v>290</v>
      </c>
    </row>
    <row r="3" ht="30" customHeight="1"/>
    <row r="4" ht="30" customHeight="1" spans="3:9">
      <c r="C4" s="5" t="s">
        <v>291</v>
      </c>
      <c r="D4" s="5" t="s">
        <v>292</v>
      </c>
      <c r="E4" s="5" t="s">
        <v>293</v>
      </c>
      <c r="F4" s="6" t="s">
        <v>294</v>
      </c>
      <c r="G4" s="7" t="s">
        <v>295</v>
      </c>
      <c r="H4" s="5" t="s">
        <v>296</v>
      </c>
      <c r="I4" s="5" t="s">
        <v>297</v>
      </c>
    </row>
    <row r="5" customHeight="1" spans="3:12">
      <c r="C5" s="8"/>
      <c r="D5" s="8"/>
      <c r="E5" s="8"/>
      <c r="F5" s="8"/>
      <c r="G5" s="8"/>
      <c r="H5" s="8"/>
      <c r="I5" s="8"/>
      <c r="K5" s="13" t="s">
        <v>81</v>
      </c>
      <c r="L5" s="13">
        <v>45096</v>
      </c>
    </row>
    <row r="6" customHeight="1" spans="3:12">
      <c r="C6" s="8"/>
      <c r="D6" s="8"/>
      <c r="E6" s="9"/>
      <c r="F6" s="8"/>
      <c r="G6" s="8"/>
      <c r="H6" s="8"/>
      <c r="I6" s="8"/>
      <c r="K6" s="13" t="s">
        <v>47</v>
      </c>
      <c r="L6" s="13">
        <v>34859</v>
      </c>
    </row>
    <row r="7" customHeight="1" spans="3:12">
      <c r="C7" s="8">
        <v>1</v>
      </c>
      <c r="D7" s="8">
        <v>2</v>
      </c>
      <c r="E7" s="8">
        <v>3</v>
      </c>
      <c r="F7" s="8">
        <v>4</v>
      </c>
      <c r="G7" s="8">
        <v>5</v>
      </c>
      <c r="H7" s="8">
        <v>6</v>
      </c>
      <c r="I7" s="8">
        <v>7</v>
      </c>
      <c r="L7" s="13"/>
    </row>
    <row r="8" customHeight="1" spans="3:9">
      <c r="C8" s="8"/>
      <c r="D8" s="8"/>
      <c r="E8" s="8"/>
      <c r="F8" s="8"/>
      <c r="G8" s="8"/>
      <c r="H8" s="8"/>
      <c r="I8" s="8"/>
    </row>
    <row r="9" customHeight="1" spans="3:9">
      <c r="C9" s="8">
        <v>8</v>
      </c>
      <c r="D9" s="8">
        <v>9</v>
      </c>
      <c r="E9" s="8">
        <v>10</v>
      </c>
      <c r="F9" s="8">
        <v>11</v>
      </c>
      <c r="G9" s="8">
        <v>12</v>
      </c>
      <c r="H9" s="8">
        <v>13</v>
      </c>
      <c r="I9" s="8">
        <v>14</v>
      </c>
    </row>
    <row r="10" customHeight="1" spans="3:9">
      <c r="C10" s="8"/>
      <c r="D10" s="8" t="s">
        <v>298</v>
      </c>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t="s">
        <v>299</v>
      </c>
      <c r="H12" s="8"/>
      <c r="I12" s="8"/>
    </row>
    <row r="13" customHeight="1" spans="3:9">
      <c r="C13" s="8">
        <v>22</v>
      </c>
      <c r="D13" s="8">
        <v>23</v>
      </c>
      <c r="E13" s="8">
        <v>24</v>
      </c>
      <c r="F13" s="8">
        <v>25</v>
      </c>
      <c r="G13" s="8">
        <v>26</v>
      </c>
      <c r="H13" s="8">
        <v>27</v>
      </c>
      <c r="I13" s="8">
        <v>28</v>
      </c>
    </row>
    <row r="14" customHeight="1" spans="3:9">
      <c r="C14" s="8"/>
      <c r="D14" s="8"/>
      <c r="E14" s="8"/>
      <c r="F14" s="8"/>
      <c r="G14" s="8"/>
      <c r="H14" s="8"/>
      <c r="I14" s="8"/>
    </row>
    <row r="15" customHeight="1" spans="3:9">
      <c r="C15" s="8">
        <v>29</v>
      </c>
      <c r="D15" s="8">
        <v>30</v>
      </c>
      <c r="E15" s="8"/>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2023-09-11T06:31:04Z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