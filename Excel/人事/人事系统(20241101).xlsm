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8345" windowHeight="8175" tabRatio="815"/>
  </bookViews>
  <sheets>
    <sheet name="首页" sheetId="1" r:id="rId1"/>
    <sheet name="说明书" sheetId="2" r:id="rId2"/>
    <sheet name="Sheet3" sheetId="3" state="veryHidden" r:id="rId3"/>
    <sheet name="考勤" sheetId="7" state="veryHidden" r:id="rId4"/>
    <sheet name="人员信息管理" sheetId="4" state="veryHidden" r:id="rId5"/>
    <sheet name="数据暂存" sheetId="5" state="veryHidden" r:id="rId6"/>
    <sheet name="工资明细" sheetId="10" state="veryHidden" r:id="rId7"/>
    <sheet name="考勤记录" sheetId="8" state="veryHidden" r:id="rId8"/>
    <sheet name="配置表" sheetId="6" state="veryHidden" r:id="rId9"/>
    <sheet name="报盘" sheetId="11" state="veryHidden" r:id="rId10"/>
    <sheet name="审批记录" sheetId="12" state="veryHidden" r:id="rId11"/>
    <sheet name="报税" sheetId="9" state="veryHidden" r:id="rId12"/>
    <sheet name="部门汇总" sheetId="13" state="veryHidden" r:id="rId13"/>
    <sheet name="社保" sheetId="14" state="veryHidden" r:id="rId14"/>
    <sheet name="员工档案" sheetId="15" state="veryHidden" r:id="rId15"/>
    <sheet name="个人所得税" sheetId="16" state="veryHidden" r:id="rId16"/>
    <sheet name="工资条" sheetId="17" state="veryHidden" r:id="rId17"/>
    <sheet name="生日提醒" sheetId="18" state="veryHidden" r:id="rId18"/>
  </sheets>
  <definedNames>
    <definedName name="_xlnm.Print_Area" localSheetId="16">工资条!$C$4:$BA$14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Administrator</author>
  </authors>
  <commentList>
    <comment ref="C4" authorId="0">
      <text>
        <r>
          <rPr>
            <sz val="9"/>
            <rFont val="宋体"/>
            <charset val="134"/>
          </rPr>
          <t>双击此列姓名弹出修改窗口</t>
        </r>
      </text>
    </comment>
    <comment ref="P4" authorId="0">
      <text>
        <r>
          <rPr>
            <sz val="9"/>
            <rFont val="宋体"/>
            <charset val="134"/>
          </rPr>
          <t xml:space="preserve">双击角标单元格查看计算公式
</t>
        </r>
      </text>
    </comment>
    <comment ref="S4" authorId="0">
      <text>
        <r>
          <rPr>
            <sz val="9"/>
            <rFont val="宋体"/>
            <charset val="134"/>
          </rPr>
          <t>双击角标单元格查看计算公式</t>
        </r>
      </text>
    </comment>
    <comment ref="U4" authorId="0">
      <text>
        <r>
          <rPr>
            <sz val="9"/>
            <rFont val="宋体"/>
            <charset val="134"/>
          </rPr>
          <t>双击角标单元格查看计算公式</t>
        </r>
      </text>
    </comment>
    <comment ref="V4" authorId="0">
      <text>
        <r>
          <rPr>
            <sz val="9"/>
            <rFont val="宋体"/>
            <charset val="134"/>
          </rPr>
          <t>双击角标单元格查看计算公式</t>
        </r>
      </text>
    </comment>
    <comment ref="AA4" authorId="0">
      <text>
        <r>
          <rPr>
            <sz val="9"/>
            <rFont val="宋体"/>
            <charset val="134"/>
          </rPr>
          <t>双击角标单元格查看计算公式</t>
        </r>
      </text>
    </comment>
    <comment ref="AB4" authorId="0">
      <text>
        <r>
          <rPr>
            <sz val="9"/>
            <rFont val="宋体"/>
            <charset val="134"/>
          </rPr>
          <t>双击角标单元格查看计算公式</t>
        </r>
      </text>
    </comment>
    <comment ref="AC4" authorId="0">
      <text>
        <r>
          <rPr>
            <sz val="9"/>
            <rFont val="宋体"/>
            <charset val="134"/>
          </rPr>
          <t>双击角标单元格查看计算公式</t>
        </r>
      </text>
    </comment>
    <comment ref="AD4" authorId="0">
      <text>
        <r>
          <rPr>
            <sz val="9"/>
            <rFont val="宋体"/>
            <charset val="134"/>
          </rPr>
          <t>双击角标单元格查看计算公式</t>
        </r>
      </text>
    </comment>
    <comment ref="AE4" authorId="0">
      <text>
        <r>
          <rPr>
            <sz val="9"/>
            <rFont val="宋体"/>
            <charset val="134"/>
          </rPr>
          <t>双击角标单元格查看计算公式</t>
        </r>
      </text>
    </comment>
    <comment ref="AF4" authorId="0">
      <text>
        <r>
          <rPr>
            <sz val="9"/>
            <rFont val="宋体"/>
            <charset val="134"/>
          </rPr>
          <t>双击角标单元格查看计算公式</t>
        </r>
      </text>
    </comment>
    <comment ref="AG4" authorId="0">
      <text>
        <r>
          <rPr>
            <sz val="9"/>
            <rFont val="宋体"/>
            <charset val="134"/>
          </rPr>
          <t>双击角标单元格查看计算公式</t>
        </r>
      </text>
    </comment>
    <comment ref="AJ4" authorId="0">
      <text>
        <r>
          <rPr>
            <sz val="9"/>
            <rFont val="宋体"/>
            <charset val="134"/>
          </rPr>
          <t>双击角标单元格查看计算公式</t>
        </r>
      </text>
    </comment>
    <comment ref="AK4" authorId="0">
      <text>
        <r>
          <rPr>
            <sz val="9"/>
            <rFont val="宋体"/>
            <charset val="134"/>
          </rPr>
          <t>双击角标单元格查看计算公式</t>
        </r>
      </text>
    </comment>
    <comment ref="AL4" authorId="0">
      <text>
        <r>
          <rPr>
            <sz val="9"/>
            <rFont val="宋体"/>
            <charset val="134"/>
          </rPr>
          <t>双击角标单元格查看计算公式</t>
        </r>
      </text>
    </comment>
    <comment ref="AM4" authorId="0">
      <text>
        <r>
          <rPr>
            <sz val="9"/>
            <rFont val="宋体"/>
            <charset val="134"/>
          </rPr>
          <t>双击角标单元格查看计算公式</t>
        </r>
      </text>
    </comment>
    <comment ref="AN4" authorId="0">
      <text>
        <r>
          <rPr>
            <sz val="9"/>
            <rFont val="宋体"/>
            <charset val="134"/>
          </rPr>
          <t>双击角标单元格查看计算公式</t>
        </r>
      </text>
    </comment>
    <comment ref="AO4" authorId="0">
      <text>
        <r>
          <rPr>
            <sz val="9"/>
            <rFont val="宋体"/>
            <charset val="134"/>
          </rPr>
          <t>双击角标单元格查看计算公式</t>
        </r>
      </text>
    </comment>
    <comment ref="AS4" authorId="0">
      <text>
        <r>
          <rPr>
            <sz val="9"/>
            <rFont val="宋体"/>
            <charset val="134"/>
          </rPr>
          <t>双击角标单元格查看计算公式</t>
        </r>
      </text>
    </comment>
    <comment ref="AT4" authorId="0">
      <text>
        <r>
          <rPr>
            <sz val="9"/>
            <rFont val="宋体"/>
            <charset val="134"/>
          </rPr>
          <t>双击角标单元格查看计算公式</t>
        </r>
      </text>
    </comment>
    <comment ref="AU4" authorId="0">
      <text>
        <r>
          <rPr>
            <sz val="9"/>
            <rFont val="宋体"/>
            <charset val="134"/>
          </rPr>
          <t>双击角标单元格查看计算公式</t>
        </r>
      </text>
    </comment>
    <comment ref="AX4" authorId="0">
      <text>
        <r>
          <rPr>
            <sz val="9"/>
            <rFont val="宋体"/>
            <charset val="134"/>
          </rPr>
          <t>双击角标单元格查看计算公式</t>
        </r>
      </text>
    </comment>
    <comment ref="AZ4" authorId="0">
      <text>
        <r>
          <rPr>
            <sz val="9"/>
            <rFont val="宋体"/>
            <charset val="134"/>
          </rPr>
          <t>双击角标单元格查看计算公式</t>
        </r>
      </text>
    </comment>
  </commentList>
</comments>
</file>

<file path=xl/comments2.xml><?xml version="1.0" encoding="utf-8"?>
<comments xmlns="http://schemas.openxmlformats.org/spreadsheetml/2006/main">
  <authors>
    <author>Administrator</author>
  </authors>
  <commentList>
    <comment ref="G4" authorId="0">
      <text>
        <r>
          <rPr>
            <sz val="9"/>
            <rFont val="宋体"/>
            <charset val="134"/>
          </rPr>
          <t>双击此处有提示</t>
        </r>
      </text>
    </comment>
  </commentList>
</comments>
</file>

<file path=xl/comments3.xml><?xml version="1.0" encoding="utf-8"?>
<comments xmlns="http://schemas.openxmlformats.org/spreadsheetml/2006/main">
  <authors>
    <author>Administrator</author>
  </authors>
  <commentList>
    <comment ref="F4" authorId="0">
      <text>
        <r>
          <rPr>
            <sz val="9"/>
            <rFont val="宋体"/>
            <charset val="134"/>
          </rPr>
          <t>双击此处有提示</t>
        </r>
      </text>
    </comment>
  </commentList>
</comments>
</file>

<file path=xl/comments4.xml><?xml version="1.0" encoding="utf-8"?>
<comments xmlns="http://schemas.openxmlformats.org/spreadsheetml/2006/main">
  <authors>
    <author>Administrator</author>
  </authors>
  <commentList>
    <comment ref="D4" authorId="0">
      <text>
        <r>
          <rPr>
            <sz val="9"/>
            <rFont val="宋体"/>
            <charset val="134"/>
          </rPr>
          <t>双击红角标处显示计算公式</t>
        </r>
      </text>
    </comment>
    <comment ref="E4" authorId="0">
      <text>
        <r>
          <rPr>
            <sz val="9"/>
            <rFont val="宋体"/>
            <charset val="134"/>
          </rPr>
          <t xml:space="preserve">双击红角标处显示计算公式
</t>
        </r>
      </text>
    </comment>
    <comment ref="F4" authorId="0">
      <text>
        <r>
          <rPr>
            <sz val="9"/>
            <rFont val="宋体"/>
            <charset val="134"/>
          </rPr>
          <t xml:space="preserve">双击红角标处显示计算公式
</t>
        </r>
      </text>
    </comment>
  </commentList>
</comments>
</file>

<file path=xl/sharedStrings.xml><?xml version="1.0" encoding="utf-8"?>
<sst xmlns="http://schemas.openxmlformats.org/spreadsheetml/2006/main" count="1376" uniqueCount="296">
  <si>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</si>
  <si>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考勤</t>
  </si>
  <si>
    <t>当前页:</t>
  </si>
  <si>
    <t>1.</t>
  </si>
  <si>
    <t>点击刷新按钮，显示所有考勤信息。</t>
  </si>
  <si>
    <t>2.</t>
  </si>
  <si>
    <t>在表格上填写或修改已有数据后点击保存按钮即可保存。</t>
  </si>
  <si>
    <t>3.</t>
  </si>
  <si>
    <t>在表格上选中想要删除的数据后点击删除按钮即可删除。</t>
  </si>
  <si>
    <t>4.</t>
  </si>
  <si>
    <t>点击查询按钮，在弹出的窗口中输入条件点击确定按钮后即可查询。</t>
  </si>
  <si>
    <t>点击刷新按钮，显示所有人员信息。</t>
  </si>
  <si>
    <t>双击已有信息的姓名位置，可弹出权限设置窗口，设置每个页面的权限后点击确定按钮即可保存。</t>
  </si>
  <si>
    <t>5.</t>
  </si>
  <si>
    <t>点击刷新按钮，显示所有工资明细。</t>
  </si>
  <si>
    <t>点击新增按钮，在弹出的窗口中填写工资信息后点击保存按钮即可保存。在窗口中双击姓名位置可选择人员信息</t>
  </si>
  <si>
    <t>中的人员，选择后拉取对应信息到窗口中。点击计算按钮，可从配置表获取对应的配置信息计算工资。</t>
  </si>
  <si>
    <t>双击已有工资明细的姓名位置可弹出修改窗口，在窗口中修改信息后点击确定按钮即可保存。</t>
  </si>
  <si>
    <t>点击刷新按钮，显示所有考勤记录信息。</t>
  </si>
  <si>
    <t>点击刷新按钮，显示所有配置信息。</t>
  </si>
  <si>
    <t>点击刷新按钮，显示所有报盘信息。</t>
  </si>
  <si>
    <t>点击审批按钮，获取表格当前显示的信息，在窗口中生成审批信息，补全信息后点击确定按钮即可保存审批信息。</t>
  </si>
  <si>
    <t>审批信息需要到审批记录表中查看。</t>
  </si>
  <si>
    <t>点击刷新按钮，显示所有审批记录。</t>
  </si>
  <si>
    <t>在表格上修改已有数据后点击保存按钮即可保存。</t>
  </si>
  <si>
    <t>点击刷新按钮，显示所有报税信息。</t>
  </si>
  <si>
    <t>点击刷新按钮，显示所有部门的汇总信息。</t>
  </si>
  <si>
    <t>双击已有汇总信息的部门位置，可弹出窗口显示部门下的详细人员信息。</t>
  </si>
  <si>
    <t>点击刷新按钮，显示所有部门的社保汇总信息。</t>
  </si>
  <si>
    <t>点击刷新按钮，显示所有人员详细信息。</t>
  </si>
  <si>
    <t>点击刷新按钮，根据税率汇总所有员工的个人所得税缴税情况。</t>
  </si>
  <si>
    <t>点击刷新按钮，显示所有员工的工资信息。</t>
  </si>
  <si>
    <t>上海恒晨人力资源有限公司_hr</t>
  </si>
  <si>
    <t>▌  考勤</t>
  </si>
  <si>
    <t>年</t>
  </si>
  <si>
    <t>月</t>
  </si>
  <si>
    <t>姓名</t>
  </si>
  <si>
    <t>全勤天数</t>
  </si>
  <si>
    <t>实际天数</t>
  </si>
  <si>
    <t>请假/小时</t>
  </si>
  <si>
    <t>加班/小时</t>
  </si>
  <si>
    <t>迟到天数</t>
  </si>
  <si>
    <t>刘鑫</t>
  </si>
  <si>
    <t>休</t>
  </si>
  <si>
    <t>出勤</t>
  </si>
  <si>
    <t>李玉生</t>
  </si>
  <si>
    <t>迟到</t>
  </si>
  <si>
    <t>古玉琴</t>
  </si>
  <si>
    <t>王丹翠</t>
  </si>
  <si>
    <t>林昆宇</t>
  </si>
  <si>
    <t>林至阳</t>
  </si>
  <si>
    <t>请假</t>
  </si>
  <si>
    <t>早退</t>
  </si>
  <si>
    <t>张三</t>
  </si>
  <si>
    <t>旷勤</t>
  </si>
  <si>
    <t>测试</t>
  </si>
  <si>
    <t>-</t>
  </si>
  <si>
    <t>cc</t>
  </si>
  <si>
    <t>王伟</t>
  </si>
  <si>
    <t>赵海波</t>
  </si>
  <si>
    <t>赵海生</t>
  </si>
  <si>
    <t>丽丽</t>
  </si>
  <si>
    <t>▌  人员信息管理</t>
  </si>
  <si>
    <t>部门</t>
  </si>
  <si>
    <t>职务</t>
  </si>
  <si>
    <t>账号</t>
  </si>
  <si>
    <t>密码</t>
  </si>
  <si>
    <t>身份证号</t>
  </si>
  <si>
    <t>民族</t>
  </si>
  <si>
    <t>籍贯</t>
  </si>
  <si>
    <t>手机号</t>
  </si>
  <si>
    <t>学历</t>
  </si>
  <si>
    <t>出生日期</t>
  </si>
  <si>
    <t>婚姻状况</t>
  </si>
  <si>
    <t>就职状态</t>
  </si>
  <si>
    <t>基本工资</t>
  </si>
  <si>
    <t>绩效工资</t>
  </si>
  <si>
    <t>银行卡号</t>
  </si>
  <si>
    <t>入职时间</t>
  </si>
  <si>
    <t>工龄</t>
  </si>
  <si>
    <t>现住址</t>
  </si>
  <si>
    <t>家庭地址</t>
  </si>
  <si>
    <t>银行卡支行</t>
  </si>
  <si>
    <t>是否购买社保</t>
  </si>
  <si>
    <t>公积金账号</t>
  </si>
  <si>
    <t>社保账号</t>
  </si>
  <si>
    <t>劳动合同签订有效期限</t>
  </si>
  <si>
    <t>劳动合同第二次续签</t>
  </si>
  <si>
    <t>备注</t>
  </si>
  <si>
    <t>调薪时间</t>
  </si>
  <si>
    <t>人事部</t>
  </si>
  <si>
    <t>部员</t>
  </si>
  <si>
    <t>zhs3986</t>
  </si>
  <si>
    <t>21028220000101231X</t>
  </si>
  <si>
    <t>汉</t>
  </si>
  <si>
    <t>辽宁</t>
  </si>
  <si>
    <t>14855829402</t>
  </si>
  <si>
    <t>本科</t>
  </si>
  <si>
    <t>未婚</t>
  </si>
  <si>
    <t>在职</t>
  </si>
  <si>
    <t>1849537258492836</t>
  </si>
  <si>
    <t>2022/11/1;2023-04-12;2023/4/12;2023/4/12</t>
  </si>
  <si>
    <t>刘信</t>
  </si>
  <si>
    <t>经理</t>
  </si>
  <si>
    <t>yhltd</t>
  </si>
  <si>
    <t>211233199809092121</t>
  </si>
  <si>
    <t>15837693579</t>
  </si>
  <si>
    <t>185927385482038</t>
  </si>
  <si>
    <t>2022/11/1;2023-04-13;2023/4/13;2023/4/13</t>
  </si>
  <si>
    <t>副部长</t>
  </si>
  <si>
    <t>lys333</t>
  </si>
  <si>
    <t>210282199506092311</t>
  </si>
  <si>
    <t>14782958375</t>
  </si>
  <si>
    <t>1895283749587393</t>
  </si>
  <si>
    <t>2023-05-01;2023-04-04;2023/4/4</t>
  </si>
  <si>
    <t>测试部</t>
  </si>
  <si>
    <t>lx6666</t>
  </si>
  <si>
    <t>210282200408052311</t>
  </si>
  <si>
    <t>中国</t>
  </si>
  <si>
    <t>15241838935</t>
  </si>
  <si>
    <t>大专</t>
  </si>
  <si>
    <t>1952750192743925</t>
  </si>
  <si>
    <t>2023-05-01;2023-04-18;2023/4/18</t>
  </si>
  <si>
    <t>刘聪</t>
  </si>
  <si>
    <t>lc888</t>
  </si>
  <si>
    <t>21028219900505231X</t>
  </si>
  <si>
    <t>15673849329</t>
  </si>
  <si>
    <t>已婚</t>
  </si>
  <si>
    <t>2023-05-01;2023-04-03;2023/4/3</t>
  </si>
  <si>
    <t>谷玉琴</t>
  </si>
  <si>
    <t>gyq</t>
  </si>
  <si>
    <t>210222200101242311</t>
  </si>
  <si>
    <t>藏</t>
  </si>
  <si>
    <t>15845983945</t>
  </si>
  <si>
    <t>1847295747623482</t>
  </si>
  <si>
    <t>wdc</t>
  </si>
  <si>
    <t>210282200101032311</t>
  </si>
  <si>
    <t>15847389873</t>
  </si>
  <si>
    <t>184729575384927</t>
  </si>
  <si>
    <t>2020/4/1;2023-04-01;2023/4/1</t>
  </si>
  <si>
    <t>管理部</t>
  </si>
  <si>
    <t>lky</t>
  </si>
  <si>
    <t>210282199309232311</t>
  </si>
  <si>
    <t>15286384958</t>
  </si>
  <si>
    <t>1867584967584738</t>
  </si>
  <si>
    <t>2023/3/21;2023-04-18</t>
  </si>
  <si>
    <t>工程部</t>
  </si>
  <si>
    <t>lzy</t>
  </si>
  <si>
    <t>21028220001212231X</t>
  </si>
  <si>
    <t>15241844735</t>
  </si>
  <si>
    <t>1437563847583957</t>
  </si>
  <si>
    <t>dd</t>
  </si>
  <si>
    <t>2023-04-01;2023-04-13</t>
  </si>
  <si>
    <t>维修工</t>
  </si>
  <si>
    <t>ww12</t>
  </si>
  <si>
    <t>ww1234</t>
  </si>
  <si>
    <t>123344422142142314</t>
  </si>
  <si>
    <t>湖北</t>
  </si>
  <si>
    <t>1564040997</t>
  </si>
  <si>
    <t>122123312312</t>
  </si>
  <si>
    <t>id</t>
  </si>
  <si>
    <t>公司</t>
  </si>
  <si>
    <t>人员id</t>
  </si>
  <si>
    <t>增</t>
  </si>
  <si>
    <t>删</t>
  </si>
  <si>
    <t>改</t>
  </si>
  <si>
    <t>查</t>
  </si>
  <si>
    <t>查看此表</t>
  </si>
  <si>
    <t>表名</t>
  </si>
  <si>
    <t>岗位</t>
  </si>
  <si>
    <t>银行账号</t>
  </si>
  <si>
    <t>效绩工资</t>
  </si>
  <si>
    <t>岗位工资</t>
  </si>
  <si>
    <t>标准工资</t>
  </si>
  <si>
    <t>跨度工资</t>
  </si>
  <si>
    <t>职称津贴</t>
  </si>
  <si>
    <t>月出勤天数</t>
  </si>
  <si>
    <t>加班时间</t>
  </si>
  <si>
    <t>加班费</t>
  </si>
  <si>
    <t>全勤应发</t>
  </si>
  <si>
    <t>缺勤天数</t>
  </si>
  <si>
    <t>缺勤扣款</t>
  </si>
  <si>
    <t>迟到扣款</t>
  </si>
  <si>
    <t>应发工资</t>
  </si>
  <si>
    <t>社保基数</t>
  </si>
  <si>
    <t>医疗技术</t>
  </si>
  <si>
    <t>公积金基数</t>
  </si>
  <si>
    <t>年金基数</t>
  </si>
  <si>
    <t>企业养老</t>
  </si>
  <si>
    <t>企业失业</t>
  </si>
  <si>
    <t>企业医疗</t>
  </si>
  <si>
    <t>企业工伤</t>
  </si>
  <si>
    <t>企业生育</t>
  </si>
  <si>
    <t>企业公积金</t>
  </si>
  <si>
    <t>企业年金</t>
  </si>
  <si>
    <t>滞纳金</t>
  </si>
  <si>
    <t>利息</t>
  </si>
  <si>
    <t>企业小计</t>
  </si>
  <si>
    <t>个人养老</t>
  </si>
  <si>
    <t>个人失业</t>
  </si>
  <si>
    <t>个人医疗</t>
  </si>
  <si>
    <t>大额医疗</t>
  </si>
  <si>
    <t>个人公积金</t>
  </si>
  <si>
    <t>个人小计</t>
  </si>
  <si>
    <t>税前工资</t>
  </si>
  <si>
    <t>应税工资</t>
  </si>
  <si>
    <t>税率</t>
  </si>
  <si>
    <t>扣除数</t>
  </si>
  <si>
    <t>代扣个人所得税</t>
  </si>
  <si>
    <t>1%年金</t>
  </si>
  <si>
    <t>实发工资</t>
  </si>
  <si>
    <t>录入时间</t>
  </si>
  <si>
    <t>养老小计</t>
  </si>
  <si>
    <t>失业小计</t>
  </si>
  <si>
    <t>企业合计</t>
  </si>
  <si>
    <t>个人合计</t>
  </si>
  <si>
    <t>人员信息管理</t>
  </si>
  <si>
    <t>员工</t>
  </si>
  <si>
    <t>报盘</t>
  </si>
  <si>
    <t>配置表</t>
  </si>
  <si>
    <t>工资明细</t>
  </si>
  <si>
    <t>报税</t>
  </si>
  <si>
    <t>考勤记录</t>
  </si>
  <si>
    <t>部门汇总</t>
  </si>
  <si>
    <t>社保</t>
  </si>
  <si>
    <t>员工档案</t>
  </si>
  <si>
    <t>个人所得税</t>
  </si>
  <si>
    <t>工资条</t>
  </si>
  <si>
    <t>▌  工资明细</t>
  </si>
  <si>
    <t>当月工资合计</t>
  </si>
  <si>
    <t>个人生育</t>
  </si>
  <si>
    <t>个人年金4%</t>
  </si>
  <si>
    <t>年金1%</t>
  </si>
  <si>
    <t>验算公式</t>
  </si>
  <si>
    <t>工资年月</t>
  </si>
  <si>
    <t>22</t>
  </si>
  <si>
    <t>2023-04</t>
  </si>
  <si>
    <t>210282200103042311</t>
  </si>
  <si>
    <t>1</t>
  </si>
  <si>
    <t>2023-10</t>
  </si>
  <si>
    <t>▌  考勤记录</t>
  </si>
  <si>
    <t>应到</t>
  </si>
  <si>
    <t>实到</t>
  </si>
  <si>
    <t>加班</t>
  </si>
  <si>
    <t>▌  配置表</t>
  </si>
  <si>
    <t>部门配置</t>
  </si>
  <si>
    <t>职务配置</t>
  </si>
  <si>
    <t>个人年金</t>
  </si>
  <si>
    <t>工资</t>
  </si>
  <si>
    <t>职员</t>
  </si>
  <si>
    <t>0-5000</t>
  </si>
  <si>
    <t>开发部</t>
  </si>
  <si>
    <t>▌  报盘</t>
  </si>
  <si>
    <t>员工姓名</t>
  </si>
  <si>
    <t>录入日期</t>
  </si>
  <si>
    <t>个人支出</t>
  </si>
  <si>
    <t>企业支出</t>
  </si>
  <si>
    <t>▌  审批记录</t>
  </si>
  <si>
    <t>员工人数</t>
  </si>
  <si>
    <t>审批人</t>
  </si>
  <si>
    <t>日期</t>
  </si>
  <si>
    <t>李强</t>
  </si>
  <si>
    <t>▌  报税</t>
  </si>
  <si>
    <t>证件类型</t>
  </si>
  <si>
    <t>证件号码</t>
  </si>
  <si>
    <t>收入金额</t>
  </si>
  <si>
    <t>基本养老保险</t>
  </si>
  <si>
    <t>失业保险金</t>
  </si>
  <si>
    <t>住房公积金</t>
  </si>
  <si>
    <t>年金(个人部分)</t>
  </si>
  <si>
    <t>身份证</t>
  </si>
  <si>
    <t>▌  部门汇总</t>
  </si>
  <si>
    <t>人数</t>
  </si>
  <si>
    <t>▌  社保</t>
  </si>
  <si>
    <t>▌  员工档案</t>
  </si>
  <si>
    <t>2022/11/1;2023-04-12</t>
  </si>
  <si>
    <t>2022/11/1;2023-04-13</t>
  </si>
  <si>
    <t>2023-05-01;2023-04-04</t>
  </si>
  <si>
    <t>2023-05-01;2023-04-18</t>
  </si>
  <si>
    <t>2023-05-01;2023-04-03</t>
  </si>
  <si>
    <t>2020/4/1;2023-04-01</t>
  </si>
  <si>
    <t>▌  个人所得税</t>
  </si>
  <si>
    <t>计税工资</t>
  </si>
  <si>
    <t>计税人数</t>
  </si>
  <si>
    <t>合计</t>
  </si>
  <si>
    <t>▌  工资条</t>
  </si>
  <si>
    <t>当月合计工资</t>
  </si>
  <si>
    <t>▌  生日提醒</t>
  </si>
  <si>
    <t>星期日</t>
  </si>
  <si>
    <t>星期一</t>
  </si>
  <si>
    <t>星期二</t>
  </si>
  <si>
    <t>星期三</t>
  </si>
  <si>
    <t>星期四</t>
  </si>
  <si>
    <t>星期五</t>
  </si>
  <si>
    <t>星期六</t>
  </si>
  <si>
    <t>管理员</t>
  </si>
</sst>
</file>

<file path=xl/styles.xml><?xml version="1.0" encoding="utf-8"?>
<styleSheet xmlns="http://schemas.openxmlformats.org/spreadsheetml/2006/main" xmlns:mc="http://schemas.openxmlformats.org/markup-compatibility/2006" xmlns:xr9="http://schemas.microsoft.com/office/spreadsheetml/2016/revision9" mc:Ignorable="xr9">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yyyy&quot;年&quot;m&quot;月&quot;d&quot;日&quot;;@"/>
    <numFmt numFmtId="178" formatCode="[$-804]aaaa;@"/>
    <numFmt numFmtId="179" formatCode="yyyy\-mm\-dd"/>
    <numFmt numFmtId="180" formatCode="00"/>
    <numFmt numFmtId="181" formatCode="yyyy/mm/dd"/>
  </numFmts>
  <fonts count="41">
    <font>
      <sz val="12"/>
      <name val="宋体"/>
      <charset val="134"/>
    </font>
    <font>
      <sz val="18"/>
      <name val="宋体"/>
      <charset val="134"/>
    </font>
    <font>
      <b/>
      <sz val="11"/>
      <color theme="0"/>
      <name val="等线"/>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sz val="14"/>
      <name val="微软雅黑"/>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85961485641"/>
      <name val="微软雅黑"/>
      <charset val="134"/>
    </font>
    <font>
      <sz val="9"/>
      <name val="宋体"/>
      <charset val="134"/>
    </font>
  </fonts>
  <fills count="41">
    <fill>
      <patternFill patternType="none"/>
    </fill>
    <fill>
      <patternFill patternType="gray125"/>
    </fill>
    <fill>
      <patternFill patternType="solid">
        <fgColor rgb="FF002060"/>
        <bgColor indexed="64"/>
      </patternFill>
    </fill>
    <fill>
      <patternFill patternType="solid">
        <fgColor theme="0" tint="-0.05"/>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1">
    <border>
      <left/>
      <right/>
      <top/>
      <bottom/>
      <diagonal/>
    </border>
    <border>
      <left style="medium">
        <color theme="0"/>
      </left>
      <right style="medium">
        <color theme="0"/>
      </right>
      <top style="medium">
        <color theme="0"/>
      </top>
      <bottom/>
      <diagonal/>
    </border>
    <border>
      <left style="medium">
        <color theme="0"/>
      </left>
      <right style="medium">
        <color theme="0"/>
      </right>
      <top style="medium">
        <color theme="0"/>
      </top>
      <bottom style="medium">
        <color theme="0"/>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4" fillId="0" borderId="0" applyFont="0" applyFill="0" applyBorder="0" applyAlignment="0" applyProtection="0">
      <alignment vertical="center"/>
    </xf>
    <xf numFmtId="44" fontId="4" fillId="0" borderId="0" applyFont="0" applyFill="0" applyBorder="0" applyAlignment="0" applyProtection="0">
      <alignment vertical="center"/>
    </xf>
    <xf numFmtId="9" fontId="4" fillId="0" borderId="0" applyFont="0" applyFill="0" applyBorder="0" applyAlignment="0" applyProtection="0">
      <alignment vertical="center"/>
    </xf>
    <xf numFmtId="41" fontId="4" fillId="0" borderId="0" applyFont="0" applyFill="0" applyBorder="0" applyAlignment="0" applyProtection="0">
      <alignment vertical="center"/>
    </xf>
    <xf numFmtId="42" fontId="4" fillId="0" borderId="0" applyFont="0" applyFill="0" applyBorder="0" applyAlignment="0" applyProtection="0">
      <alignment vertical="center"/>
    </xf>
    <xf numFmtId="0" fontId="20"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4" fillId="10" borderId="3" applyNumberFormat="0" applyFont="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4" applyNumberFormat="0" applyFill="0" applyAlignment="0" applyProtection="0">
      <alignment vertical="center"/>
    </xf>
    <xf numFmtId="0" fontId="26" fillId="0" borderId="4" applyNumberFormat="0" applyFill="0" applyAlignment="0" applyProtection="0">
      <alignment vertical="center"/>
    </xf>
    <xf numFmtId="0" fontId="27" fillId="0" borderId="5" applyNumberFormat="0" applyFill="0" applyAlignment="0" applyProtection="0">
      <alignment vertical="center"/>
    </xf>
    <xf numFmtId="0" fontId="27" fillId="0" borderId="0" applyNumberFormat="0" applyFill="0" applyBorder="0" applyAlignment="0" applyProtection="0">
      <alignment vertical="center"/>
    </xf>
    <xf numFmtId="0" fontId="28" fillId="11" borderId="6" applyNumberFormat="0" applyAlignment="0" applyProtection="0">
      <alignment vertical="center"/>
    </xf>
    <xf numFmtId="0" fontId="29" fillId="12" borderId="7" applyNumberFormat="0" applyAlignment="0" applyProtection="0">
      <alignment vertical="center"/>
    </xf>
    <xf numFmtId="0" fontId="30" fillId="12" borderId="6" applyNumberFormat="0" applyAlignment="0" applyProtection="0">
      <alignment vertical="center"/>
    </xf>
    <xf numFmtId="0" fontId="31" fillId="13" borderId="8" applyNumberFormat="0" applyAlignment="0" applyProtection="0">
      <alignment vertical="center"/>
    </xf>
    <xf numFmtId="0" fontId="32" fillId="0" borderId="9" applyNumberFormat="0" applyFill="0" applyAlignment="0" applyProtection="0">
      <alignment vertical="center"/>
    </xf>
    <xf numFmtId="0" fontId="33" fillId="0" borderId="10" applyNumberFormat="0" applyFill="0" applyAlignment="0" applyProtection="0">
      <alignment vertical="center"/>
    </xf>
    <xf numFmtId="0" fontId="34" fillId="14" borderId="0" applyNumberFormat="0" applyBorder="0" applyAlignment="0" applyProtection="0">
      <alignment vertical="center"/>
    </xf>
    <xf numFmtId="0" fontId="35" fillId="15" borderId="0" applyNumberFormat="0" applyBorder="0" applyAlignment="0" applyProtection="0">
      <alignment vertical="center"/>
    </xf>
    <xf numFmtId="0" fontId="36" fillId="16" borderId="0" applyNumberFormat="0" applyBorder="0" applyAlignment="0" applyProtection="0">
      <alignment vertical="center"/>
    </xf>
    <xf numFmtId="0" fontId="37" fillId="17" borderId="0" applyNumberFormat="0" applyBorder="0" applyAlignment="0" applyProtection="0">
      <alignment vertical="center"/>
    </xf>
    <xf numFmtId="0" fontId="38" fillId="18" borderId="0" applyNumberFormat="0" applyBorder="0" applyAlignment="0" applyProtection="0">
      <alignment vertical="center"/>
    </xf>
    <xf numFmtId="0" fontId="38" fillId="19" borderId="0" applyNumberFormat="0" applyBorder="0" applyAlignment="0" applyProtection="0">
      <alignment vertical="center"/>
    </xf>
    <xf numFmtId="0" fontId="37" fillId="20" borderId="0" applyNumberFormat="0" applyBorder="0" applyAlignment="0" applyProtection="0">
      <alignment vertical="center"/>
    </xf>
    <xf numFmtId="0" fontId="37" fillId="21" borderId="0" applyNumberFormat="0" applyBorder="0" applyAlignment="0" applyProtection="0">
      <alignment vertical="center"/>
    </xf>
    <xf numFmtId="0" fontId="38" fillId="22" borderId="0" applyNumberFormat="0" applyBorder="0" applyAlignment="0" applyProtection="0">
      <alignment vertical="center"/>
    </xf>
    <xf numFmtId="0" fontId="38" fillId="23" borderId="0" applyNumberFormat="0" applyBorder="0" applyAlignment="0" applyProtection="0">
      <alignment vertical="center"/>
    </xf>
    <xf numFmtId="0" fontId="37" fillId="24" borderId="0" applyNumberFormat="0" applyBorder="0" applyAlignment="0" applyProtection="0">
      <alignment vertical="center"/>
    </xf>
    <xf numFmtId="0" fontId="37" fillId="25" borderId="0" applyNumberFormat="0" applyBorder="0" applyAlignment="0" applyProtection="0">
      <alignment vertical="center"/>
    </xf>
    <xf numFmtId="0" fontId="38" fillId="26" borderId="0" applyNumberFormat="0" applyBorder="0" applyAlignment="0" applyProtection="0">
      <alignment vertical="center"/>
    </xf>
    <xf numFmtId="0" fontId="38" fillId="27" borderId="0" applyNumberFormat="0" applyBorder="0" applyAlignment="0" applyProtection="0">
      <alignment vertical="center"/>
    </xf>
    <xf numFmtId="0" fontId="37" fillId="28" borderId="0" applyNumberFormat="0" applyBorder="0" applyAlignment="0" applyProtection="0">
      <alignment vertical="center"/>
    </xf>
    <xf numFmtId="0" fontId="37" fillId="29" borderId="0" applyNumberFormat="0" applyBorder="0" applyAlignment="0" applyProtection="0">
      <alignment vertical="center"/>
    </xf>
    <xf numFmtId="0" fontId="38" fillId="30" borderId="0" applyNumberFormat="0" applyBorder="0" applyAlignment="0" applyProtection="0">
      <alignment vertical="center"/>
    </xf>
    <xf numFmtId="0" fontId="38" fillId="31" borderId="0" applyNumberFormat="0" applyBorder="0" applyAlignment="0" applyProtection="0">
      <alignment vertical="center"/>
    </xf>
    <xf numFmtId="0" fontId="37" fillId="32" borderId="0" applyNumberFormat="0" applyBorder="0" applyAlignment="0" applyProtection="0">
      <alignment vertical="center"/>
    </xf>
    <xf numFmtId="0" fontId="37" fillId="33" borderId="0" applyNumberFormat="0" applyBorder="0" applyAlignment="0" applyProtection="0">
      <alignment vertical="center"/>
    </xf>
    <xf numFmtId="0" fontId="38" fillId="34" borderId="0" applyNumberFormat="0" applyBorder="0" applyAlignment="0" applyProtection="0">
      <alignment vertical="center"/>
    </xf>
    <xf numFmtId="0" fontId="38" fillId="35" borderId="0" applyNumberFormat="0" applyBorder="0" applyAlignment="0" applyProtection="0">
      <alignment vertical="center"/>
    </xf>
    <xf numFmtId="0" fontId="37" fillId="36" borderId="0" applyNumberFormat="0" applyBorder="0" applyAlignment="0" applyProtection="0">
      <alignment vertical="center"/>
    </xf>
    <xf numFmtId="0" fontId="37" fillId="37" borderId="0" applyNumberFormat="0" applyBorder="0" applyAlignment="0" applyProtection="0">
      <alignment vertical="center"/>
    </xf>
    <xf numFmtId="0" fontId="38" fillId="38" borderId="0" applyNumberFormat="0" applyBorder="0" applyAlignment="0" applyProtection="0">
      <alignment vertical="center"/>
    </xf>
    <xf numFmtId="0" fontId="38" fillId="39" borderId="0" applyNumberFormat="0" applyBorder="0" applyAlignment="0" applyProtection="0">
      <alignment vertical="center"/>
    </xf>
    <xf numFmtId="0" fontId="37" fillId="40" borderId="0" applyNumberFormat="0" applyBorder="0" applyAlignment="0" applyProtection="0">
      <alignment vertical="center"/>
    </xf>
  </cellStyleXfs>
  <cellXfs count="55">
    <xf numFmtId="0" fontId="0" fillId="0" borderId="0" xfId="0">
      <alignment vertical="center"/>
    </xf>
    <xf numFmtId="176" fontId="0" fillId="0" borderId="0" xfId="0" applyNumberFormat="1">
      <alignment vertical="center"/>
    </xf>
    <xf numFmtId="177" fontId="0" fillId="0" borderId="0" xfId="0" applyNumberFormat="1">
      <alignment vertical="center"/>
    </xf>
    <xf numFmtId="178" fontId="0" fillId="0" borderId="0" xfId="0" applyNumberFormat="1">
      <alignment vertical="center"/>
    </xf>
    <xf numFmtId="0" fontId="1" fillId="0" borderId="0" xfId="0" applyFont="1" applyBorder="1" applyAlignment="1">
      <alignment horizontal="left" vertical="center"/>
    </xf>
    <xf numFmtId="0" fontId="2" fillId="2" borderId="1" xfId="0" applyNumberFormat="1" applyFont="1" applyFill="1" applyBorder="1" applyAlignment="1">
      <alignment horizontal="center" vertical="center" wrapText="1"/>
    </xf>
    <xf numFmtId="49" fontId="2" fillId="2" borderId="1" xfId="0" applyNumberFormat="1" applyFont="1" applyFill="1" applyBorder="1" applyAlignment="1">
      <alignment horizontal="center" vertical="center" wrapText="1"/>
    </xf>
    <xf numFmtId="179" fontId="2" fillId="2" borderId="1" xfId="0" applyNumberFormat="1" applyFont="1" applyFill="1" applyBorder="1" applyAlignment="1">
      <alignment horizontal="center" vertical="center" wrapText="1"/>
    </xf>
    <xf numFmtId="0" fontId="0" fillId="3" borderId="2" xfId="0" applyNumberFormat="1" applyFill="1" applyBorder="1" applyAlignment="1">
      <alignment horizontal="center" vertical="center"/>
    </xf>
    <xf numFmtId="14" fontId="0" fillId="3" borderId="2" xfId="0" applyNumberFormat="1" applyFill="1" applyBorder="1" applyAlignment="1">
      <alignment horizontal="center" vertical="center"/>
    </xf>
    <xf numFmtId="49" fontId="0" fillId="3" borderId="2" xfId="0" applyNumberFormat="1" applyFill="1" applyBorder="1" applyAlignment="1">
      <alignment horizontal="center" vertical="center"/>
    </xf>
    <xf numFmtId="0" fontId="0" fillId="0" borderId="2" xfId="0" applyNumberFormat="1" applyBorder="1">
      <alignment vertical="center"/>
    </xf>
    <xf numFmtId="0" fontId="0" fillId="0" borderId="0" xfId="0" applyNumberFormat="1">
      <alignment vertical="center"/>
    </xf>
    <xf numFmtId="14" fontId="0" fillId="0" borderId="0" xfId="0" applyNumberFormat="1">
      <alignment vertical="center"/>
    </xf>
    <xf numFmtId="179" fontId="0" fillId="3" borderId="2" xfId="0" applyNumberFormat="1" applyFill="1" applyBorder="1" applyAlignment="1">
      <alignment horizontal="center" vertical="center"/>
    </xf>
    <xf numFmtId="49" fontId="0" fillId="0" borderId="0" xfId="0" applyNumberFormat="1">
      <alignment vertical="center"/>
    </xf>
    <xf numFmtId="179" fontId="0" fillId="0" borderId="0" xfId="0" applyNumberFormat="1">
      <alignment vertical="center"/>
    </xf>
    <xf numFmtId="0" fontId="2" fillId="2" borderId="2" xfId="0" applyNumberFormat="1" applyFont="1" applyFill="1" applyBorder="1" applyAlignment="1">
      <alignment horizontal="center" vertical="center" wrapText="1"/>
    </xf>
    <xf numFmtId="49" fontId="2" fillId="2" borderId="2" xfId="0" applyNumberFormat="1" applyFont="1" applyFill="1" applyBorder="1" applyAlignment="1">
      <alignment horizontal="center" vertical="center" wrapText="1"/>
    </xf>
    <xf numFmtId="179" fontId="2" fillId="2" borderId="2" xfId="0" applyNumberFormat="1" applyFont="1" applyFill="1" applyBorder="1" applyAlignment="1">
      <alignment horizontal="center" vertical="center" wrapText="1"/>
    </xf>
    <xf numFmtId="180" fontId="0" fillId="3" borderId="2" xfId="0" applyNumberFormat="1" applyFill="1" applyBorder="1" applyAlignment="1">
      <alignment horizontal="center" vertical="center"/>
    </xf>
    <xf numFmtId="180" fontId="0" fillId="0" borderId="0" xfId="0" applyNumberFormat="1">
      <alignment vertical="center"/>
    </xf>
    <xf numFmtId="180" fontId="2" fillId="2" borderId="2" xfId="0" applyNumberFormat="1" applyFont="1" applyFill="1" applyBorder="1" applyAlignment="1">
      <alignment horizontal="center" vertical="center" wrapText="1"/>
    </xf>
    <xf numFmtId="11" fontId="0" fillId="3" borderId="2" xfId="0" applyNumberFormat="1" applyFill="1" applyBorder="1" applyAlignment="1">
      <alignment horizontal="center" vertical="center"/>
    </xf>
    <xf numFmtId="0" fontId="0" fillId="3" borderId="2" xfId="0" applyFill="1" applyBorder="1" applyAlignment="1">
      <alignment horizontal="center" vertical="center"/>
    </xf>
    <xf numFmtId="0" fontId="2" fillId="2" borderId="2" xfId="0" applyFont="1" applyFill="1" applyBorder="1" applyAlignment="1">
      <alignment horizontal="center" vertical="center" wrapText="1"/>
    </xf>
    <xf numFmtId="14" fontId="2" fillId="2" borderId="2" xfId="0" applyNumberFormat="1" applyFont="1" applyFill="1" applyBorder="1" applyAlignment="1">
      <alignment horizontal="center" vertical="center" wrapText="1"/>
    </xf>
    <xf numFmtId="181" fontId="0" fillId="0" borderId="0" xfId="0" applyNumberFormat="1">
      <alignment vertical="center"/>
    </xf>
    <xf numFmtId="0" fontId="3" fillId="4" borderId="0" xfId="0" applyFont="1" applyFill="1" applyAlignment="1" applyProtection="1">
      <alignment horizontal="left" vertical="center"/>
    </xf>
    <xf numFmtId="0" fontId="4" fillId="5" borderId="0" xfId="0" applyFont="1" applyFill="1" applyAlignment="1" applyProtection="1">
      <alignment vertical="center"/>
    </xf>
    <xf numFmtId="0" fontId="5" fillId="5" borderId="0" xfId="0" applyFont="1" applyFill="1" applyAlignment="1" applyProtection="1">
      <alignment horizontal="left" vertical="center"/>
    </xf>
    <xf numFmtId="0" fontId="5" fillId="6" borderId="0" xfId="0" applyFont="1" applyFill="1" applyAlignment="1" applyProtection="1">
      <alignment horizontal="left" vertical="center"/>
    </xf>
    <xf numFmtId="49" fontId="6" fillId="6" borderId="0" xfId="0" applyNumberFormat="1" applyFont="1" applyFill="1" applyAlignment="1" applyProtection="1">
      <alignment horizontal="right" vertical="center"/>
    </xf>
    <xf numFmtId="0" fontId="7" fillId="6" borderId="0" xfId="0" applyFont="1" applyFill="1" applyAlignment="1" applyProtection="1">
      <alignment horizontal="left" vertical="center"/>
    </xf>
    <xf numFmtId="0" fontId="8" fillId="4" borderId="0" xfId="0" applyFont="1" applyFill="1" applyAlignment="1" applyProtection="1">
      <alignment horizontal="center" vertical="center"/>
    </xf>
    <xf numFmtId="49" fontId="9" fillId="4" borderId="0" xfId="0" applyNumberFormat="1" applyFont="1" applyFill="1" applyAlignment="1" applyProtection="1">
      <alignment horizontal="left" vertical="center"/>
    </xf>
    <xf numFmtId="49" fontId="10" fillId="5" borderId="0" xfId="0" applyNumberFormat="1" applyFont="1" applyFill="1" applyAlignment="1" applyProtection="1">
      <alignment horizontal="right" vertical="center"/>
    </xf>
    <xf numFmtId="49" fontId="10" fillId="6" borderId="0" xfId="0" applyNumberFormat="1" applyFont="1" applyFill="1" applyAlignment="1" applyProtection="1">
      <alignment horizontal="center" vertical="center"/>
    </xf>
    <xf numFmtId="49" fontId="11" fillId="7" borderId="0" xfId="0" applyNumberFormat="1" applyFont="1" applyFill="1" applyAlignment="1" applyProtection="1">
      <alignment horizontal="center" vertical="center" wrapText="1"/>
    </xf>
    <xf numFmtId="0" fontId="12" fillId="7" borderId="0" xfId="0" applyFont="1" applyFill="1" applyAlignment="1" applyProtection="1">
      <alignment horizontal="center" vertical="center" wrapText="1"/>
    </xf>
    <xf numFmtId="180" fontId="13" fillId="7" borderId="0" xfId="0" applyNumberFormat="1" applyFont="1" applyFill="1" applyAlignment="1" applyProtection="1">
      <alignment horizontal="right" vertical="center" indent="1"/>
    </xf>
    <xf numFmtId="0" fontId="14" fillId="7" borderId="0" xfId="0" applyFont="1" applyFill="1" applyAlignment="1" applyProtection="1">
      <alignment horizontal="center" vertical="center" wrapText="1"/>
    </xf>
    <xf numFmtId="49" fontId="12" fillId="7" borderId="0" xfId="0" applyNumberFormat="1" applyFont="1" applyFill="1" applyAlignment="1" applyProtection="1">
      <alignment horizontal="center" vertical="center" wrapText="1"/>
    </xf>
    <xf numFmtId="0" fontId="14" fillId="7" borderId="0" xfId="0" applyFont="1" applyFill="1" applyAlignment="1" applyProtection="1">
      <alignment vertical="center" wrapText="1"/>
    </xf>
    <xf numFmtId="49" fontId="6" fillId="8" borderId="0" xfId="0" applyNumberFormat="1" applyFont="1" applyFill="1" applyAlignment="1" applyProtection="1">
      <alignment horizontal="center" vertical="center" wrapText="1"/>
    </xf>
    <xf numFmtId="0" fontId="15" fillId="8" borderId="0" xfId="0" applyFont="1" applyFill="1" applyAlignment="1" applyProtection="1">
      <alignment horizontal="center" vertical="center" wrapText="1"/>
    </xf>
    <xf numFmtId="0" fontId="7" fillId="8" borderId="0" xfId="0" applyFont="1" applyFill="1" applyAlignment="1" applyProtection="1">
      <alignment horizontal="left" vertical="center"/>
    </xf>
    <xf numFmtId="49" fontId="3" fillId="4" borderId="0" xfId="0" applyNumberFormat="1" applyFont="1" applyFill="1" applyAlignment="1" applyProtection="1">
      <alignment horizontal="left" vertical="center"/>
    </xf>
    <xf numFmtId="0" fontId="16" fillId="9" borderId="0" xfId="0" applyFont="1" applyFill="1" applyAlignment="1">
      <alignment vertical="center"/>
    </xf>
    <xf numFmtId="0" fontId="17" fillId="9" borderId="0" xfId="0" applyFont="1" applyFill="1" applyAlignment="1">
      <alignment vertical="center"/>
    </xf>
    <xf numFmtId="0" fontId="18" fillId="9" borderId="0" xfId="0" applyFont="1" applyFill="1" applyAlignment="1">
      <alignment vertical="center"/>
    </xf>
    <xf numFmtId="0" fontId="18" fillId="9" borderId="0" xfId="0" applyFont="1" applyFill="1" applyBorder="1" applyAlignment="1">
      <alignment vertical="center"/>
    </xf>
    <xf numFmtId="0" fontId="19" fillId="9" borderId="0" xfId="0" applyFont="1" applyFill="1" applyAlignment="1">
      <alignment vertical="center"/>
    </xf>
    <xf numFmtId="0" fontId="19" fillId="9" borderId="0" xfId="0" applyFont="1" applyFill="1" applyBorder="1" applyAlignment="1">
      <alignment vertical="center"/>
    </xf>
    <xf numFmtId="0" fontId="16" fillId="9"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1">
    <dxf>
      <fill>
        <patternFill patternType="solid">
          <bgColor theme="8" tint="0.8"/>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3" Type="http://schemas.openxmlformats.org/officeDocument/2006/relationships/styles" Target="styles.xml"/><Relationship Id="rId22" Type="http://schemas.microsoft.com/office/2006/relationships/vbaProject" Target="vbaProject.bin"/><Relationship Id="rId21" Type="http://schemas.openxmlformats.org/officeDocument/2006/relationships/sharedStrings" Target="sharedStrings.xml"/><Relationship Id="rId20" Type="http://schemas.openxmlformats.org/officeDocument/2006/relationships/theme" Target="theme/theme1.xml"/><Relationship Id="rId2" Type="http://schemas.openxmlformats.org/officeDocument/2006/relationships/worksheet" Target="worksheets/sheet2.xml"/><Relationship Id="rId19" Type="http://schemas.openxmlformats.org/officeDocument/2006/relationships/customXml" Target="../customXml/item1.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2" Type="http://schemas.openxmlformats.org/officeDocument/2006/relationships/hyperlink" Target="#&#29983;&#26085;&#25552;&#37266;!A1"/><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4.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5.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6.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7.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8.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9.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0.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1.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2.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3.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4.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5.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6.xml.rels><?xml version="1.0" encoding="UTF-8" standalone="yes"?>
<Relationships xmlns="http://schemas.openxmlformats.org/package/2006/relationships"><Relationship Id="rId1" Type="http://schemas.openxmlformats.org/officeDocument/2006/relationships/hyperlink" Target="#&#29983;&#26085;&#25552;&#37266;!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9525</xdr:colOff>
      <xdr:row>0</xdr:row>
      <xdr:rowOff>635</xdr:rowOff>
    </xdr:from>
    <xdr:to>
      <xdr:col>43</xdr:col>
      <xdr:colOff>45720</xdr:colOff>
      <xdr:row>23</xdr:row>
      <xdr:rowOff>210820</xdr:rowOff>
    </xdr:to>
    <xdr:grpSp>
      <xdr:nvGrpSpPr>
        <xdr:cNvPr id="2" name="组合 1"/>
        <xdr:cNvGrpSpPr/>
      </xdr:nvGrpSpPr>
      <xdr:grpSpPr>
        <a:xfrm>
          <a:off x="9525" y="635"/>
          <a:ext cx="11913870" cy="5205095"/>
          <a:chOff x="-7" y="-28"/>
          <a:chExt cx="17602" cy="7725"/>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295" y="-28"/>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0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人事管理系统</a:t>
            </a:r>
            <a:endParaRPr lang="zh-CN" altLang="en-US" sz="50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400">
                <a:solidFill>
                  <a:schemeClr val="tx1">
                    <a:lumMod val="75000"/>
                    <a:lumOff val="25000"/>
                  </a:schemeClr>
                </a:solidFill>
                <a:latin typeface="微软雅黑" panose="020B0503020204020204" charset="-122"/>
                <a:ea typeface="微软雅黑" panose="020B0503020204020204" charset="-122"/>
                <a:sym typeface="+mn-ea"/>
              </a:rPr>
              <a:t>版本号：</a:t>
            </a:r>
            <a:r>
              <a:rPr lang="en-US" altLang="zh-CN" sz="1400">
                <a:solidFill>
                  <a:schemeClr val="tx1">
                    <a:lumMod val="75000"/>
                    <a:lumOff val="25000"/>
                  </a:schemeClr>
                </a:solidFill>
                <a:latin typeface="微软雅黑" panose="020B0503020204020204" charset="-122"/>
                <a:ea typeface="微软雅黑" panose="020B0503020204020204" charset="-122"/>
                <a:sym typeface="+mn-ea"/>
              </a:rPr>
              <a:t>5.1.0.1</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1"/>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11</xdr:col>
      <xdr:colOff>123190</xdr:colOff>
      <xdr:row>5</xdr:row>
      <xdr:rowOff>200025</xdr:rowOff>
    </xdr:from>
    <xdr:to>
      <xdr:col>16</xdr:col>
      <xdr:colOff>267335</xdr:colOff>
      <xdr:row>9</xdr:row>
      <xdr:rowOff>181610</xdr:rowOff>
    </xdr:to>
    <xdr:sp macro="[0]!goto_07">
      <xdr:nvSpPr>
        <xdr:cNvPr id="3" name="圆角矩形 3"/>
        <xdr:cNvSpPr/>
      </xdr:nvSpPr>
      <xdr:spPr>
        <a:xfrm>
          <a:off x="3161665"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考勤</a:t>
          </a:r>
          <a:endParaRPr lang="zh-CN" altLang="en-US" sz="1600" b="1">
            <a:latin typeface="微软雅黑" panose="020B0503020204020204" charset="-122"/>
            <a:ea typeface="微软雅黑" panose="020B0503020204020204" charset="-122"/>
          </a:endParaRPr>
        </a:p>
      </xdr:txBody>
    </xdr:sp>
    <xdr:clientData/>
  </xdr:twoCellAnchor>
  <xdr:twoCellAnchor>
    <xdr:from>
      <xdr:col>17</xdr:col>
      <xdr:colOff>156845</xdr:colOff>
      <xdr:row>5</xdr:row>
      <xdr:rowOff>200025</xdr:rowOff>
    </xdr:from>
    <xdr:to>
      <xdr:col>23</xdr:col>
      <xdr:colOff>24765</xdr:colOff>
      <xdr:row>9</xdr:row>
      <xdr:rowOff>181610</xdr:rowOff>
    </xdr:to>
    <xdr:sp macro="[0]!goto_04">
      <xdr:nvSpPr>
        <xdr:cNvPr id="5" name="圆角矩形 3"/>
        <xdr:cNvSpPr/>
      </xdr:nvSpPr>
      <xdr:spPr>
        <a:xfrm>
          <a:off x="4852670"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人员信息管理</a:t>
          </a:r>
          <a:endParaRPr lang="zh-CN" altLang="en-US" sz="1600" b="1">
            <a:latin typeface="微软雅黑" panose="020B0503020204020204" charset="-122"/>
            <a:ea typeface="微软雅黑" panose="020B0503020204020204" charset="-122"/>
          </a:endParaRPr>
        </a:p>
      </xdr:txBody>
    </xdr:sp>
    <xdr:clientData/>
  </xdr:twoCellAnchor>
  <xdr:twoCellAnchor>
    <xdr:from>
      <xdr:col>23</xdr:col>
      <xdr:colOff>190500</xdr:colOff>
      <xdr:row>5</xdr:row>
      <xdr:rowOff>200025</xdr:rowOff>
    </xdr:from>
    <xdr:to>
      <xdr:col>29</xdr:col>
      <xdr:colOff>58420</xdr:colOff>
      <xdr:row>9</xdr:row>
      <xdr:rowOff>181610</xdr:rowOff>
    </xdr:to>
    <xdr:sp macro="[0]!goto_10">
      <xdr:nvSpPr>
        <xdr:cNvPr id="6" name="圆角矩形 3"/>
        <xdr:cNvSpPr/>
      </xdr:nvSpPr>
      <xdr:spPr>
        <a:xfrm>
          <a:off x="6543675"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工资明细</a:t>
          </a:r>
          <a:endParaRPr lang="zh-CN" altLang="en-US" sz="1600" b="1">
            <a:latin typeface="微软雅黑" panose="020B0503020204020204" charset="-122"/>
            <a:ea typeface="微软雅黑" panose="020B0503020204020204" charset="-122"/>
          </a:endParaRPr>
        </a:p>
      </xdr:txBody>
    </xdr:sp>
    <xdr:clientData/>
  </xdr:twoCellAnchor>
  <xdr:twoCellAnchor>
    <xdr:from>
      <xdr:col>29</xdr:col>
      <xdr:colOff>224155</xdr:colOff>
      <xdr:row>5</xdr:row>
      <xdr:rowOff>200025</xdr:rowOff>
    </xdr:from>
    <xdr:to>
      <xdr:col>35</xdr:col>
      <xdr:colOff>92075</xdr:colOff>
      <xdr:row>9</xdr:row>
      <xdr:rowOff>181610</xdr:rowOff>
    </xdr:to>
    <xdr:sp macro="[0]!goto_08">
      <xdr:nvSpPr>
        <xdr:cNvPr id="7" name="圆角矩形 3"/>
        <xdr:cNvSpPr/>
      </xdr:nvSpPr>
      <xdr:spPr>
        <a:xfrm>
          <a:off x="8234680"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考勤记录</a:t>
          </a:r>
          <a:endParaRPr lang="zh-CN" altLang="en-US" sz="1600" b="1">
            <a:latin typeface="微软雅黑" panose="020B0503020204020204" charset="-122"/>
            <a:ea typeface="微软雅黑" panose="020B0503020204020204" charset="-122"/>
          </a:endParaRPr>
        </a:p>
      </xdr:txBody>
    </xdr:sp>
    <xdr:clientData/>
  </xdr:twoCellAnchor>
  <xdr:twoCellAnchor>
    <xdr:from>
      <xdr:col>35</xdr:col>
      <xdr:colOff>257810</xdr:colOff>
      <xdr:row>5</xdr:row>
      <xdr:rowOff>200025</xdr:rowOff>
    </xdr:from>
    <xdr:to>
      <xdr:col>41</xdr:col>
      <xdr:colOff>125730</xdr:colOff>
      <xdr:row>9</xdr:row>
      <xdr:rowOff>181610</xdr:rowOff>
    </xdr:to>
    <xdr:sp macro="[0]!goto_07">
      <xdr:nvSpPr>
        <xdr:cNvPr id="8" name="圆角矩形 3"/>
        <xdr:cNvSpPr/>
      </xdr:nvSpPr>
      <xdr:spPr>
        <a:xfrm>
          <a:off x="9925685"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配置表</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123190</xdr:colOff>
      <xdr:row>10</xdr:row>
      <xdr:rowOff>214630</xdr:rowOff>
    </xdr:from>
    <xdr:to>
      <xdr:col>16</xdr:col>
      <xdr:colOff>267335</xdr:colOff>
      <xdr:row>14</xdr:row>
      <xdr:rowOff>196215</xdr:rowOff>
    </xdr:to>
    <xdr:sp macro="[0]!goto_11">
      <xdr:nvSpPr>
        <xdr:cNvPr id="10" name="圆角矩形 3"/>
        <xdr:cNvSpPr/>
      </xdr:nvSpPr>
      <xdr:spPr>
        <a:xfrm>
          <a:off x="3161665"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报盘</a:t>
          </a:r>
          <a:endParaRPr lang="zh-CN" altLang="en-US" sz="1600" b="1">
            <a:latin typeface="微软雅黑" panose="020B0503020204020204" charset="-122"/>
            <a:ea typeface="微软雅黑" panose="020B0503020204020204" charset="-122"/>
          </a:endParaRPr>
        </a:p>
      </xdr:txBody>
    </xdr:sp>
    <xdr:clientData/>
  </xdr:twoCellAnchor>
  <xdr:twoCellAnchor>
    <xdr:from>
      <xdr:col>17</xdr:col>
      <xdr:colOff>156845</xdr:colOff>
      <xdr:row>10</xdr:row>
      <xdr:rowOff>214630</xdr:rowOff>
    </xdr:from>
    <xdr:to>
      <xdr:col>23</xdr:col>
      <xdr:colOff>24765</xdr:colOff>
      <xdr:row>14</xdr:row>
      <xdr:rowOff>196215</xdr:rowOff>
    </xdr:to>
    <xdr:sp macro="[0]!goto_12">
      <xdr:nvSpPr>
        <xdr:cNvPr id="11" name="圆角矩形 3"/>
        <xdr:cNvSpPr/>
      </xdr:nvSpPr>
      <xdr:spPr>
        <a:xfrm>
          <a:off x="4852670"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审批记录</a:t>
          </a:r>
          <a:endParaRPr lang="zh-CN" altLang="en-US" sz="1600" b="1">
            <a:latin typeface="微软雅黑" panose="020B0503020204020204" charset="-122"/>
            <a:ea typeface="微软雅黑" panose="020B0503020204020204" charset="-122"/>
          </a:endParaRPr>
        </a:p>
      </xdr:txBody>
    </xdr:sp>
    <xdr:clientData/>
  </xdr:twoCellAnchor>
  <xdr:twoCellAnchor>
    <xdr:from>
      <xdr:col>23</xdr:col>
      <xdr:colOff>190500</xdr:colOff>
      <xdr:row>10</xdr:row>
      <xdr:rowOff>214630</xdr:rowOff>
    </xdr:from>
    <xdr:to>
      <xdr:col>29</xdr:col>
      <xdr:colOff>58420</xdr:colOff>
      <xdr:row>14</xdr:row>
      <xdr:rowOff>196215</xdr:rowOff>
    </xdr:to>
    <xdr:sp macro="[0]!goto_09">
      <xdr:nvSpPr>
        <xdr:cNvPr id="12" name="圆角矩形 3"/>
        <xdr:cNvSpPr/>
      </xdr:nvSpPr>
      <xdr:spPr>
        <a:xfrm>
          <a:off x="6543675"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报税</a:t>
          </a:r>
          <a:endParaRPr lang="zh-CN" altLang="en-US" sz="1600" b="1">
            <a:latin typeface="微软雅黑" panose="020B0503020204020204" charset="-122"/>
            <a:ea typeface="微软雅黑" panose="020B0503020204020204" charset="-122"/>
          </a:endParaRPr>
        </a:p>
      </xdr:txBody>
    </xdr:sp>
    <xdr:clientData/>
  </xdr:twoCellAnchor>
  <xdr:twoCellAnchor>
    <xdr:from>
      <xdr:col>29</xdr:col>
      <xdr:colOff>224155</xdr:colOff>
      <xdr:row>10</xdr:row>
      <xdr:rowOff>214630</xdr:rowOff>
    </xdr:from>
    <xdr:to>
      <xdr:col>35</xdr:col>
      <xdr:colOff>92075</xdr:colOff>
      <xdr:row>14</xdr:row>
      <xdr:rowOff>196215</xdr:rowOff>
    </xdr:to>
    <xdr:sp macro="[0]!goto_13">
      <xdr:nvSpPr>
        <xdr:cNvPr id="13" name="圆角矩形 3"/>
        <xdr:cNvSpPr/>
      </xdr:nvSpPr>
      <xdr:spPr>
        <a:xfrm>
          <a:off x="8234680"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部门汇总</a:t>
          </a:r>
          <a:endParaRPr lang="zh-CN" altLang="en-US" sz="1600" b="1">
            <a:latin typeface="微软雅黑" panose="020B0503020204020204" charset="-122"/>
            <a:ea typeface="微软雅黑" panose="020B0503020204020204" charset="-122"/>
          </a:endParaRPr>
        </a:p>
      </xdr:txBody>
    </xdr:sp>
    <xdr:clientData/>
  </xdr:twoCellAnchor>
  <xdr:twoCellAnchor>
    <xdr:from>
      <xdr:col>35</xdr:col>
      <xdr:colOff>257810</xdr:colOff>
      <xdr:row>10</xdr:row>
      <xdr:rowOff>214630</xdr:rowOff>
    </xdr:from>
    <xdr:to>
      <xdr:col>41</xdr:col>
      <xdr:colOff>125730</xdr:colOff>
      <xdr:row>14</xdr:row>
      <xdr:rowOff>195580</xdr:rowOff>
    </xdr:to>
    <xdr:sp macro="[0]!goto_14">
      <xdr:nvSpPr>
        <xdr:cNvPr id="14" name="圆角矩形 3"/>
        <xdr:cNvSpPr/>
      </xdr:nvSpPr>
      <xdr:spPr>
        <a:xfrm>
          <a:off x="9925685" y="2386330"/>
          <a:ext cx="1525270" cy="8496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社保</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123190</xdr:colOff>
      <xdr:row>16</xdr:row>
      <xdr:rowOff>19685</xdr:rowOff>
    </xdr:from>
    <xdr:to>
      <xdr:col>16</xdr:col>
      <xdr:colOff>267335</xdr:colOff>
      <xdr:row>20</xdr:row>
      <xdr:rowOff>0</xdr:rowOff>
    </xdr:to>
    <xdr:sp macro="[0]!goto_15">
      <xdr:nvSpPr>
        <xdr:cNvPr id="15" name="圆角矩形 3"/>
        <xdr:cNvSpPr/>
      </xdr:nvSpPr>
      <xdr:spPr>
        <a:xfrm>
          <a:off x="3161665" y="3494405"/>
          <a:ext cx="1525270" cy="84899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员工档案</a:t>
          </a:r>
          <a:endParaRPr lang="zh-CN" altLang="en-US" sz="1600" b="1">
            <a:latin typeface="微软雅黑" panose="020B0503020204020204" charset="-122"/>
            <a:ea typeface="微软雅黑" panose="020B0503020204020204" charset="-122"/>
          </a:endParaRPr>
        </a:p>
      </xdr:txBody>
    </xdr:sp>
    <xdr:clientData/>
  </xdr:twoCellAnchor>
  <xdr:twoCellAnchor>
    <xdr:from>
      <xdr:col>17</xdr:col>
      <xdr:colOff>123825</xdr:colOff>
      <xdr:row>16</xdr:row>
      <xdr:rowOff>19685</xdr:rowOff>
    </xdr:from>
    <xdr:to>
      <xdr:col>22</xdr:col>
      <xdr:colOff>267970</xdr:colOff>
      <xdr:row>20</xdr:row>
      <xdr:rowOff>1270</xdr:rowOff>
    </xdr:to>
    <xdr:sp macro="[0]!goto_16">
      <xdr:nvSpPr>
        <xdr:cNvPr id="16" name="圆角矩形 3"/>
        <xdr:cNvSpPr/>
      </xdr:nvSpPr>
      <xdr:spPr>
        <a:xfrm>
          <a:off x="4819650" y="349440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个人所得税</a:t>
          </a:r>
          <a:endParaRPr lang="zh-CN" altLang="en-US" sz="1600" b="1">
            <a:latin typeface="微软雅黑" panose="020B0503020204020204" charset="-122"/>
            <a:ea typeface="微软雅黑" panose="020B0503020204020204" charset="-122"/>
          </a:endParaRPr>
        </a:p>
      </xdr:txBody>
    </xdr:sp>
    <xdr:clientData/>
  </xdr:twoCellAnchor>
  <xdr:twoCellAnchor>
    <xdr:from>
      <xdr:col>23</xdr:col>
      <xdr:colOff>190500</xdr:colOff>
      <xdr:row>16</xdr:row>
      <xdr:rowOff>19685</xdr:rowOff>
    </xdr:from>
    <xdr:to>
      <xdr:col>29</xdr:col>
      <xdr:colOff>58420</xdr:colOff>
      <xdr:row>20</xdr:row>
      <xdr:rowOff>1270</xdr:rowOff>
    </xdr:to>
    <xdr:sp macro="[0]!goto_17">
      <xdr:nvSpPr>
        <xdr:cNvPr id="17" name="圆角矩形 3"/>
        <xdr:cNvSpPr/>
      </xdr:nvSpPr>
      <xdr:spPr>
        <a:xfrm>
          <a:off x="6543675" y="349440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工资条</a:t>
          </a:r>
          <a:endParaRPr lang="zh-CN" altLang="en-US" sz="1600" b="1">
            <a:latin typeface="微软雅黑" panose="020B0503020204020204" charset="-122"/>
            <a:ea typeface="微软雅黑" panose="020B0503020204020204" charset="-122"/>
          </a:endParaRPr>
        </a:p>
      </xdr:txBody>
    </xdr:sp>
    <xdr:clientData/>
  </xdr:twoCellAnchor>
  <xdr:twoCellAnchor>
    <xdr:from>
      <xdr:col>29</xdr:col>
      <xdr:colOff>222250</xdr:colOff>
      <xdr:row>16</xdr:row>
      <xdr:rowOff>19685</xdr:rowOff>
    </xdr:from>
    <xdr:to>
      <xdr:col>35</xdr:col>
      <xdr:colOff>90170</xdr:colOff>
      <xdr:row>20</xdr:row>
      <xdr:rowOff>1270</xdr:rowOff>
    </xdr:to>
    <xdr:sp macro="[0]!goto_17">
      <xdr:nvSpPr>
        <xdr:cNvPr id="23" name="圆角矩形 3">
          <a:hlinkClick xmlns:r="http://schemas.openxmlformats.org/officeDocument/2006/relationships" r:id="rId2"/>
        </xdr:cNvPr>
        <xdr:cNvSpPr/>
      </xdr:nvSpPr>
      <xdr:spPr>
        <a:xfrm>
          <a:off x="8232775" y="349440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生日提醒</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635</xdr:colOff>
      <xdr:row>0</xdr:row>
      <xdr:rowOff>635</xdr:rowOff>
    </xdr:from>
    <xdr:to>
      <xdr:col>23</xdr:col>
      <xdr:colOff>405765</xdr:colOff>
      <xdr:row>0</xdr:row>
      <xdr:rowOff>690245</xdr:rowOff>
    </xdr:to>
    <xdr:sp>
      <xdr:nvSpPr>
        <xdr:cNvPr id="2" name="矩形 1"/>
        <xdr:cNvSpPr>
          <a:spLocks noChangeAspect="1"/>
        </xdr:cNvSpPr>
      </xdr:nvSpPr>
      <xdr:spPr>
        <a:xfrm>
          <a:off x="635" y="635"/>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3" name="同侧圆角矩形 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5" name="同侧圆角矩形 4"/>
        <xdr:cNvSpPr>
          <a:spLocks noChangeAspect="1"/>
        </xdr:cNvSpPr>
      </xdr:nvSpPr>
      <xdr:spPr>
        <a:xfrm>
          <a:off x="259969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考勤</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6" name="同侧圆角矩形 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7" name="同侧圆角矩形 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8" name="同侧圆角矩形 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9" name="同侧圆角矩形 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10" name="同侧圆角矩形 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11" name="同侧圆角矩形 1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11</xdr:col>
      <xdr:colOff>487045</xdr:colOff>
      <xdr:row>1</xdr:row>
      <xdr:rowOff>9525</xdr:rowOff>
    </xdr:to>
    <xdr:sp macro="[0]!goto_09">
      <xdr:nvSpPr>
        <xdr:cNvPr id="12" name="同侧圆角矩形 1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560705</xdr:colOff>
      <xdr:row>0</xdr:row>
      <xdr:rowOff>266700</xdr:rowOff>
    </xdr:from>
    <xdr:to>
      <xdr:col>12</xdr:col>
      <xdr:colOff>466725</xdr:colOff>
      <xdr:row>1</xdr:row>
      <xdr:rowOff>9525</xdr:rowOff>
    </xdr:to>
    <xdr:sp macro="[0]!goto_13">
      <xdr:nvSpPr>
        <xdr:cNvPr id="13" name="同侧圆角矩形 1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540385</xdr:colOff>
      <xdr:row>0</xdr:row>
      <xdr:rowOff>266700</xdr:rowOff>
    </xdr:from>
    <xdr:to>
      <xdr:col>13</xdr:col>
      <xdr:colOff>446405</xdr:colOff>
      <xdr:row>1</xdr:row>
      <xdr:rowOff>9525</xdr:rowOff>
    </xdr:to>
    <xdr:sp macro="[0]!goto_14">
      <xdr:nvSpPr>
        <xdr:cNvPr id="14" name="同侧圆角矩形 1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499745</xdr:colOff>
      <xdr:row>0</xdr:row>
      <xdr:rowOff>266700</xdr:rowOff>
    </xdr:from>
    <xdr:to>
      <xdr:col>15</xdr:col>
      <xdr:colOff>405765</xdr:colOff>
      <xdr:row>1</xdr:row>
      <xdr:rowOff>9525</xdr:rowOff>
    </xdr:to>
    <xdr:sp macro="[0]!goto_16">
      <xdr:nvSpPr>
        <xdr:cNvPr id="15" name="同侧圆角矩形 1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479425</xdr:colOff>
      <xdr:row>0</xdr:row>
      <xdr:rowOff>266700</xdr:rowOff>
    </xdr:from>
    <xdr:to>
      <xdr:col>16</xdr:col>
      <xdr:colOff>385445</xdr:colOff>
      <xdr:row>1</xdr:row>
      <xdr:rowOff>9525</xdr:rowOff>
    </xdr:to>
    <xdr:sp macro="[0]!goto_17">
      <xdr:nvSpPr>
        <xdr:cNvPr id="16" name="同侧圆角矩形 1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xdr:col>
      <xdr:colOff>0</xdr:colOff>
      <xdr:row>2</xdr:row>
      <xdr:rowOff>0</xdr:rowOff>
    </xdr:from>
    <xdr:to>
      <xdr:col>2</xdr:col>
      <xdr:colOff>869315</xdr:colOff>
      <xdr:row>2</xdr:row>
      <xdr:rowOff>314325</xdr:rowOff>
    </xdr:to>
    <xdr:sp macro="[0]!select_07">
      <xdr:nvSpPr>
        <xdr:cNvPr id="17" name="剪去对角的矩形 16"/>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220345</xdr:colOff>
      <xdr:row>2</xdr:row>
      <xdr:rowOff>0</xdr:rowOff>
    </xdr:from>
    <xdr:to>
      <xdr:col>4</xdr:col>
      <xdr:colOff>127635</xdr:colOff>
      <xdr:row>2</xdr:row>
      <xdr:rowOff>314325</xdr:rowOff>
    </xdr:to>
    <xdr:sp macro="[0]!save_07">
      <xdr:nvSpPr>
        <xdr:cNvPr id="18" name="剪去对角的矩形 17"/>
        <xdr:cNvSpPr/>
      </xdr:nvSpPr>
      <xdr:spPr>
        <a:xfrm>
          <a:off x="153479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440690</xdr:colOff>
      <xdr:row>2</xdr:row>
      <xdr:rowOff>0</xdr:rowOff>
    </xdr:from>
    <xdr:to>
      <xdr:col>5</xdr:col>
      <xdr:colOff>347980</xdr:colOff>
      <xdr:row>2</xdr:row>
      <xdr:rowOff>314325</xdr:rowOff>
    </xdr:to>
    <xdr:sp macro="[0]!delete_07">
      <xdr:nvSpPr>
        <xdr:cNvPr id="19" name="剪去对角的矩形 18"/>
        <xdr:cNvSpPr/>
      </xdr:nvSpPr>
      <xdr:spPr>
        <a:xfrm>
          <a:off x="271716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661035</xdr:colOff>
      <xdr:row>2</xdr:row>
      <xdr:rowOff>0</xdr:rowOff>
    </xdr:from>
    <xdr:to>
      <xdr:col>6</xdr:col>
      <xdr:colOff>568325</xdr:colOff>
      <xdr:row>2</xdr:row>
      <xdr:rowOff>314325</xdr:rowOff>
    </xdr:to>
    <xdr:sp macro="[0]!tiaojian_select_07">
      <xdr:nvSpPr>
        <xdr:cNvPr id="20" name="剪去对角的矩形 19"/>
        <xdr:cNvSpPr/>
      </xdr:nvSpPr>
      <xdr:spPr>
        <a:xfrm>
          <a:off x="389953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13</xdr:col>
      <xdr:colOff>520065</xdr:colOff>
      <xdr:row>0</xdr:row>
      <xdr:rowOff>266700</xdr:rowOff>
    </xdr:from>
    <xdr:to>
      <xdr:col>14</xdr:col>
      <xdr:colOff>426085</xdr:colOff>
      <xdr:row>1</xdr:row>
      <xdr:rowOff>9525</xdr:rowOff>
    </xdr:to>
    <xdr:sp macro="[0]!goto_15">
      <xdr:nvSpPr>
        <xdr:cNvPr id="22" name="同侧圆角矩形 21"/>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6</xdr:col>
      <xdr:colOff>881380</xdr:colOff>
      <xdr:row>2</xdr:row>
      <xdr:rowOff>0</xdr:rowOff>
    </xdr:from>
    <xdr:to>
      <xdr:col>7</xdr:col>
      <xdr:colOff>788670</xdr:colOff>
      <xdr:row>2</xdr:row>
      <xdr:rowOff>314325</xdr:rowOff>
    </xdr:to>
    <xdr:sp macro="[0]!daochu_jian">
      <xdr:nvSpPr>
        <xdr:cNvPr id="21" name="剪去对角的矩形 20"/>
        <xdr:cNvSpPr/>
      </xdr:nvSpPr>
      <xdr:spPr>
        <a:xfrm>
          <a:off x="508190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16</xdr:col>
      <xdr:colOff>479425</xdr:colOff>
      <xdr:row>0</xdr:row>
      <xdr:rowOff>263525</xdr:rowOff>
    </xdr:from>
    <xdr:to>
      <xdr:col>17</xdr:col>
      <xdr:colOff>385445</xdr:colOff>
      <xdr:row>1</xdr:row>
      <xdr:rowOff>6350</xdr:rowOff>
    </xdr:to>
    <xdr:sp macro="[0]!goto_16">
      <xdr:nvSpPr>
        <xdr:cNvPr id="23" name="同侧圆角矩形 22">
          <a:hlinkClick xmlns:r="http://schemas.openxmlformats.org/officeDocument/2006/relationships" r:id="rId1"/>
        </xdr:cNvPr>
        <xdr:cNvSpPr>
          <a:spLocks noChangeAspect="1"/>
        </xdr:cNvSpPr>
      </xdr:nvSpPr>
      <xdr:spPr>
        <a:xfrm>
          <a:off x="1486217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7</xdr:col>
      <xdr:colOff>1101725</xdr:colOff>
      <xdr:row>2</xdr:row>
      <xdr:rowOff>0</xdr:rowOff>
    </xdr:from>
    <xdr:to>
      <xdr:col>8</xdr:col>
      <xdr:colOff>513080</xdr:colOff>
      <xdr:row>2</xdr:row>
      <xdr:rowOff>314325</xdr:rowOff>
    </xdr:to>
    <xdr:sp macro="[0]!chushihua">
      <xdr:nvSpPr>
        <xdr:cNvPr id="24" name="剪去对角的矩形 23"/>
        <xdr:cNvSpPr/>
      </xdr:nvSpPr>
      <xdr:spPr>
        <a:xfrm>
          <a:off x="6264275" y="1203325"/>
          <a:ext cx="93535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当月初始化</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8</xdr:col>
      <xdr:colOff>826135</xdr:colOff>
      <xdr:row>2</xdr:row>
      <xdr:rowOff>0</xdr:rowOff>
    </xdr:from>
    <xdr:to>
      <xdr:col>9</xdr:col>
      <xdr:colOff>733425</xdr:colOff>
      <xdr:row>2</xdr:row>
      <xdr:rowOff>314325</xdr:rowOff>
    </xdr:to>
    <xdr:sp macro="[0]!xiujia">
      <xdr:nvSpPr>
        <xdr:cNvPr id="25" name="剪去对角的矩形 24"/>
        <xdr:cNvSpPr/>
      </xdr:nvSpPr>
      <xdr:spPr>
        <a:xfrm>
          <a:off x="751268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当月休假</a:t>
          </a:r>
          <a:endParaRPr lang="en-US" altLang="zh-CN" sz="1000" b="1">
            <a:latin typeface="微软雅黑" panose="020B0503020204020204" charset="-122"/>
            <a:ea typeface="微软雅黑" panose="020B0503020204020204"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4">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339725</xdr:colOff>
      <xdr:row>2</xdr:row>
      <xdr:rowOff>0</xdr:rowOff>
    </xdr:from>
    <xdr:to>
      <xdr:col>4</xdr:col>
      <xdr:colOff>247015</xdr:colOff>
      <xdr:row>2</xdr:row>
      <xdr:rowOff>314325</xdr:rowOff>
    </xdr:to>
    <xdr:sp macro="[0]!save_04">
      <xdr:nvSpPr>
        <xdr:cNvPr id="3" name="剪去对角的矩形 2"/>
        <xdr:cNvSpPr/>
      </xdr:nvSpPr>
      <xdr:spPr>
        <a:xfrm>
          <a:off x="16541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04">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0</xdr:colOff>
      <xdr:row>2</xdr:row>
      <xdr:rowOff>0</xdr:rowOff>
    </xdr:from>
    <xdr:to>
      <xdr:col>6</xdr:col>
      <xdr:colOff>869315</xdr:colOff>
      <xdr:row>2</xdr:row>
      <xdr:rowOff>314325</xdr:rowOff>
    </xdr:to>
    <xdr:sp macro="[0]!tiaojian_select_04">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23</xdr:col>
      <xdr:colOff>405130</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人员信息</a:t>
          </a:r>
          <a:endParaRPr lang="zh-CN" altLang="en-US" sz="1050" b="1">
            <a:solidFill>
              <a:schemeClr val="accent1">
                <a:lumMod val="75000"/>
              </a:schemeClr>
            </a:solidFill>
            <a:latin typeface="+mn-ea"/>
            <a:ea typeface="+mn-ea"/>
            <a:cs typeface="+mn-cs"/>
          </a:endParaRPr>
        </a:p>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管理</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11</xdr:col>
      <xdr:colOff>487045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560705</xdr:colOff>
      <xdr:row>0</xdr:row>
      <xdr:rowOff>266700</xdr:rowOff>
    </xdr:from>
    <xdr:to>
      <xdr:col>12</xdr:col>
      <xdr:colOff>466725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540385</xdr:colOff>
      <xdr:row>0</xdr:row>
      <xdr:rowOff>266700</xdr:rowOff>
    </xdr:from>
    <xdr:to>
      <xdr:col>13</xdr:col>
      <xdr:colOff>446405</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499745</xdr:colOff>
      <xdr:row>0</xdr:row>
      <xdr:rowOff>266700</xdr:rowOff>
    </xdr:from>
    <xdr:to>
      <xdr:col>15</xdr:col>
      <xdr:colOff>405765</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479425</xdr:colOff>
      <xdr:row>0</xdr:row>
      <xdr:rowOff>266700</xdr:rowOff>
    </xdr:from>
    <xdr:to>
      <xdr:col>16</xdr:col>
      <xdr:colOff>385445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520065</xdr:colOff>
      <xdr:row>0</xdr:row>
      <xdr:rowOff>266700</xdr:rowOff>
    </xdr:from>
    <xdr:to>
      <xdr:col>14</xdr:col>
      <xdr:colOff>426085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16</xdr:col>
      <xdr:colOff>454025</xdr:colOff>
      <xdr:row>0</xdr:row>
      <xdr:rowOff>263525</xdr:rowOff>
    </xdr:from>
    <xdr:to>
      <xdr:col>17</xdr:col>
      <xdr:colOff>360045</xdr:colOff>
      <xdr:row>1</xdr:row>
      <xdr:rowOff>6350</xdr:rowOff>
    </xdr:to>
    <xdr:sp macro="[0]!goto_16">
      <xdr:nvSpPr>
        <xdr:cNvPr id="6" name="同侧圆角矩形 5">
          <a:hlinkClick xmlns:r="http://schemas.openxmlformats.org/officeDocument/2006/relationships" r:id="rId1"/>
        </xdr:cNvPr>
        <xdr:cNvSpPr>
          <a:spLocks noChangeAspect="1"/>
        </xdr:cNvSpPr>
      </xdr:nvSpPr>
      <xdr:spPr>
        <a:xfrm>
          <a:off x="1483677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0">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insert_10">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新增</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10">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962025</xdr:colOff>
      <xdr:row>2</xdr:row>
      <xdr:rowOff>0</xdr:rowOff>
    </xdr:from>
    <xdr:to>
      <xdr:col>6</xdr:col>
      <xdr:colOff>173990</xdr:colOff>
      <xdr:row>2</xdr:row>
      <xdr:rowOff>314325</xdr:rowOff>
    </xdr:to>
    <xdr:sp macro="[0]!tiaojian_select_10">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67310</xdr:colOff>
      <xdr:row>0</xdr:row>
      <xdr:rowOff>635</xdr:rowOff>
    </xdr:from>
    <xdr:to>
      <xdr:col>24</xdr:col>
      <xdr:colOff>148590</xdr:colOff>
      <xdr:row>0</xdr:row>
      <xdr:rowOff>690245</xdr:rowOff>
    </xdr:to>
    <xdr:sp>
      <xdr:nvSpPr>
        <xdr:cNvPr id="23" name="矩形 22"/>
        <xdr:cNvSpPr>
          <a:spLocks noChangeAspect="1"/>
        </xdr:cNvSpPr>
      </xdr:nvSpPr>
      <xdr:spPr>
        <a:xfrm>
          <a:off x="67310" y="635"/>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5</xdr:col>
      <xdr:colOff>1170940</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1244600</xdr:colOff>
      <xdr:row>0</xdr:row>
      <xdr:rowOff>266700</xdr:rowOff>
    </xdr:from>
    <xdr:to>
      <xdr:col>6</xdr:col>
      <xdr:colOff>455295</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工资明细</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6</xdr:col>
      <xdr:colOff>528955</xdr:colOff>
      <xdr:row>0</xdr:row>
      <xdr:rowOff>266700</xdr:rowOff>
    </xdr:from>
    <xdr:to>
      <xdr:col>7</xdr:col>
      <xdr:colOff>434975</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508635</xdr:colOff>
      <xdr:row>0</xdr:row>
      <xdr:rowOff>266700</xdr:rowOff>
    </xdr:from>
    <xdr:to>
      <xdr:col>8</xdr:col>
      <xdr:colOff>414655</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467995</xdr:colOff>
      <xdr:row>0</xdr:row>
      <xdr:rowOff>266700</xdr:rowOff>
    </xdr:from>
    <xdr:to>
      <xdr:col>10</xdr:col>
      <xdr:colOff>374015</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488315</xdr:colOff>
      <xdr:row>0</xdr:row>
      <xdr:rowOff>266700</xdr:rowOff>
    </xdr:from>
    <xdr:to>
      <xdr:col>9</xdr:col>
      <xdr:colOff>394335</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447675</xdr:colOff>
      <xdr:row>0</xdr:row>
      <xdr:rowOff>266700</xdr:rowOff>
    </xdr:from>
    <xdr:to>
      <xdr:col>11</xdr:col>
      <xdr:colOff>353695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427355</xdr:colOff>
      <xdr:row>0</xdr:row>
      <xdr:rowOff>266700</xdr:rowOff>
    </xdr:from>
    <xdr:to>
      <xdr:col>12</xdr:col>
      <xdr:colOff>333375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407035</xdr:colOff>
      <xdr:row>0</xdr:row>
      <xdr:rowOff>266700</xdr:rowOff>
    </xdr:from>
    <xdr:to>
      <xdr:col>13</xdr:col>
      <xdr:colOff>313055</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366395</xdr:colOff>
      <xdr:row>0</xdr:row>
      <xdr:rowOff>266700</xdr:rowOff>
    </xdr:from>
    <xdr:to>
      <xdr:col>15</xdr:col>
      <xdr:colOff>272415</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346075</xdr:colOff>
      <xdr:row>0</xdr:row>
      <xdr:rowOff>266700</xdr:rowOff>
    </xdr:from>
    <xdr:to>
      <xdr:col>16</xdr:col>
      <xdr:colOff>252095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386715</xdr:colOff>
      <xdr:row>0</xdr:row>
      <xdr:rowOff>266700</xdr:rowOff>
    </xdr:from>
    <xdr:to>
      <xdr:col>14</xdr:col>
      <xdr:colOff>292735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6</xdr:col>
      <xdr:colOff>581025</xdr:colOff>
      <xdr:row>2</xdr:row>
      <xdr:rowOff>0</xdr:rowOff>
    </xdr:from>
    <xdr:to>
      <xdr:col>7</xdr:col>
      <xdr:colOff>488315</xdr:colOff>
      <xdr:row>2</xdr:row>
      <xdr:rowOff>314325</xdr:rowOff>
    </xdr:to>
    <xdr:sp macro="[0]!daochu_jian">
      <xdr:nvSpPr>
        <xdr:cNvPr id="6" name="剪去对角的矩形 5"/>
        <xdr:cNvSpPr/>
      </xdr:nvSpPr>
      <xdr:spPr>
        <a:xfrm>
          <a:off x="54768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16</xdr:col>
      <xdr:colOff>327025</xdr:colOff>
      <xdr:row>0</xdr:row>
      <xdr:rowOff>263525</xdr:rowOff>
    </xdr:from>
    <xdr:to>
      <xdr:col>17</xdr:col>
      <xdr:colOff>233045</xdr:colOff>
      <xdr:row>1</xdr:row>
      <xdr:rowOff>6350</xdr:rowOff>
    </xdr:to>
    <xdr:sp macro="[0]!goto_16">
      <xdr:nvSpPr>
        <xdr:cNvPr id="7" name="同侧圆角矩形 6">
          <a:hlinkClick xmlns:r="http://schemas.openxmlformats.org/officeDocument/2006/relationships" r:id="rId1"/>
        </xdr:cNvPr>
        <xdr:cNvSpPr>
          <a:spLocks noChangeAspect="1"/>
        </xdr:cNvSpPr>
      </xdr:nvSpPr>
      <xdr:spPr>
        <a:xfrm>
          <a:off x="1484312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8">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08">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652780</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考勤记录</a:t>
          </a:r>
          <a:endParaRPr lang="zh-CN" altLang="en-US" sz="1050" b="1">
            <a:solidFill>
              <a:schemeClr val="accent1">
                <a:lumMod val="75000"/>
              </a:schemeClr>
            </a:solidFill>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12</xdr:col>
      <xdr:colOff>77470</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151130</xdr:colOff>
      <xdr:row>0</xdr:row>
      <xdr:rowOff>266700</xdr:rowOff>
    </xdr:from>
    <xdr:to>
      <xdr:col>13</xdr:col>
      <xdr:colOff>333375</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407035</xdr:colOff>
      <xdr:row>0</xdr:row>
      <xdr:rowOff>266700</xdr:rowOff>
    </xdr:from>
    <xdr:to>
      <xdr:col>14</xdr:col>
      <xdr:colOff>589280</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16</xdr:col>
      <xdr:colOff>233045</xdr:colOff>
      <xdr:row>0</xdr:row>
      <xdr:rowOff>266700</xdr:rowOff>
    </xdr:from>
    <xdr:to>
      <xdr:col>17</xdr:col>
      <xdr:colOff>415290</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488950</xdr:colOff>
      <xdr:row>0</xdr:row>
      <xdr:rowOff>266700</xdr:rowOff>
    </xdr:from>
    <xdr:to>
      <xdr:col>18</xdr:col>
      <xdr:colOff>671195</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662940</xdr:colOff>
      <xdr:row>0</xdr:row>
      <xdr:rowOff>266700</xdr:rowOff>
    </xdr:from>
    <xdr:to>
      <xdr:col>16</xdr:col>
      <xdr:colOff>159385</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4</xdr:col>
      <xdr:colOff>619125</xdr:colOff>
      <xdr:row>2</xdr:row>
      <xdr:rowOff>0</xdr:rowOff>
    </xdr:from>
    <xdr:to>
      <xdr:col>5</xdr:col>
      <xdr:colOff>526415</xdr:colOff>
      <xdr:row>2</xdr:row>
      <xdr:rowOff>314325</xdr:rowOff>
    </xdr:to>
    <xdr:sp macro="[0]!daochu_jian">
      <xdr:nvSpPr>
        <xdr:cNvPr id="4" name="剪去对角的矩形 3"/>
        <xdr:cNvSpPr/>
      </xdr:nvSpPr>
      <xdr:spPr>
        <a:xfrm>
          <a:off x="2895600"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19</xdr:col>
      <xdr:colOff>50800</xdr:colOff>
      <xdr:row>0</xdr:row>
      <xdr:rowOff>263525</xdr:rowOff>
    </xdr:from>
    <xdr:to>
      <xdr:col>20</xdr:col>
      <xdr:colOff>233045</xdr:colOff>
      <xdr:row>1</xdr:row>
      <xdr:rowOff>6350</xdr:rowOff>
    </xdr:to>
    <xdr:sp macro="[0]!goto_16">
      <xdr:nvSpPr>
        <xdr:cNvPr id="5" name="同侧圆角矩形 4">
          <a:hlinkClick xmlns:r="http://schemas.openxmlformats.org/officeDocument/2006/relationships" r:id="rId1"/>
        </xdr:cNvPr>
        <xdr:cNvSpPr>
          <a:spLocks noChangeAspect="1"/>
        </xdr:cNvSpPr>
      </xdr:nvSpPr>
      <xdr:spPr>
        <a:xfrm>
          <a:off x="148336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6">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06">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06">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23</xdr:col>
      <xdr:colOff>405130</xdr:colOff>
      <xdr:row>0</xdr:row>
      <xdr:rowOff>689610</xdr:rowOff>
    </xdr:to>
    <xdr:sp>
      <xdr:nvSpPr>
        <xdr:cNvPr id="22" name="矩形 2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3" name="同侧圆角矩形 2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4" name="文本框 2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5" name="同侧圆角矩形 24"/>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6" name="同侧圆角矩形 2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7" name="同侧圆角矩形 2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28" name="同侧圆角矩形 2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29" name="同侧圆角矩形 28"/>
        <xdr:cNvSpPr>
          <a:spLocks noChangeAspect="1"/>
        </xdr:cNvSpPr>
      </xdr:nvSpPr>
      <xdr:spPr>
        <a:xfrm>
          <a:off x="636651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配置表</a:t>
          </a:r>
          <a:endParaRPr lang="zh-CN" altLang="en-US" sz="1050" b="1">
            <a:solidFill>
              <a:schemeClr val="accent1">
                <a:lumMod val="75000"/>
              </a:schemeClr>
            </a:solidFill>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30" name="同侧圆角矩形 2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31" name="同侧圆角矩形 3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11</xdr:col>
      <xdr:colOff>487045</xdr:colOff>
      <xdr:row>1</xdr:row>
      <xdr:rowOff>9525</xdr:rowOff>
    </xdr:to>
    <xdr:sp macro="[0]!goto_09">
      <xdr:nvSpPr>
        <xdr:cNvPr id="32" name="同侧圆角矩形 3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560705</xdr:colOff>
      <xdr:row>0</xdr:row>
      <xdr:rowOff>266700</xdr:rowOff>
    </xdr:from>
    <xdr:to>
      <xdr:col>12</xdr:col>
      <xdr:colOff>466725</xdr:colOff>
      <xdr:row>1</xdr:row>
      <xdr:rowOff>9525</xdr:rowOff>
    </xdr:to>
    <xdr:sp macro="[0]!goto_13">
      <xdr:nvSpPr>
        <xdr:cNvPr id="33" name="同侧圆角矩形 3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540385</xdr:colOff>
      <xdr:row>0</xdr:row>
      <xdr:rowOff>266700</xdr:rowOff>
    </xdr:from>
    <xdr:to>
      <xdr:col>13</xdr:col>
      <xdr:colOff>446405</xdr:colOff>
      <xdr:row>1</xdr:row>
      <xdr:rowOff>9525</xdr:rowOff>
    </xdr:to>
    <xdr:sp macro="[0]!goto_14">
      <xdr:nvSpPr>
        <xdr:cNvPr id="34" name="同侧圆角矩形 3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499745</xdr:colOff>
      <xdr:row>0</xdr:row>
      <xdr:rowOff>266700</xdr:rowOff>
    </xdr:from>
    <xdr:to>
      <xdr:col>15</xdr:col>
      <xdr:colOff>405765</xdr:colOff>
      <xdr:row>1</xdr:row>
      <xdr:rowOff>9525</xdr:rowOff>
    </xdr:to>
    <xdr:sp macro="[0]!goto_16">
      <xdr:nvSpPr>
        <xdr:cNvPr id="35" name="同侧圆角矩形 3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479425</xdr:colOff>
      <xdr:row>0</xdr:row>
      <xdr:rowOff>266700</xdr:rowOff>
    </xdr:from>
    <xdr:to>
      <xdr:col>16</xdr:col>
      <xdr:colOff>385445</xdr:colOff>
      <xdr:row>1</xdr:row>
      <xdr:rowOff>9525</xdr:rowOff>
    </xdr:to>
    <xdr:sp macro="[0]!goto_17">
      <xdr:nvSpPr>
        <xdr:cNvPr id="36" name="同侧圆角矩形 3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520065</xdr:colOff>
      <xdr:row>0</xdr:row>
      <xdr:rowOff>266700</xdr:rowOff>
    </xdr:from>
    <xdr:to>
      <xdr:col>14</xdr:col>
      <xdr:colOff>426085</xdr:colOff>
      <xdr:row>1</xdr:row>
      <xdr:rowOff>9525</xdr:rowOff>
    </xdr:to>
    <xdr:sp macro="[0]!goto_15">
      <xdr:nvSpPr>
        <xdr:cNvPr id="37" name="同侧圆角矩形 3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16</xdr:col>
      <xdr:colOff>454025</xdr:colOff>
      <xdr:row>0</xdr:row>
      <xdr:rowOff>276225</xdr:rowOff>
    </xdr:from>
    <xdr:to>
      <xdr:col>17</xdr:col>
      <xdr:colOff>360045</xdr:colOff>
      <xdr:row>1</xdr:row>
      <xdr:rowOff>19050</xdr:rowOff>
    </xdr:to>
    <xdr:sp macro="[0]!goto_16">
      <xdr:nvSpPr>
        <xdr:cNvPr id="5" name="同侧圆角矩形 4">
          <a:hlinkClick xmlns:r="http://schemas.openxmlformats.org/officeDocument/2006/relationships" r:id="rId1"/>
        </xdr:cNvPr>
        <xdr:cNvSpPr>
          <a:spLocks noChangeAspect="1"/>
        </xdr:cNvSpPr>
      </xdr:nvSpPr>
      <xdr:spPr>
        <a:xfrm>
          <a:off x="14836775" y="2762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1">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henpi_11">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审批</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4</xdr:col>
      <xdr:colOff>1510665</xdr:colOff>
      <xdr:row>2</xdr:row>
      <xdr:rowOff>314325</xdr:rowOff>
    </xdr:to>
    <xdr:sp macro="[0]!tiaojian_select_11">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643255</xdr:colOff>
      <xdr:row>0</xdr:row>
      <xdr:rowOff>689610</xdr:rowOff>
    </xdr:to>
    <xdr:sp>
      <xdr:nvSpPr>
        <xdr:cNvPr id="22" name="矩形 2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3" name="同侧圆角矩形 2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4" name="文本框 2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4</xdr:col>
      <xdr:colOff>1191260</xdr:colOff>
      <xdr:row>1</xdr:row>
      <xdr:rowOff>9525</xdr:rowOff>
    </xdr:to>
    <xdr:sp macro="[0]!goto_07">
      <xdr:nvSpPr>
        <xdr:cNvPr id="25" name="同侧圆角矩形 24"/>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1264920</xdr:colOff>
      <xdr:row>0</xdr:row>
      <xdr:rowOff>266700</xdr:rowOff>
    </xdr:from>
    <xdr:to>
      <xdr:col>5</xdr:col>
      <xdr:colOff>589915</xdr:colOff>
      <xdr:row>1</xdr:row>
      <xdr:rowOff>9525</xdr:rowOff>
    </xdr:to>
    <xdr:sp macro="[0]!goto_04">
      <xdr:nvSpPr>
        <xdr:cNvPr id="26" name="同侧圆角矩形 2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663575</xdr:colOff>
      <xdr:row>0</xdr:row>
      <xdr:rowOff>266700</xdr:rowOff>
    </xdr:from>
    <xdr:to>
      <xdr:col>6</xdr:col>
      <xdr:colOff>569595</xdr:colOff>
      <xdr:row>1</xdr:row>
      <xdr:rowOff>9525</xdr:rowOff>
    </xdr:to>
    <xdr:sp macro="[0]!goto_10">
      <xdr:nvSpPr>
        <xdr:cNvPr id="27" name="同侧圆角矩形 2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643255</xdr:colOff>
      <xdr:row>0</xdr:row>
      <xdr:rowOff>266700</xdr:rowOff>
    </xdr:from>
    <xdr:to>
      <xdr:col>7</xdr:col>
      <xdr:colOff>549275</xdr:colOff>
      <xdr:row>1</xdr:row>
      <xdr:rowOff>9525</xdr:rowOff>
    </xdr:to>
    <xdr:sp macro="[0]!goto_08">
      <xdr:nvSpPr>
        <xdr:cNvPr id="28" name="同侧圆角矩形 2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622935</xdr:colOff>
      <xdr:row>0</xdr:row>
      <xdr:rowOff>266700</xdr:rowOff>
    </xdr:from>
    <xdr:to>
      <xdr:col>7</xdr:col>
      <xdr:colOff>1490980</xdr:colOff>
      <xdr:row>1</xdr:row>
      <xdr:rowOff>9525</xdr:rowOff>
    </xdr:to>
    <xdr:sp macro="[0]!goto_06">
      <xdr:nvSpPr>
        <xdr:cNvPr id="29" name="同侧圆角矩形 2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315595</xdr:colOff>
      <xdr:row>0</xdr:row>
      <xdr:rowOff>266700</xdr:rowOff>
    </xdr:from>
    <xdr:to>
      <xdr:col>10</xdr:col>
      <xdr:colOff>497840</xdr:colOff>
      <xdr:row>1</xdr:row>
      <xdr:rowOff>9525</xdr:rowOff>
    </xdr:to>
    <xdr:sp macro="[0]!goto_12">
      <xdr:nvSpPr>
        <xdr:cNvPr id="30" name="同侧圆角矩形 2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59690</xdr:colOff>
      <xdr:row>0</xdr:row>
      <xdr:rowOff>266700</xdr:rowOff>
    </xdr:from>
    <xdr:to>
      <xdr:col>9</xdr:col>
      <xdr:colOff>241935</xdr:colOff>
      <xdr:row>1</xdr:row>
      <xdr:rowOff>9525</xdr:rowOff>
    </xdr:to>
    <xdr:sp macro="[0]!goto_11">
      <xdr:nvSpPr>
        <xdr:cNvPr id="31" name="同侧圆角矩形 30"/>
        <xdr:cNvSpPr>
          <a:spLocks noChangeAspect="1"/>
        </xdr:cNvSpPr>
      </xdr:nvSpPr>
      <xdr:spPr>
        <a:xfrm>
          <a:off x="730821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报盘</a:t>
          </a:r>
          <a:endParaRPr lang="zh-CN" altLang="en-US" sz="1050" b="1">
            <a:solidFill>
              <a:schemeClr val="accent1">
                <a:lumMod val="75000"/>
              </a:schemeClr>
            </a:solidFill>
            <a:latin typeface="+mn-ea"/>
          </a:endParaRPr>
        </a:p>
      </xdr:txBody>
    </xdr:sp>
    <xdr:clientData/>
  </xdr:twoCellAnchor>
  <xdr:twoCellAnchor editAs="absolute">
    <xdr:from>
      <xdr:col>10</xdr:col>
      <xdr:colOff>571500</xdr:colOff>
      <xdr:row>0</xdr:row>
      <xdr:rowOff>266700</xdr:rowOff>
    </xdr:from>
    <xdr:to>
      <xdr:col>12</xdr:col>
      <xdr:colOff>67945</xdr:colOff>
      <xdr:row>1</xdr:row>
      <xdr:rowOff>9525</xdr:rowOff>
    </xdr:to>
    <xdr:sp macro="[0]!goto_09">
      <xdr:nvSpPr>
        <xdr:cNvPr id="32" name="同侧圆角矩形 3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141605</xdr:colOff>
      <xdr:row>0</xdr:row>
      <xdr:rowOff>266700</xdr:rowOff>
    </xdr:from>
    <xdr:to>
      <xdr:col>13</xdr:col>
      <xdr:colOff>323850</xdr:colOff>
      <xdr:row>1</xdr:row>
      <xdr:rowOff>9525</xdr:rowOff>
    </xdr:to>
    <xdr:sp macro="[0]!goto_13">
      <xdr:nvSpPr>
        <xdr:cNvPr id="33" name="同侧圆角矩形 3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397510</xdr:colOff>
      <xdr:row>0</xdr:row>
      <xdr:rowOff>266700</xdr:rowOff>
    </xdr:from>
    <xdr:to>
      <xdr:col>14</xdr:col>
      <xdr:colOff>579755</xdr:colOff>
      <xdr:row>1</xdr:row>
      <xdr:rowOff>9525</xdr:rowOff>
    </xdr:to>
    <xdr:sp macro="[0]!goto_14">
      <xdr:nvSpPr>
        <xdr:cNvPr id="34" name="同侧圆角矩形 3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16</xdr:col>
      <xdr:colOff>223520</xdr:colOff>
      <xdr:row>0</xdr:row>
      <xdr:rowOff>266700</xdr:rowOff>
    </xdr:from>
    <xdr:to>
      <xdr:col>17</xdr:col>
      <xdr:colOff>405765</xdr:colOff>
      <xdr:row>1</xdr:row>
      <xdr:rowOff>9525</xdr:rowOff>
    </xdr:to>
    <xdr:sp macro="[0]!goto_16">
      <xdr:nvSpPr>
        <xdr:cNvPr id="35" name="同侧圆角矩形 3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479425</xdr:colOff>
      <xdr:row>0</xdr:row>
      <xdr:rowOff>266700</xdr:rowOff>
    </xdr:from>
    <xdr:to>
      <xdr:col>18</xdr:col>
      <xdr:colOff>661670</xdr:colOff>
      <xdr:row>1</xdr:row>
      <xdr:rowOff>9525</xdr:rowOff>
    </xdr:to>
    <xdr:sp macro="[0]!goto_17">
      <xdr:nvSpPr>
        <xdr:cNvPr id="36" name="同侧圆角矩形 3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653415</xdr:colOff>
      <xdr:row>0</xdr:row>
      <xdr:rowOff>266700</xdr:rowOff>
    </xdr:from>
    <xdr:to>
      <xdr:col>16</xdr:col>
      <xdr:colOff>149860</xdr:colOff>
      <xdr:row>1</xdr:row>
      <xdr:rowOff>9525</xdr:rowOff>
    </xdr:to>
    <xdr:sp macro="[0]!goto_15">
      <xdr:nvSpPr>
        <xdr:cNvPr id="37" name="同侧圆角矩形 3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5</xdr:col>
      <xdr:colOff>390525</xdr:colOff>
      <xdr:row>2</xdr:row>
      <xdr:rowOff>12700</xdr:rowOff>
    </xdr:from>
    <xdr:to>
      <xdr:col>6</xdr:col>
      <xdr:colOff>297815</xdr:colOff>
      <xdr:row>2</xdr:row>
      <xdr:rowOff>327025</xdr:rowOff>
    </xdr:to>
    <xdr:sp macro="[0]!daochu_jian">
      <xdr:nvSpPr>
        <xdr:cNvPr id="5" name="剪去对角的矩形 4"/>
        <xdr:cNvSpPr/>
      </xdr:nvSpPr>
      <xdr:spPr>
        <a:xfrm>
          <a:off x="4210050" y="12160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19</xdr:col>
      <xdr:colOff>53975</xdr:colOff>
      <xdr:row>0</xdr:row>
      <xdr:rowOff>276225</xdr:rowOff>
    </xdr:from>
    <xdr:to>
      <xdr:col>20</xdr:col>
      <xdr:colOff>236220</xdr:colOff>
      <xdr:row>1</xdr:row>
      <xdr:rowOff>19050</xdr:rowOff>
    </xdr:to>
    <xdr:sp macro="[0]!goto_16">
      <xdr:nvSpPr>
        <xdr:cNvPr id="6" name="同侧圆角矩形 5">
          <a:hlinkClick xmlns:r="http://schemas.openxmlformats.org/officeDocument/2006/relationships" r:id="rId1"/>
        </xdr:cNvPr>
        <xdr:cNvSpPr>
          <a:spLocks noChangeAspect="1"/>
        </xdr:cNvSpPr>
      </xdr:nvSpPr>
      <xdr:spPr>
        <a:xfrm>
          <a:off x="14846300" y="2762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9525</xdr:colOff>
      <xdr:row>2</xdr:row>
      <xdr:rowOff>0</xdr:rowOff>
    </xdr:from>
    <xdr:to>
      <xdr:col>2</xdr:col>
      <xdr:colOff>878840</xdr:colOff>
      <xdr:row>2</xdr:row>
      <xdr:rowOff>314325</xdr:rowOff>
    </xdr:to>
    <xdr:sp macro="[0]!select_12">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330200</xdr:colOff>
      <xdr:row>2</xdr:row>
      <xdr:rowOff>0</xdr:rowOff>
    </xdr:from>
    <xdr:to>
      <xdr:col>4</xdr:col>
      <xdr:colOff>237490</xdr:colOff>
      <xdr:row>2</xdr:row>
      <xdr:rowOff>314325</xdr:rowOff>
    </xdr:to>
    <xdr:sp macro="[0]!save_12">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650875</xdr:colOff>
      <xdr:row>2</xdr:row>
      <xdr:rowOff>0</xdr:rowOff>
    </xdr:from>
    <xdr:to>
      <xdr:col>5</xdr:col>
      <xdr:colOff>558165</xdr:colOff>
      <xdr:row>2</xdr:row>
      <xdr:rowOff>314325</xdr:rowOff>
    </xdr:to>
    <xdr:sp macro="[0]!delete_12">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9525</xdr:colOff>
      <xdr:row>2</xdr:row>
      <xdr:rowOff>0</xdr:rowOff>
    </xdr:from>
    <xdr:to>
      <xdr:col>6</xdr:col>
      <xdr:colOff>878840</xdr:colOff>
      <xdr:row>2</xdr:row>
      <xdr:rowOff>314325</xdr:rowOff>
    </xdr:to>
    <xdr:sp macro="[0]!tiaojian_select_12">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31</xdr:col>
      <xdr:colOff>128905</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353060</xdr:colOff>
      <xdr:row>0</xdr:row>
      <xdr:rowOff>266700</xdr:rowOff>
    </xdr:from>
    <xdr:to>
      <xdr:col>4</xdr:col>
      <xdr:colOff>259080</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351155</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332740</xdr:colOff>
      <xdr:row>0</xdr:row>
      <xdr:rowOff>266700</xdr:rowOff>
    </xdr:from>
    <xdr:to>
      <xdr:col>5</xdr:col>
      <xdr:colOff>238760</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312420</xdr:colOff>
      <xdr:row>0</xdr:row>
      <xdr:rowOff>266700</xdr:rowOff>
    </xdr:from>
    <xdr:to>
      <xdr:col>6</xdr:col>
      <xdr:colOff>218440</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292100</xdr:colOff>
      <xdr:row>0</xdr:row>
      <xdr:rowOff>266700</xdr:rowOff>
    </xdr:from>
    <xdr:to>
      <xdr:col>7</xdr:col>
      <xdr:colOff>198120</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271780</xdr:colOff>
      <xdr:row>0</xdr:row>
      <xdr:rowOff>266700</xdr:rowOff>
    </xdr:from>
    <xdr:to>
      <xdr:col>8</xdr:col>
      <xdr:colOff>177800</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251460</xdr:colOff>
      <xdr:row>0</xdr:row>
      <xdr:rowOff>266700</xdr:rowOff>
    </xdr:from>
    <xdr:to>
      <xdr:col>9</xdr:col>
      <xdr:colOff>157480</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487045</xdr:colOff>
      <xdr:row>0</xdr:row>
      <xdr:rowOff>266700</xdr:rowOff>
    </xdr:from>
    <xdr:to>
      <xdr:col>11</xdr:col>
      <xdr:colOff>669290</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审批记录</a:t>
          </a:r>
          <a:endParaRPr lang="zh-CN" altLang="en-US" sz="1050" b="1">
            <a:solidFill>
              <a:schemeClr val="accent1">
                <a:lumMod val="75000"/>
              </a:schemeClr>
            </a:solidFill>
            <a:latin typeface="+mn-ea"/>
          </a:endParaRPr>
        </a:p>
      </xdr:txBody>
    </xdr:sp>
    <xdr:clientData/>
  </xdr:twoCellAnchor>
  <xdr:twoCellAnchor editAs="absolute">
    <xdr:from>
      <xdr:col>9</xdr:col>
      <xdr:colOff>231140</xdr:colOff>
      <xdr:row>0</xdr:row>
      <xdr:rowOff>266700</xdr:rowOff>
    </xdr:from>
    <xdr:to>
      <xdr:col>10</xdr:col>
      <xdr:colOff>413385</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12</xdr:col>
      <xdr:colOff>57150</xdr:colOff>
      <xdr:row>0</xdr:row>
      <xdr:rowOff>266700</xdr:rowOff>
    </xdr:from>
    <xdr:to>
      <xdr:col>13</xdr:col>
      <xdr:colOff>239395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13</xdr:col>
      <xdr:colOff>313055</xdr:colOff>
      <xdr:row>0</xdr:row>
      <xdr:rowOff>266700</xdr:rowOff>
    </xdr:from>
    <xdr:to>
      <xdr:col>14</xdr:col>
      <xdr:colOff>495300</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14</xdr:col>
      <xdr:colOff>568960</xdr:colOff>
      <xdr:row>0</xdr:row>
      <xdr:rowOff>266700</xdr:rowOff>
    </xdr:from>
    <xdr:to>
      <xdr:col>16</xdr:col>
      <xdr:colOff>65405</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17</xdr:col>
      <xdr:colOff>394970</xdr:colOff>
      <xdr:row>0</xdr:row>
      <xdr:rowOff>266700</xdr:rowOff>
    </xdr:from>
    <xdr:to>
      <xdr:col>18</xdr:col>
      <xdr:colOff>577215</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18</xdr:col>
      <xdr:colOff>650875</xdr:colOff>
      <xdr:row>0</xdr:row>
      <xdr:rowOff>266700</xdr:rowOff>
    </xdr:from>
    <xdr:to>
      <xdr:col>20</xdr:col>
      <xdr:colOff>147320</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16</xdr:col>
      <xdr:colOff>139065</xdr:colOff>
      <xdr:row>0</xdr:row>
      <xdr:rowOff>266700</xdr:rowOff>
    </xdr:from>
    <xdr:to>
      <xdr:col>17</xdr:col>
      <xdr:colOff>321310</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20</xdr:col>
      <xdr:colOff>238125</xdr:colOff>
      <xdr:row>0</xdr:row>
      <xdr:rowOff>263525</xdr:rowOff>
    </xdr:from>
    <xdr:to>
      <xdr:col>21</xdr:col>
      <xdr:colOff>420370</xdr:colOff>
      <xdr:row>1</xdr:row>
      <xdr:rowOff>6350</xdr:rowOff>
    </xdr:to>
    <xdr:sp macro="[0]!goto_16">
      <xdr:nvSpPr>
        <xdr:cNvPr id="6" name="同侧圆角矩形 5">
          <a:hlinkClick xmlns:r="http://schemas.openxmlformats.org/officeDocument/2006/relationships" r:id="rId1"/>
        </xdr:cNvPr>
        <xdr:cNvSpPr>
          <a:spLocks noChangeAspect="1"/>
        </xdr:cNvSpPr>
      </xdr:nvSpPr>
      <xdr:spPr>
        <a:xfrm>
          <a:off x="148590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9">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09">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4</xdr:col>
      <xdr:colOff>1510665</xdr:colOff>
      <xdr:row>2</xdr:row>
      <xdr:rowOff>314325</xdr:rowOff>
    </xdr:to>
    <xdr:sp macro="[0]!delete_09">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180975</xdr:colOff>
      <xdr:row>2</xdr:row>
      <xdr:rowOff>0</xdr:rowOff>
    </xdr:from>
    <xdr:to>
      <xdr:col>5</xdr:col>
      <xdr:colOff>1050290</xdr:colOff>
      <xdr:row>2</xdr:row>
      <xdr:rowOff>314325</xdr:rowOff>
    </xdr:to>
    <xdr:sp macro="[0]!tiaojian_select_09">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27</xdr:col>
      <xdr:colOff>557530</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4</xdr:col>
      <xdr:colOff>1191260</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1264920</xdr:colOff>
      <xdr:row>0</xdr:row>
      <xdr:rowOff>266700</xdr:rowOff>
    </xdr:from>
    <xdr:to>
      <xdr:col>5</xdr:col>
      <xdr:colOff>389890</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463550</xdr:colOff>
      <xdr:row>0</xdr:row>
      <xdr:rowOff>266700</xdr:rowOff>
    </xdr:from>
    <xdr:to>
      <xdr:col>5</xdr:col>
      <xdr:colOff>1331595</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33655</xdr:colOff>
      <xdr:row>0</xdr:row>
      <xdr:rowOff>266700</xdr:rowOff>
    </xdr:from>
    <xdr:to>
      <xdr:col>6</xdr:col>
      <xdr:colOff>901700</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13335</xdr:colOff>
      <xdr:row>0</xdr:row>
      <xdr:rowOff>266700</xdr:rowOff>
    </xdr:from>
    <xdr:to>
      <xdr:col>7</xdr:col>
      <xdr:colOff>881380</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8</xdr:col>
      <xdr:colOff>934720</xdr:colOff>
      <xdr:row>0</xdr:row>
      <xdr:rowOff>266700</xdr:rowOff>
    </xdr:from>
    <xdr:to>
      <xdr:col>9</xdr:col>
      <xdr:colOff>278765</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7</xdr:col>
      <xdr:colOff>955040</xdr:colOff>
      <xdr:row>0</xdr:row>
      <xdr:rowOff>266700</xdr:rowOff>
    </xdr:from>
    <xdr:to>
      <xdr:col>8</xdr:col>
      <xdr:colOff>861060</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9</xdr:col>
      <xdr:colOff>352425</xdr:colOff>
      <xdr:row>0</xdr:row>
      <xdr:rowOff>266700</xdr:rowOff>
    </xdr:from>
    <xdr:to>
      <xdr:col>10</xdr:col>
      <xdr:colOff>258445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10</xdr:col>
      <xdr:colOff>332105</xdr:colOff>
      <xdr:row>0</xdr:row>
      <xdr:rowOff>266700</xdr:rowOff>
    </xdr:from>
    <xdr:to>
      <xdr:col>11</xdr:col>
      <xdr:colOff>238125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11</xdr:col>
      <xdr:colOff>311785</xdr:colOff>
      <xdr:row>0</xdr:row>
      <xdr:rowOff>266700</xdr:rowOff>
    </xdr:from>
    <xdr:to>
      <xdr:col>12</xdr:col>
      <xdr:colOff>494030</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137795</xdr:colOff>
      <xdr:row>0</xdr:row>
      <xdr:rowOff>266700</xdr:rowOff>
    </xdr:from>
    <xdr:to>
      <xdr:col>15</xdr:col>
      <xdr:colOff>320040</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393700</xdr:colOff>
      <xdr:row>0</xdr:row>
      <xdr:rowOff>266700</xdr:rowOff>
    </xdr:from>
    <xdr:to>
      <xdr:col>16</xdr:col>
      <xdr:colOff>575945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12</xdr:col>
      <xdr:colOff>567690</xdr:colOff>
      <xdr:row>0</xdr:row>
      <xdr:rowOff>266700</xdr:rowOff>
    </xdr:from>
    <xdr:to>
      <xdr:col>14</xdr:col>
      <xdr:colOff>64135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16</xdr:col>
      <xdr:colOff>647700</xdr:colOff>
      <xdr:row>0</xdr:row>
      <xdr:rowOff>263525</xdr:rowOff>
    </xdr:from>
    <xdr:to>
      <xdr:col>18</xdr:col>
      <xdr:colOff>144145</xdr:colOff>
      <xdr:row>1</xdr:row>
      <xdr:rowOff>6350</xdr:rowOff>
    </xdr:to>
    <xdr:sp macro="[0]!goto_16">
      <xdr:nvSpPr>
        <xdr:cNvPr id="6" name="同侧圆角矩形 5">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6</xdr:col>
      <xdr:colOff>111125</xdr:colOff>
      <xdr:row>2</xdr:row>
      <xdr:rowOff>0</xdr:rowOff>
    </xdr:from>
    <xdr:to>
      <xdr:col>7</xdr:col>
      <xdr:colOff>18415</xdr:colOff>
      <xdr:row>2</xdr:row>
      <xdr:rowOff>314325</xdr:rowOff>
    </xdr:to>
    <xdr:sp macro="[0]!daochu_jian">
      <xdr:nvSpPr>
        <xdr:cNvPr id="7" name="剪去对角的矩形 6"/>
        <xdr:cNvSpPr/>
      </xdr:nvSpPr>
      <xdr:spPr>
        <a:xfrm>
          <a:off x="55022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3">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3">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24</xdr:col>
      <xdr:colOff>776605</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201295</xdr:colOff>
      <xdr:row>0</xdr:row>
      <xdr:rowOff>266700</xdr:rowOff>
    </xdr:from>
    <xdr:to>
      <xdr:col>11</xdr:col>
      <xdr:colOff>107315</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10</xdr:col>
      <xdr:colOff>127635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11</xdr:col>
      <xdr:colOff>180975</xdr:colOff>
      <xdr:row>0</xdr:row>
      <xdr:rowOff>266700</xdr:rowOff>
    </xdr:from>
    <xdr:to>
      <xdr:col>12</xdr:col>
      <xdr:colOff>86995</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160655</xdr:colOff>
      <xdr:row>0</xdr:row>
      <xdr:rowOff>266700</xdr:rowOff>
    </xdr:from>
    <xdr:to>
      <xdr:col>13</xdr:col>
      <xdr:colOff>66675</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部门汇总</a:t>
          </a:r>
          <a:endParaRPr lang="zh-CN" altLang="en-US" sz="1050" b="1">
            <a:solidFill>
              <a:schemeClr val="accent1">
                <a:lumMod val="75000"/>
              </a:schemeClr>
            </a:solidFill>
            <a:latin typeface="+mn-ea"/>
          </a:endParaRPr>
        </a:p>
      </xdr:txBody>
    </xdr:sp>
    <xdr:clientData/>
  </xdr:twoCellAnchor>
  <xdr:twoCellAnchor editAs="absolute">
    <xdr:from>
      <xdr:col>13</xdr:col>
      <xdr:colOff>140335</xdr:colOff>
      <xdr:row>0</xdr:row>
      <xdr:rowOff>266700</xdr:rowOff>
    </xdr:from>
    <xdr:to>
      <xdr:col>14</xdr:col>
      <xdr:colOff>46355</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99695</xdr:colOff>
      <xdr:row>0</xdr:row>
      <xdr:rowOff>266700</xdr:rowOff>
    </xdr:from>
    <xdr:to>
      <xdr:col>16</xdr:col>
      <xdr:colOff>5715</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79375</xdr:colOff>
      <xdr:row>0</xdr:row>
      <xdr:rowOff>266700</xdr:rowOff>
    </xdr:from>
    <xdr:to>
      <xdr:col>16</xdr:col>
      <xdr:colOff>947420</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120015</xdr:colOff>
      <xdr:row>0</xdr:row>
      <xdr:rowOff>266700</xdr:rowOff>
    </xdr:from>
    <xdr:to>
      <xdr:col>15</xdr:col>
      <xdr:colOff>26035</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17</xdr:col>
      <xdr:colOff>50800</xdr:colOff>
      <xdr:row>0</xdr:row>
      <xdr:rowOff>263525</xdr:rowOff>
    </xdr:from>
    <xdr:to>
      <xdr:col>17</xdr:col>
      <xdr:colOff>918845</xdr:colOff>
      <xdr:row>1</xdr:row>
      <xdr:rowOff>6350</xdr:rowOff>
    </xdr:to>
    <xdr:sp macro="[0]!goto_16">
      <xdr:nvSpPr>
        <xdr:cNvPr id="4" name="同侧圆角矩形 3">
          <a:hlinkClick xmlns:r="http://schemas.openxmlformats.org/officeDocument/2006/relationships" r:id="rId1"/>
        </xdr:cNvPr>
        <xdr:cNvSpPr>
          <a:spLocks noChangeAspect="1"/>
        </xdr:cNvSpPr>
      </xdr:nvSpPr>
      <xdr:spPr>
        <a:xfrm>
          <a:off x="148336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4</xdr:col>
      <xdr:colOff>584200</xdr:colOff>
      <xdr:row>2</xdr:row>
      <xdr:rowOff>0</xdr:rowOff>
    </xdr:from>
    <xdr:to>
      <xdr:col>5</xdr:col>
      <xdr:colOff>491490</xdr:colOff>
      <xdr:row>2</xdr:row>
      <xdr:rowOff>314325</xdr:rowOff>
    </xdr:to>
    <xdr:sp macro="[0]!daochu_jian">
      <xdr:nvSpPr>
        <xdr:cNvPr id="5" name="剪去对角的矩形 4"/>
        <xdr:cNvSpPr/>
      </xdr:nvSpPr>
      <xdr:spPr>
        <a:xfrm>
          <a:off x="28606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4">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4">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386080</xdr:colOff>
      <xdr:row>0</xdr:row>
      <xdr:rowOff>689610</xdr:rowOff>
    </xdr:to>
    <xdr:sp>
      <xdr:nvSpPr>
        <xdr:cNvPr id="22" name="矩形 2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3" name="同侧圆角矩形 2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4" name="文本框 2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5" name="同侧圆角矩形 24"/>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6" name="同侧圆角矩形 2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7" name="同侧圆角矩形 2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8" name="同侧圆角矩形 2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29" name="同侧圆角矩形 2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201295</xdr:colOff>
      <xdr:row>0</xdr:row>
      <xdr:rowOff>266700</xdr:rowOff>
    </xdr:from>
    <xdr:to>
      <xdr:col>11</xdr:col>
      <xdr:colOff>107315</xdr:colOff>
      <xdr:row>1</xdr:row>
      <xdr:rowOff>9525</xdr:rowOff>
    </xdr:to>
    <xdr:sp macro="[0]!goto_12">
      <xdr:nvSpPr>
        <xdr:cNvPr id="30" name="同侧圆角矩形 2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10</xdr:col>
      <xdr:colOff>127635</xdr:colOff>
      <xdr:row>1</xdr:row>
      <xdr:rowOff>9525</xdr:rowOff>
    </xdr:to>
    <xdr:sp macro="[0]!goto_11">
      <xdr:nvSpPr>
        <xdr:cNvPr id="31" name="同侧圆角矩形 3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11</xdr:col>
      <xdr:colOff>180975</xdr:colOff>
      <xdr:row>0</xdr:row>
      <xdr:rowOff>266700</xdr:rowOff>
    </xdr:from>
    <xdr:to>
      <xdr:col>12</xdr:col>
      <xdr:colOff>86995</xdr:colOff>
      <xdr:row>1</xdr:row>
      <xdr:rowOff>9525</xdr:rowOff>
    </xdr:to>
    <xdr:sp macro="[0]!goto_09">
      <xdr:nvSpPr>
        <xdr:cNvPr id="32" name="同侧圆角矩形 3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160655</xdr:colOff>
      <xdr:row>0</xdr:row>
      <xdr:rowOff>266700</xdr:rowOff>
    </xdr:from>
    <xdr:to>
      <xdr:col>13</xdr:col>
      <xdr:colOff>66675</xdr:colOff>
      <xdr:row>1</xdr:row>
      <xdr:rowOff>9525</xdr:rowOff>
    </xdr:to>
    <xdr:sp macro="[0]!goto_13">
      <xdr:nvSpPr>
        <xdr:cNvPr id="33" name="同侧圆角矩形 3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140335</xdr:colOff>
      <xdr:row>0</xdr:row>
      <xdr:rowOff>266700</xdr:rowOff>
    </xdr:from>
    <xdr:to>
      <xdr:col>14</xdr:col>
      <xdr:colOff>322580</xdr:colOff>
      <xdr:row>1</xdr:row>
      <xdr:rowOff>9525</xdr:rowOff>
    </xdr:to>
    <xdr:sp macro="[0]!goto_14">
      <xdr:nvSpPr>
        <xdr:cNvPr id="34" name="同侧圆角矩形 33"/>
        <xdr:cNvSpPr>
          <a:spLocks noChangeAspect="1"/>
        </xdr:cNvSpPr>
      </xdr:nvSpPr>
      <xdr:spPr>
        <a:xfrm>
          <a:off x="1107503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社保</a:t>
          </a:r>
          <a:endParaRPr lang="zh-CN" altLang="en-US" sz="1050" b="1">
            <a:solidFill>
              <a:schemeClr val="accent1">
                <a:lumMod val="75000"/>
              </a:schemeClr>
            </a:solidFill>
            <a:latin typeface="+mn-ea"/>
          </a:endParaRPr>
        </a:p>
      </xdr:txBody>
    </xdr:sp>
    <xdr:clientData/>
  </xdr:twoCellAnchor>
  <xdr:twoCellAnchor editAs="absolute">
    <xdr:from>
      <xdr:col>15</xdr:col>
      <xdr:colOff>652145</xdr:colOff>
      <xdr:row>0</xdr:row>
      <xdr:rowOff>266700</xdr:rowOff>
    </xdr:from>
    <xdr:to>
      <xdr:col>17</xdr:col>
      <xdr:colOff>148590</xdr:colOff>
      <xdr:row>1</xdr:row>
      <xdr:rowOff>9525</xdr:rowOff>
    </xdr:to>
    <xdr:sp macro="[0]!goto_16">
      <xdr:nvSpPr>
        <xdr:cNvPr id="35" name="同侧圆角矩形 3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222250</xdr:colOff>
      <xdr:row>0</xdr:row>
      <xdr:rowOff>266700</xdr:rowOff>
    </xdr:from>
    <xdr:to>
      <xdr:col>18</xdr:col>
      <xdr:colOff>404495</xdr:colOff>
      <xdr:row>1</xdr:row>
      <xdr:rowOff>9525</xdr:rowOff>
    </xdr:to>
    <xdr:sp macro="[0]!goto_17">
      <xdr:nvSpPr>
        <xdr:cNvPr id="36" name="同侧圆角矩形 3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396240</xdr:colOff>
      <xdr:row>0</xdr:row>
      <xdr:rowOff>266700</xdr:rowOff>
    </xdr:from>
    <xdr:to>
      <xdr:col>15</xdr:col>
      <xdr:colOff>578485</xdr:colOff>
      <xdr:row>1</xdr:row>
      <xdr:rowOff>9525</xdr:rowOff>
    </xdr:to>
    <xdr:sp macro="[0]!goto_15">
      <xdr:nvSpPr>
        <xdr:cNvPr id="37" name="同侧圆角矩形 3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18</xdr:col>
      <xdr:colOff>482600</xdr:colOff>
      <xdr:row>0</xdr:row>
      <xdr:rowOff>263525</xdr:rowOff>
    </xdr:from>
    <xdr:to>
      <xdr:col>19</xdr:col>
      <xdr:colOff>664845</xdr:colOff>
      <xdr:row>1</xdr:row>
      <xdr:rowOff>6350</xdr:rowOff>
    </xdr:to>
    <xdr:sp macro="[0]!goto_16">
      <xdr:nvSpPr>
        <xdr:cNvPr id="4" name="同侧圆角矩形 3">
          <a:hlinkClick xmlns:r="http://schemas.openxmlformats.org/officeDocument/2006/relationships" r:id="rId1"/>
        </xdr:cNvPr>
        <xdr:cNvSpPr>
          <a:spLocks noChangeAspect="1"/>
        </xdr:cNvSpPr>
      </xdr:nvSpPr>
      <xdr:spPr>
        <a:xfrm>
          <a:off x="148463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5">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5">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24</xdr:col>
      <xdr:colOff>776605</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201295</xdr:colOff>
      <xdr:row>0</xdr:row>
      <xdr:rowOff>266700</xdr:rowOff>
    </xdr:from>
    <xdr:to>
      <xdr:col>11</xdr:col>
      <xdr:colOff>107315</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10</xdr:col>
      <xdr:colOff>127635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11</xdr:col>
      <xdr:colOff>180975</xdr:colOff>
      <xdr:row>0</xdr:row>
      <xdr:rowOff>266700</xdr:rowOff>
    </xdr:from>
    <xdr:to>
      <xdr:col>12</xdr:col>
      <xdr:colOff>86995</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160655</xdr:colOff>
      <xdr:row>0</xdr:row>
      <xdr:rowOff>266700</xdr:rowOff>
    </xdr:from>
    <xdr:to>
      <xdr:col>13</xdr:col>
      <xdr:colOff>66675</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140335</xdr:colOff>
      <xdr:row>0</xdr:row>
      <xdr:rowOff>266700</xdr:rowOff>
    </xdr:from>
    <xdr:to>
      <xdr:col>14</xdr:col>
      <xdr:colOff>46355</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99695</xdr:colOff>
      <xdr:row>0</xdr:row>
      <xdr:rowOff>266700</xdr:rowOff>
    </xdr:from>
    <xdr:to>
      <xdr:col>16</xdr:col>
      <xdr:colOff>5715</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79375</xdr:colOff>
      <xdr:row>0</xdr:row>
      <xdr:rowOff>266700</xdr:rowOff>
    </xdr:from>
    <xdr:to>
      <xdr:col>16</xdr:col>
      <xdr:colOff>947420</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120015</xdr:colOff>
      <xdr:row>0</xdr:row>
      <xdr:rowOff>266700</xdr:rowOff>
    </xdr:from>
    <xdr:to>
      <xdr:col>15</xdr:col>
      <xdr:colOff>26035</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员工档案</a:t>
          </a:r>
          <a:endParaRPr lang="zh-CN" altLang="en-US" sz="1050" b="1">
            <a:solidFill>
              <a:schemeClr val="accent1">
                <a:lumMod val="75000"/>
              </a:schemeClr>
            </a:solidFill>
            <a:latin typeface="+mn-ea"/>
          </a:endParaRPr>
        </a:p>
      </xdr:txBody>
    </xdr:sp>
    <xdr:clientData/>
  </xdr:twoCellAnchor>
  <xdr:twoCellAnchor editAs="absolute">
    <xdr:from>
      <xdr:col>4</xdr:col>
      <xdr:colOff>317500</xdr:colOff>
      <xdr:row>0</xdr:row>
      <xdr:rowOff>263525</xdr:rowOff>
    </xdr:from>
    <xdr:to>
      <xdr:col>5</xdr:col>
      <xdr:colOff>223520</xdr:colOff>
      <xdr:row>1</xdr:row>
      <xdr:rowOff>6350</xdr:rowOff>
    </xdr:to>
    <xdr:sp macro="[0]!goto_07">
      <xdr:nvSpPr>
        <xdr:cNvPr id="4" name="同侧圆角矩形 3"/>
        <xdr:cNvSpPr>
          <a:spLocks noChangeAspect="1"/>
        </xdr:cNvSpPr>
      </xdr:nvSpPr>
      <xdr:spPr>
        <a:xfrm>
          <a:off x="259397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17</xdr:col>
      <xdr:colOff>38100</xdr:colOff>
      <xdr:row>0</xdr:row>
      <xdr:rowOff>263525</xdr:rowOff>
    </xdr:from>
    <xdr:to>
      <xdr:col>17</xdr:col>
      <xdr:colOff>906145</xdr:colOff>
      <xdr:row>1</xdr:row>
      <xdr:rowOff>6350</xdr:rowOff>
    </xdr:to>
    <xdr:sp macro="[0]!goto_16">
      <xdr:nvSpPr>
        <xdr:cNvPr id="5" name="同侧圆角矩形 4">
          <a:hlinkClick xmlns:r="http://schemas.openxmlformats.org/officeDocument/2006/relationships" r:id="rId1"/>
        </xdr:cNvPr>
        <xdr:cNvSpPr>
          <a:spLocks noChangeAspect="1"/>
        </xdr:cNvSpPr>
      </xdr:nvSpPr>
      <xdr:spPr>
        <a:xfrm>
          <a:off x="148209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4</xdr:col>
      <xdr:colOff>657225</xdr:colOff>
      <xdr:row>2</xdr:row>
      <xdr:rowOff>0</xdr:rowOff>
    </xdr:from>
    <xdr:to>
      <xdr:col>5</xdr:col>
      <xdr:colOff>564515</xdr:colOff>
      <xdr:row>2</xdr:row>
      <xdr:rowOff>314325</xdr:rowOff>
    </xdr:to>
    <xdr:sp macro="[0]!select_shengri_15">
      <xdr:nvSpPr>
        <xdr:cNvPr id="6" name="剪去对角的矩形 5"/>
        <xdr:cNvSpPr/>
      </xdr:nvSpPr>
      <xdr:spPr>
        <a:xfrm>
          <a:off x="2933700"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今日生日</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6">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32</xdr:col>
      <xdr:colOff>62230</xdr:colOff>
      <xdr:row>0</xdr:row>
      <xdr:rowOff>689610</xdr:rowOff>
    </xdr:to>
    <xdr:sp>
      <xdr:nvSpPr>
        <xdr:cNvPr id="20" name="矩形 19"/>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1" name="同侧圆角矩形 20"/>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2" name="文本框 21"/>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3" name="同侧圆角矩形 22"/>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8890</xdr:colOff>
      <xdr:row>1</xdr:row>
      <xdr:rowOff>9525</xdr:rowOff>
    </xdr:to>
    <xdr:sp macro="[0]!goto_04">
      <xdr:nvSpPr>
        <xdr:cNvPr id="24" name="同侧圆角矩形 23"/>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82550</xdr:colOff>
      <xdr:row>0</xdr:row>
      <xdr:rowOff>266700</xdr:rowOff>
    </xdr:from>
    <xdr:to>
      <xdr:col>7</xdr:col>
      <xdr:colOff>264795</xdr:colOff>
      <xdr:row>1</xdr:row>
      <xdr:rowOff>9525</xdr:rowOff>
    </xdr:to>
    <xdr:sp macro="[0]!goto_10">
      <xdr:nvSpPr>
        <xdr:cNvPr id="25" name="同侧圆角矩形 24"/>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338455</xdr:colOff>
      <xdr:row>0</xdr:row>
      <xdr:rowOff>266700</xdr:rowOff>
    </xdr:from>
    <xdr:to>
      <xdr:col>8</xdr:col>
      <xdr:colOff>520700</xdr:colOff>
      <xdr:row>1</xdr:row>
      <xdr:rowOff>9525</xdr:rowOff>
    </xdr:to>
    <xdr:sp macro="[0]!goto_08">
      <xdr:nvSpPr>
        <xdr:cNvPr id="26" name="同侧圆角矩形 25"/>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594360</xdr:colOff>
      <xdr:row>0</xdr:row>
      <xdr:rowOff>266700</xdr:rowOff>
    </xdr:from>
    <xdr:to>
      <xdr:col>10</xdr:col>
      <xdr:colOff>90805</xdr:colOff>
      <xdr:row>1</xdr:row>
      <xdr:rowOff>9525</xdr:rowOff>
    </xdr:to>
    <xdr:sp macro="[0]!goto_06">
      <xdr:nvSpPr>
        <xdr:cNvPr id="27" name="同侧圆角矩形 26"/>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11</xdr:col>
      <xdr:colOff>420370</xdr:colOff>
      <xdr:row>0</xdr:row>
      <xdr:rowOff>266700</xdr:rowOff>
    </xdr:from>
    <xdr:to>
      <xdr:col>12</xdr:col>
      <xdr:colOff>602615</xdr:colOff>
      <xdr:row>1</xdr:row>
      <xdr:rowOff>9525</xdr:rowOff>
    </xdr:to>
    <xdr:sp macro="[0]!goto_12">
      <xdr:nvSpPr>
        <xdr:cNvPr id="28" name="同侧圆角矩形 27"/>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10</xdr:col>
      <xdr:colOff>164465</xdr:colOff>
      <xdr:row>0</xdr:row>
      <xdr:rowOff>266700</xdr:rowOff>
    </xdr:from>
    <xdr:to>
      <xdr:col>11</xdr:col>
      <xdr:colOff>346710</xdr:colOff>
      <xdr:row>1</xdr:row>
      <xdr:rowOff>9525</xdr:rowOff>
    </xdr:to>
    <xdr:sp macro="[0]!goto_11">
      <xdr:nvSpPr>
        <xdr:cNvPr id="29" name="同侧圆角矩形 28"/>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12</xdr:col>
      <xdr:colOff>676275</xdr:colOff>
      <xdr:row>0</xdr:row>
      <xdr:rowOff>266700</xdr:rowOff>
    </xdr:from>
    <xdr:to>
      <xdr:col>14</xdr:col>
      <xdr:colOff>172720</xdr:colOff>
      <xdr:row>1</xdr:row>
      <xdr:rowOff>9525</xdr:rowOff>
    </xdr:to>
    <xdr:sp macro="[0]!goto_09">
      <xdr:nvSpPr>
        <xdr:cNvPr id="30" name="同侧圆角矩形 29"/>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14</xdr:col>
      <xdr:colOff>246380</xdr:colOff>
      <xdr:row>0</xdr:row>
      <xdr:rowOff>266700</xdr:rowOff>
    </xdr:from>
    <xdr:to>
      <xdr:col>15</xdr:col>
      <xdr:colOff>428625</xdr:colOff>
      <xdr:row>1</xdr:row>
      <xdr:rowOff>9525</xdr:rowOff>
    </xdr:to>
    <xdr:sp macro="[0]!goto_13">
      <xdr:nvSpPr>
        <xdr:cNvPr id="31" name="同侧圆角矩形 30"/>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15</xdr:col>
      <xdr:colOff>502285</xdr:colOff>
      <xdr:row>0</xdr:row>
      <xdr:rowOff>266700</xdr:rowOff>
    </xdr:from>
    <xdr:to>
      <xdr:col>16</xdr:col>
      <xdr:colOff>684530</xdr:colOff>
      <xdr:row>1</xdr:row>
      <xdr:rowOff>9525</xdr:rowOff>
    </xdr:to>
    <xdr:sp macro="[0]!goto_14">
      <xdr:nvSpPr>
        <xdr:cNvPr id="32" name="同侧圆角矩形 31"/>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18</xdr:col>
      <xdr:colOff>328295</xdr:colOff>
      <xdr:row>0</xdr:row>
      <xdr:rowOff>266700</xdr:rowOff>
    </xdr:from>
    <xdr:to>
      <xdr:col>19</xdr:col>
      <xdr:colOff>510540</xdr:colOff>
      <xdr:row>1</xdr:row>
      <xdr:rowOff>9525</xdr:rowOff>
    </xdr:to>
    <xdr:sp macro="[0]!goto_16">
      <xdr:nvSpPr>
        <xdr:cNvPr id="33" name="同侧圆角矩形 32"/>
        <xdr:cNvSpPr>
          <a:spLocks noChangeAspect="1"/>
        </xdr:cNvSpPr>
      </xdr:nvSpPr>
      <xdr:spPr>
        <a:xfrm>
          <a:off x="1295844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个人所得税</a:t>
          </a:r>
          <a:endParaRPr lang="zh-CN" altLang="en-US" sz="1050" b="1">
            <a:solidFill>
              <a:schemeClr val="accent1">
                <a:lumMod val="75000"/>
              </a:schemeClr>
            </a:solidFill>
            <a:latin typeface="+mn-ea"/>
          </a:endParaRPr>
        </a:p>
      </xdr:txBody>
    </xdr:sp>
    <xdr:clientData/>
  </xdr:twoCellAnchor>
  <xdr:twoCellAnchor editAs="absolute">
    <xdr:from>
      <xdr:col>19</xdr:col>
      <xdr:colOff>584200</xdr:colOff>
      <xdr:row>0</xdr:row>
      <xdr:rowOff>266700</xdr:rowOff>
    </xdr:from>
    <xdr:to>
      <xdr:col>21</xdr:col>
      <xdr:colOff>80645</xdr:colOff>
      <xdr:row>1</xdr:row>
      <xdr:rowOff>9525</xdr:rowOff>
    </xdr:to>
    <xdr:sp macro="[0]!goto_17">
      <xdr:nvSpPr>
        <xdr:cNvPr id="34" name="同侧圆角矩形 33"/>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17</xdr:col>
      <xdr:colOff>72390</xdr:colOff>
      <xdr:row>0</xdr:row>
      <xdr:rowOff>266700</xdr:rowOff>
    </xdr:from>
    <xdr:to>
      <xdr:col>18</xdr:col>
      <xdr:colOff>254635</xdr:colOff>
      <xdr:row>1</xdr:row>
      <xdr:rowOff>9525</xdr:rowOff>
    </xdr:to>
    <xdr:sp macro="[0]!goto_15">
      <xdr:nvSpPr>
        <xdr:cNvPr id="35" name="同侧圆角矩形 34"/>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21</xdr:col>
      <xdr:colOff>152400</xdr:colOff>
      <xdr:row>0</xdr:row>
      <xdr:rowOff>276225</xdr:rowOff>
    </xdr:from>
    <xdr:to>
      <xdr:col>22</xdr:col>
      <xdr:colOff>334645</xdr:colOff>
      <xdr:row>1</xdr:row>
      <xdr:rowOff>19050</xdr:rowOff>
    </xdr:to>
    <xdr:sp macro="[0]!goto_16">
      <xdr:nvSpPr>
        <xdr:cNvPr id="3" name="同侧圆角矩形 2">
          <a:hlinkClick xmlns:r="http://schemas.openxmlformats.org/officeDocument/2006/relationships" r:id="rId1"/>
        </xdr:cNvPr>
        <xdr:cNvSpPr>
          <a:spLocks noChangeAspect="1"/>
        </xdr:cNvSpPr>
      </xdr:nvSpPr>
      <xdr:spPr>
        <a:xfrm>
          <a:off x="14839950" y="2762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7">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7">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20</xdr:col>
      <xdr:colOff>1005205</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5</xdr:col>
      <xdr:colOff>1170940</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1244600</xdr:colOff>
      <xdr:row>0</xdr:row>
      <xdr:rowOff>266700</xdr:rowOff>
    </xdr:from>
    <xdr:to>
      <xdr:col>6</xdr:col>
      <xdr:colOff>331470</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405130</xdr:colOff>
      <xdr:row>0</xdr:row>
      <xdr:rowOff>266700</xdr:rowOff>
    </xdr:from>
    <xdr:to>
      <xdr:col>7</xdr:col>
      <xdr:colOff>111125</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184785</xdr:colOff>
      <xdr:row>0</xdr:row>
      <xdr:rowOff>266700</xdr:rowOff>
    </xdr:from>
    <xdr:to>
      <xdr:col>7</xdr:col>
      <xdr:colOff>1052830</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8</xdr:col>
      <xdr:colOff>906145</xdr:colOff>
      <xdr:row>0</xdr:row>
      <xdr:rowOff>266700</xdr:rowOff>
    </xdr:from>
    <xdr:to>
      <xdr:col>9</xdr:col>
      <xdr:colOff>612140</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7</xdr:col>
      <xdr:colOff>1126490</xdr:colOff>
      <xdr:row>0</xdr:row>
      <xdr:rowOff>266700</xdr:rowOff>
    </xdr:from>
    <xdr:to>
      <xdr:col>8</xdr:col>
      <xdr:colOff>832485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9</xdr:col>
      <xdr:colOff>685800</xdr:colOff>
      <xdr:row>0</xdr:row>
      <xdr:rowOff>266700</xdr:rowOff>
    </xdr:from>
    <xdr:to>
      <xdr:col>10</xdr:col>
      <xdr:colOff>391795</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10</xdr:col>
      <xdr:colOff>465455</xdr:colOff>
      <xdr:row>0</xdr:row>
      <xdr:rowOff>266700</xdr:rowOff>
    </xdr:from>
    <xdr:to>
      <xdr:col>11</xdr:col>
      <xdr:colOff>171450</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11</xdr:col>
      <xdr:colOff>245110</xdr:colOff>
      <xdr:row>0</xdr:row>
      <xdr:rowOff>266700</xdr:rowOff>
    </xdr:from>
    <xdr:to>
      <xdr:col>11</xdr:col>
      <xdr:colOff>1113155</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12</xdr:col>
      <xdr:colOff>966470</xdr:colOff>
      <xdr:row>0</xdr:row>
      <xdr:rowOff>266700</xdr:rowOff>
    </xdr:from>
    <xdr:to>
      <xdr:col>13</xdr:col>
      <xdr:colOff>672465</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13</xdr:col>
      <xdr:colOff>746125</xdr:colOff>
      <xdr:row>0</xdr:row>
      <xdr:rowOff>266700</xdr:rowOff>
    </xdr:from>
    <xdr:to>
      <xdr:col>14</xdr:col>
      <xdr:colOff>452120</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工资条</a:t>
          </a:r>
          <a:endParaRPr lang="zh-CN" altLang="en-US" sz="1050" b="1">
            <a:solidFill>
              <a:schemeClr val="accent1">
                <a:lumMod val="75000"/>
              </a:schemeClr>
            </a:solidFill>
            <a:latin typeface="+mn-ea"/>
          </a:endParaRPr>
        </a:p>
      </xdr:txBody>
    </xdr:sp>
    <xdr:clientData/>
  </xdr:twoCellAnchor>
  <xdr:twoCellAnchor editAs="absolute">
    <xdr:from>
      <xdr:col>12</xdr:col>
      <xdr:colOff>24765</xdr:colOff>
      <xdr:row>0</xdr:row>
      <xdr:rowOff>266700</xdr:rowOff>
    </xdr:from>
    <xdr:to>
      <xdr:col>12</xdr:col>
      <xdr:colOff>892810</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4</xdr:col>
      <xdr:colOff>673100</xdr:colOff>
      <xdr:row>2</xdr:row>
      <xdr:rowOff>0</xdr:rowOff>
    </xdr:from>
    <xdr:to>
      <xdr:col>5</xdr:col>
      <xdr:colOff>580390</xdr:colOff>
      <xdr:row>2</xdr:row>
      <xdr:rowOff>314325</xdr:rowOff>
    </xdr:to>
    <xdr:sp macro="[0]!daochu_jian">
      <xdr:nvSpPr>
        <xdr:cNvPr id="4" name="剪去对角的矩形 3"/>
        <xdr:cNvSpPr/>
      </xdr:nvSpPr>
      <xdr:spPr>
        <a:xfrm>
          <a:off x="29495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14</xdr:col>
      <xdr:colOff>533400</xdr:colOff>
      <xdr:row>0</xdr:row>
      <xdr:rowOff>266700</xdr:rowOff>
    </xdr:from>
    <xdr:to>
      <xdr:col>15</xdr:col>
      <xdr:colOff>239395</xdr:colOff>
      <xdr:row>1</xdr:row>
      <xdr:rowOff>9525</xdr:rowOff>
    </xdr:to>
    <xdr:sp macro="[0]!goto_16">
      <xdr:nvSpPr>
        <xdr:cNvPr id="5" name="同侧圆角矩形 4">
          <a:hlinkClick xmlns:r="http://schemas.openxmlformats.org/officeDocument/2006/relationships" r:id="rId1"/>
        </xdr:cNvPr>
        <xdr:cNvSpPr>
          <a:spLocks noChangeAspect="1"/>
        </xdr:cNvSpPr>
      </xdr:nvSpPr>
      <xdr:spPr>
        <a:xfrm>
          <a:off x="1484947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5</xdr:col>
      <xdr:colOff>1054100</xdr:colOff>
      <xdr:row>2</xdr:row>
      <xdr:rowOff>0</xdr:rowOff>
    </xdr:from>
    <xdr:to>
      <xdr:col>6</xdr:col>
      <xdr:colOff>142240</xdr:colOff>
      <xdr:row>2</xdr:row>
      <xdr:rowOff>314325</xdr:rowOff>
    </xdr:to>
    <xdr:sp macro="[0]!dayin">
      <xdr:nvSpPr>
        <xdr:cNvPr id="6" name="剪去对角的矩形 5"/>
        <xdr:cNvSpPr/>
      </xdr:nvSpPr>
      <xdr:spPr>
        <a:xfrm>
          <a:off x="4292600"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打印</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635</xdr:colOff>
      <xdr:row>0</xdr:row>
      <xdr:rowOff>635</xdr:rowOff>
    </xdr:from>
    <xdr:to>
      <xdr:col>33</xdr:col>
      <xdr:colOff>120015</xdr:colOff>
      <xdr:row>0</xdr:row>
      <xdr:rowOff>690245</xdr:rowOff>
    </xdr:to>
    <xdr:sp>
      <xdr:nvSpPr>
        <xdr:cNvPr id="2" name="矩形 1"/>
        <xdr:cNvSpPr>
          <a:spLocks noChangeAspect="1"/>
        </xdr:cNvSpPr>
      </xdr:nvSpPr>
      <xdr:spPr>
        <a:xfrm>
          <a:off x="635" y="635"/>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286385</xdr:colOff>
      <xdr:row>0</xdr:row>
      <xdr:rowOff>266700</xdr:rowOff>
    </xdr:from>
    <xdr:to>
      <xdr:col>4</xdr:col>
      <xdr:colOff>192405</xdr:colOff>
      <xdr:row>1</xdr:row>
      <xdr:rowOff>9525</xdr:rowOff>
    </xdr:to>
    <xdr:sp macro="[0]!goto_01">
      <xdr:nvSpPr>
        <xdr:cNvPr id="3" name="同侧圆角矩形 2"/>
        <xdr:cNvSpPr>
          <a:spLocks noChangeAspect="1"/>
        </xdr:cNvSpPr>
      </xdr:nvSpPr>
      <xdr:spPr>
        <a:xfrm>
          <a:off x="16008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635</xdr:colOff>
      <xdr:row>0</xdr:row>
      <xdr:rowOff>152400</xdr:rowOff>
    </xdr:from>
    <xdr:to>
      <xdr:col>3</xdr:col>
      <xdr:colOff>238125</xdr:colOff>
      <xdr:row>0</xdr:row>
      <xdr:rowOff>605790</xdr:rowOff>
    </xdr:to>
    <xdr:sp>
      <xdr:nvSpPr>
        <xdr:cNvPr id="4" name="文本框 3"/>
        <xdr:cNvSpPr txBox="1"/>
      </xdr:nvSpPr>
      <xdr:spPr>
        <a:xfrm>
          <a:off x="635" y="152400"/>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266065</xdr:colOff>
      <xdr:row>0</xdr:row>
      <xdr:rowOff>266700</xdr:rowOff>
    </xdr:from>
    <xdr:to>
      <xdr:col>5</xdr:col>
      <xdr:colOff>172085</xdr:colOff>
      <xdr:row>1</xdr:row>
      <xdr:rowOff>9525</xdr:rowOff>
    </xdr:to>
    <xdr:sp macro="[0]!goto_07">
      <xdr:nvSpPr>
        <xdr:cNvPr id="5" name="同侧圆角矩形 4"/>
        <xdr:cNvSpPr>
          <a:spLocks noChangeAspect="1"/>
        </xdr:cNvSpPr>
      </xdr:nvSpPr>
      <xdr:spPr>
        <a:xfrm>
          <a:off x="25425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283845</xdr:colOff>
      <xdr:row>0</xdr:row>
      <xdr:rowOff>266700</xdr:rowOff>
    </xdr:from>
    <xdr:to>
      <xdr:col>6</xdr:col>
      <xdr:colOff>189865</xdr:colOff>
      <xdr:row>1</xdr:row>
      <xdr:rowOff>9525</xdr:rowOff>
    </xdr:to>
    <xdr:sp macro="[0]!goto_04">
      <xdr:nvSpPr>
        <xdr:cNvPr id="6" name="同侧圆角矩形 5"/>
        <xdr:cNvSpPr>
          <a:spLocks noChangeAspect="1"/>
        </xdr:cNvSpPr>
      </xdr:nvSpPr>
      <xdr:spPr>
        <a:xfrm>
          <a:off x="35223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7" name="同侧圆角矩形 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8" name="同侧圆角矩形 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9" name="同侧圆角矩形 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12</xdr:col>
      <xdr:colOff>477520</xdr:colOff>
      <xdr:row>0</xdr:row>
      <xdr:rowOff>266700</xdr:rowOff>
    </xdr:from>
    <xdr:to>
      <xdr:col>13</xdr:col>
      <xdr:colOff>659765</xdr:colOff>
      <xdr:row>1</xdr:row>
      <xdr:rowOff>9525</xdr:rowOff>
    </xdr:to>
    <xdr:sp macro="[0]!goto_12">
      <xdr:nvSpPr>
        <xdr:cNvPr id="10" name="同侧圆角矩形 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12</xdr:col>
      <xdr:colOff>403860</xdr:colOff>
      <xdr:row>1</xdr:row>
      <xdr:rowOff>9525</xdr:rowOff>
    </xdr:to>
    <xdr:sp macro="[0]!goto_11">
      <xdr:nvSpPr>
        <xdr:cNvPr id="11" name="同侧圆角矩形 1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14</xdr:col>
      <xdr:colOff>47625</xdr:colOff>
      <xdr:row>0</xdr:row>
      <xdr:rowOff>266700</xdr:rowOff>
    </xdr:from>
    <xdr:to>
      <xdr:col>15</xdr:col>
      <xdr:colOff>229870</xdr:colOff>
      <xdr:row>1</xdr:row>
      <xdr:rowOff>9525</xdr:rowOff>
    </xdr:to>
    <xdr:sp macro="[0]!goto_09">
      <xdr:nvSpPr>
        <xdr:cNvPr id="12" name="同侧圆角矩形 1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15</xdr:col>
      <xdr:colOff>303530</xdr:colOff>
      <xdr:row>0</xdr:row>
      <xdr:rowOff>266700</xdr:rowOff>
    </xdr:from>
    <xdr:to>
      <xdr:col>16</xdr:col>
      <xdr:colOff>485775</xdr:colOff>
      <xdr:row>1</xdr:row>
      <xdr:rowOff>9525</xdr:rowOff>
    </xdr:to>
    <xdr:sp macro="[0]!goto_13">
      <xdr:nvSpPr>
        <xdr:cNvPr id="13" name="同侧圆角矩形 1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16</xdr:col>
      <xdr:colOff>559435</xdr:colOff>
      <xdr:row>0</xdr:row>
      <xdr:rowOff>266700</xdr:rowOff>
    </xdr:from>
    <xdr:to>
      <xdr:col>18</xdr:col>
      <xdr:colOff>55880</xdr:colOff>
      <xdr:row>1</xdr:row>
      <xdr:rowOff>9525</xdr:rowOff>
    </xdr:to>
    <xdr:sp macro="[0]!goto_14">
      <xdr:nvSpPr>
        <xdr:cNvPr id="14" name="同侧圆角矩形 1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19</xdr:col>
      <xdr:colOff>385445</xdr:colOff>
      <xdr:row>0</xdr:row>
      <xdr:rowOff>266700</xdr:rowOff>
    </xdr:from>
    <xdr:to>
      <xdr:col>20</xdr:col>
      <xdr:colOff>567690</xdr:colOff>
      <xdr:row>1</xdr:row>
      <xdr:rowOff>9525</xdr:rowOff>
    </xdr:to>
    <xdr:sp macro="[0]!goto_16">
      <xdr:nvSpPr>
        <xdr:cNvPr id="15" name="同侧圆角矩形 1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20</xdr:col>
      <xdr:colOff>641350</xdr:colOff>
      <xdr:row>0</xdr:row>
      <xdr:rowOff>266700</xdr:rowOff>
    </xdr:from>
    <xdr:to>
      <xdr:col>22</xdr:col>
      <xdr:colOff>137795</xdr:colOff>
      <xdr:row>1</xdr:row>
      <xdr:rowOff>9525</xdr:rowOff>
    </xdr:to>
    <xdr:sp macro="[0]!goto_17">
      <xdr:nvSpPr>
        <xdr:cNvPr id="16" name="同侧圆角矩形 15"/>
        <xdr:cNvSpPr>
          <a:spLocks noChangeAspect="1"/>
        </xdr:cNvSpPr>
      </xdr:nvSpPr>
      <xdr:spPr>
        <a:xfrm>
          <a:off x="1390015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工资条</a:t>
          </a:r>
          <a:endParaRPr lang="zh-CN" altLang="en-US" sz="1050" b="1">
            <a:solidFill>
              <a:schemeClr val="accent1">
                <a:lumMod val="75000"/>
              </a:schemeClr>
            </a:solidFill>
            <a:latin typeface="+mn-ea"/>
          </a:endParaRPr>
        </a:p>
      </xdr:txBody>
    </xdr:sp>
    <xdr:clientData/>
  </xdr:twoCellAnchor>
  <xdr:twoCellAnchor editAs="absolute">
    <xdr:from>
      <xdr:col>18</xdr:col>
      <xdr:colOff>129540</xdr:colOff>
      <xdr:row>0</xdr:row>
      <xdr:rowOff>266700</xdr:rowOff>
    </xdr:from>
    <xdr:to>
      <xdr:col>19</xdr:col>
      <xdr:colOff>311785</xdr:colOff>
      <xdr:row>1</xdr:row>
      <xdr:rowOff>9525</xdr:rowOff>
    </xdr:to>
    <xdr:sp macro="[0]!goto_15">
      <xdr:nvSpPr>
        <xdr:cNvPr id="17" name="同侧圆角矩形 1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22</xdr:col>
      <xdr:colOff>219075</xdr:colOff>
      <xdr:row>0</xdr:row>
      <xdr:rowOff>266700</xdr:rowOff>
    </xdr:from>
    <xdr:to>
      <xdr:col>23</xdr:col>
      <xdr:colOff>401320</xdr:colOff>
      <xdr:row>1</xdr:row>
      <xdr:rowOff>9525</xdr:rowOff>
    </xdr:to>
    <xdr:sp macro="[0]!goto_16">
      <xdr:nvSpPr>
        <xdr:cNvPr id="18" name="同侧圆角矩形 17">
          <a:hlinkClick xmlns:r="http://schemas.openxmlformats.org/officeDocument/2006/relationships" r:id="rId1"/>
        </xdr:cNvPr>
        <xdr:cNvSpPr>
          <a:spLocks noChangeAspect="1"/>
        </xdr:cNvSpPr>
      </xdr:nvSpPr>
      <xdr:spPr>
        <a:xfrm>
          <a:off x="1484947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2</xdr:col>
      <xdr:colOff>38100</xdr:colOff>
      <xdr:row>2</xdr:row>
      <xdr:rowOff>12700</xdr:rowOff>
    </xdr:from>
    <xdr:to>
      <xdr:col>2</xdr:col>
      <xdr:colOff>907415</xdr:colOff>
      <xdr:row>2</xdr:row>
      <xdr:rowOff>327025</xdr:rowOff>
    </xdr:to>
    <xdr:sp macro="[0]!shengri_cha">
      <xdr:nvSpPr>
        <xdr:cNvPr id="19" name="剪去对角的矩形 18"/>
        <xdr:cNvSpPr/>
      </xdr:nvSpPr>
      <xdr:spPr>
        <a:xfrm>
          <a:off x="390525" y="12160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1">
            <a:lumMod val="75000"/>
          </a:schemeClr>
        </a:solidFill>
        <a:ln>
          <a:solidFill>
            <a:schemeClr val="bg1"/>
          </a:solidFill>
        </a:ln>
        <a:effectLst>
          <a:outerShdw blurRad="63500" sx="102000" sy="102000" algn="ctr" rotWithShape="0">
            <a:prstClr val="black">
              <a:alpha val="40000"/>
            </a:prstClr>
          </a:outerShdw>
        </a:effectLst>
      </a:spPr>
      <a:bodyPr vertOverflow="clip" horzOverflow="clip" wrap="square" rtlCol="0" anchor="ctr" anchorCtr="0"/>
      <a:lstStyle>
        <a:defPPr algn="ctr">
          <a:defRPr lang="zh-CN" altLang="en-US" sz="1000" b="1">
            <a:latin typeface="微软雅黑" panose="020B0503020204020204" charset="-122"/>
            <a:ea typeface="微软雅黑" panose="020B0503020204020204" charset="-122"/>
          </a:defRPr>
        </a:defPPr>
      </a:lstStyle>
      <a:style>
        <a:lnRef idx="2">
          <a:schemeClr val="accent1">
            <a:shade val="50000"/>
          </a:schemeClr>
        </a:lnRef>
        <a:fillRef idx="1">
          <a:schemeClr val="accent1"/>
        </a:fillRef>
        <a:effectRef idx="0">
          <a:schemeClr val="accent1"/>
        </a:effectRef>
        <a:fontRef idx="minor">
          <a:schemeClr val="lt1"/>
        </a:fontRef>
      </a:style>
    </a:sp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comments" Target="../comments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1.xml"/><Relationship Id="rId1" Type="http://schemas.openxmlformats.org/officeDocument/2006/relationships/comments" Target="../comments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2.xml"/><Relationship Id="rId1" Type="http://schemas.openxmlformats.org/officeDocument/2006/relationships/comments" Target="../comments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4.xml"/><Relationship Id="rId1" Type="http://schemas.openxmlformats.org/officeDocument/2006/relationships/comments" Target="../comments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X27" sqref="X27"/>
    </sheetView>
  </sheetViews>
  <sheetFormatPr defaultColWidth="3.625" defaultRowHeight="17.1" customHeight="1"/>
  <cols>
    <col min="1" max="1" width="3.625" style="48" customWidth="1"/>
    <col min="2" max="16384" width="3.625" style="48"/>
  </cols>
  <sheetData>
    <row r="4" customHeight="1" spans="1:42">
      <c r="A4" s="49"/>
      <c r="B4" s="49"/>
      <c r="C4" s="49"/>
      <c r="D4" s="49"/>
      <c r="E4" s="49"/>
      <c r="F4" s="49"/>
      <c r="G4" s="49"/>
      <c r="H4" s="49"/>
      <c r="I4" s="49"/>
      <c r="J4" s="49"/>
      <c r="K4" s="49"/>
      <c r="L4" s="49"/>
      <c r="M4" s="49"/>
      <c r="N4" s="49"/>
      <c r="O4" s="49"/>
      <c r="P4" s="49"/>
      <c r="Q4" s="49"/>
      <c r="R4" s="49"/>
      <c r="S4" s="49"/>
      <c r="T4" s="49"/>
      <c r="U4" s="49"/>
      <c r="V4" s="49"/>
      <c r="W4" s="49"/>
      <c r="X4" s="49"/>
      <c r="Y4" s="49"/>
      <c r="Z4" s="49"/>
      <c r="AA4" s="49"/>
      <c r="AB4" s="49"/>
      <c r="AC4" s="49"/>
      <c r="AD4" s="49"/>
      <c r="AE4" s="49"/>
      <c r="AF4" s="49"/>
      <c r="AG4" s="49"/>
      <c r="AH4" s="49"/>
      <c r="AI4" s="49"/>
      <c r="AJ4" s="49"/>
      <c r="AK4" s="49"/>
      <c r="AL4" s="49"/>
      <c r="AM4" s="49"/>
      <c r="AN4" s="49"/>
      <c r="AO4" s="49"/>
      <c r="AP4" s="49"/>
    </row>
    <row r="5" customHeight="1" spans="1:42">
      <c r="A5" s="49"/>
      <c r="B5" s="49"/>
      <c r="C5" s="49"/>
      <c r="D5" s="49"/>
      <c r="E5" s="49"/>
      <c r="F5" s="49"/>
      <c r="G5" s="49"/>
      <c r="H5" s="49"/>
      <c r="I5" s="49"/>
      <c r="J5" s="49"/>
      <c r="K5" s="49"/>
      <c r="L5" s="49"/>
      <c r="M5" s="49"/>
      <c r="N5" s="49"/>
      <c r="O5" s="49"/>
      <c r="P5" s="49"/>
      <c r="Q5" s="49"/>
      <c r="R5" s="49"/>
      <c r="S5" s="49"/>
      <c r="T5" s="49"/>
      <c r="U5" s="49"/>
      <c r="V5" s="49"/>
      <c r="W5" s="49"/>
      <c r="X5" s="49"/>
      <c r="Y5" s="49"/>
      <c r="Z5" s="49"/>
      <c r="AA5" s="49"/>
      <c r="AB5" s="49"/>
      <c r="AC5" s="49"/>
      <c r="AD5" s="49"/>
      <c r="AE5" s="49"/>
      <c r="AF5" s="49"/>
      <c r="AG5" s="49"/>
      <c r="AH5" s="49"/>
      <c r="AI5" s="49"/>
      <c r="AJ5" s="49"/>
      <c r="AK5" s="49"/>
      <c r="AL5" s="49"/>
      <c r="AM5" s="49"/>
      <c r="AN5" s="49"/>
      <c r="AO5" s="49"/>
      <c r="AP5" s="49"/>
    </row>
    <row r="6" customHeight="1" spans="1:42">
      <c r="A6" s="50"/>
      <c r="B6" s="50"/>
      <c r="C6" s="50"/>
      <c r="D6" s="50"/>
      <c r="E6" s="50"/>
      <c r="F6" s="50"/>
      <c r="G6" s="50"/>
      <c r="H6" s="51"/>
      <c r="I6" s="51"/>
      <c r="J6" s="51"/>
      <c r="K6" s="51"/>
      <c r="L6" s="51"/>
      <c r="M6" s="51"/>
      <c r="N6" s="51"/>
      <c r="O6" s="51"/>
      <c r="P6" s="51"/>
      <c r="Q6" s="51"/>
      <c r="R6" s="50"/>
      <c r="S6" s="50"/>
      <c r="T6" s="50"/>
      <c r="U6" s="50"/>
      <c r="V6" s="50"/>
      <c r="W6" s="50"/>
      <c r="X6" s="50"/>
      <c r="Y6" s="50"/>
      <c r="Z6" s="50"/>
      <c r="AA6" s="50"/>
      <c r="AB6" s="50"/>
      <c r="AC6" s="50"/>
      <c r="AD6" s="50"/>
      <c r="AE6" s="50"/>
      <c r="AF6" s="50"/>
      <c r="AG6" s="50"/>
      <c r="AH6" s="50"/>
      <c r="AI6" s="50"/>
      <c r="AJ6" s="50"/>
      <c r="AK6" s="50"/>
      <c r="AL6" s="50"/>
      <c r="AM6" s="50"/>
      <c r="AN6" s="50"/>
      <c r="AO6" s="50"/>
      <c r="AP6" s="50"/>
    </row>
    <row r="7" customHeight="1" spans="5:23">
      <c r="E7" s="52"/>
      <c r="F7" s="52"/>
      <c r="G7" s="52"/>
      <c r="H7" s="53"/>
      <c r="I7" s="53"/>
      <c r="J7" s="53"/>
      <c r="K7" s="53"/>
      <c r="L7" s="53"/>
      <c r="M7" s="53"/>
      <c r="N7" s="54"/>
      <c r="O7" s="54"/>
      <c r="P7" s="54"/>
      <c r="Q7" s="54"/>
      <c r="T7" s="54"/>
      <c r="U7" s="54"/>
      <c r="V7" s="54"/>
      <c r="W7" s="54"/>
    </row>
    <row r="8" customHeight="1" spans="8:23">
      <c r="H8" s="54"/>
      <c r="I8" s="54"/>
      <c r="J8" s="54"/>
      <c r="K8" s="54"/>
      <c r="L8" s="54"/>
      <c r="M8" s="54"/>
      <c r="N8" s="54"/>
      <c r="O8" s="54"/>
      <c r="P8" s="54"/>
      <c r="Q8" s="54"/>
      <c r="T8" s="54"/>
      <c r="U8" s="54"/>
      <c r="V8" s="54"/>
      <c r="W8" s="54"/>
    </row>
    <row r="9" customHeight="1" spans="8:23">
      <c r="H9" s="54"/>
      <c r="I9" s="54"/>
      <c r="J9" s="54"/>
      <c r="K9" s="54"/>
      <c r="L9" s="54"/>
      <c r="M9" s="54"/>
      <c r="N9" s="54"/>
      <c r="O9" s="54"/>
      <c r="P9" s="54"/>
      <c r="Q9" s="54"/>
      <c r="R9" s="54"/>
      <c r="S9" s="54"/>
      <c r="T9" s="54"/>
      <c r="U9" s="54"/>
      <c r="V9" s="54"/>
      <c r="W9" s="54"/>
    </row>
    <row r="10" customHeight="1" spans="17:23">
      <c r="Q10" s="54"/>
      <c r="R10" s="54"/>
      <c r="S10" s="54"/>
      <c r="T10" s="54"/>
      <c r="U10" s="54"/>
      <c r="V10" s="54"/>
      <c r="W10" s="54"/>
    </row>
    <row r="11" customHeight="1" spans="17:23">
      <c r="Q11" s="54"/>
      <c r="R11" s="54"/>
      <c r="S11" s="54"/>
      <c r="T11" s="54"/>
      <c r="U11" s="54"/>
      <c r="V11" s="54"/>
      <c r="W11" s="54"/>
    </row>
    <row r="12" customHeight="1" spans="17:23">
      <c r="Q12" s="54"/>
      <c r="R12" s="54"/>
      <c r="S12" s="54"/>
      <c r="T12" s="54"/>
      <c r="U12" s="54"/>
      <c r="V12" s="54"/>
      <c r="W12" s="54"/>
    </row>
    <row r="13" customHeight="1" spans="17:23">
      <c r="Q13" s="54"/>
      <c r="R13" s="54"/>
      <c r="S13" s="54"/>
      <c r="T13" s="54"/>
      <c r="U13" s="54"/>
      <c r="V13" s="54"/>
      <c r="W13" s="54"/>
    </row>
  </sheetData>
  <sheetProtection sheet="1" select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topLeftCell="B1" workbookViewId="0">
      <pane ySplit="2" topLeftCell="A3" activePane="bottomLeft" state="frozen"/>
      <selection/>
      <selection pane="bottomLeft" activeCell="D133" sqref="D133"/>
    </sheetView>
  </sheetViews>
  <sheetFormatPr defaultColWidth="9" defaultRowHeight="21.95" customHeight="1"/>
  <cols>
    <col min="1" max="1" width="1.625" style="30" customWidth="1"/>
    <col min="2" max="2" width="2.625" style="31" customWidth="1"/>
    <col min="3" max="3" width="15.25" style="32" customWidth="1"/>
    <col min="4" max="4" width="19.125" style="33" customWidth="1"/>
    <col min="5" max="5" width="10.5" style="33" customWidth="1"/>
    <col min="6" max="8" width="24.625" style="33" customWidth="1"/>
    <col min="9" max="9" width="2.625" style="31" customWidth="1"/>
    <col min="10" max="10" width="4.25" style="30" customWidth="1"/>
    <col min="11" max="16384" width="9" style="30"/>
  </cols>
  <sheetData>
    <row r="1" s="28" customFormat="1" ht="54.95" customHeight="1" spans="1:10">
      <c r="A1" s="34"/>
      <c r="C1" s="35"/>
      <c r="J1" s="47"/>
    </row>
    <row r="2" ht="15.95" customHeight="1" spans="2:9">
      <c r="B2" s="30"/>
      <c r="C2" s="36"/>
      <c r="D2" s="30"/>
      <c r="E2" s="30"/>
      <c r="F2" s="30"/>
      <c r="G2" s="30"/>
      <c r="H2" s="30"/>
      <c r="I2" s="30"/>
    </row>
    <row r="3" ht="15.95" customHeight="1" spans="3:8">
      <c r="C3" s="37"/>
      <c r="D3" s="31"/>
      <c r="E3" s="31"/>
      <c r="F3" s="31"/>
      <c r="G3" s="31"/>
      <c r="H3" s="31"/>
    </row>
    <row r="4" ht="75.95" customHeight="1" spans="3:8">
      <c r="C4" s="38" t="s">
        <v>0</v>
      </c>
      <c r="D4" s="39"/>
      <c r="E4" s="39"/>
      <c r="F4" s="40">
        <f>D7</f>
        <v>1</v>
      </c>
      <c r="G4" s="41" t="s">
        <v>1</v>
      </c>
      <c r="H4" s="41"/>
    </row>
    <row r="5" ht="6" customHeight="1" spans="3:8">
      <c r="C5" s="42"/>
      <c r="D5" s="39"/>
      <c r="E5" s="39"/>
      <c r="F5" s="43"/>
      <c r="G5" s="43"/>
      <c r="H5" s="43"/>
    </row>
    <row r="6" s="29" customFormat="1" ht="9" customHeight="1" spans="2:9">
      <c r="B6" s="31"/>
      <c r="C6" s="44"/>
      <c r="D6" s="45"/>
      <c r="E6" s="45"/>
      <c r="F6" s="46"/>
      <c r="G6" s="46"/>
      <c r="H6" s="46"/>
      <c r="I6" s="31"/>
    </row>
    <row r="7" hidden="1" customHeight="1" spans="2:4">
      <c r="B7" s="31" t="s">
        <v>2</v>
      </c>
      <c r="D7" s="33">
        <v>1</v>
      </c>
    </row>
    <row r="8" customHeight="1" spans="3:4">
      <c r="C8" s="32" t="s">
        <v>3</v>
      </c>
      <c r="D8" s="33" t="s">
        <v>4</v>
      </c>
    </row>
    <row r="9" customHeight="1" spans="3:4">
      <c r="C9" s="32" t="s">
        <v>5</v>
      </c>
      <c r="D9" s="33" t="s">
        <v>6</v>
      </c>
    </row>
    <row r="10" customHeight="1" spans="3:4">
      <c r="C10" s="32" t="s">
        <v>7</v>
      </c>
      <c r="D10" s="33" t="s">
        <v>8</v>
      </c>
    </row>
    <row r="11" customHeight="1" spans="3:4">
      <c r="C11" s="32" t="s">
        <v>9</v>
      </c>
      <c r="D11" s="33" t="s">
        <v>10</v>
      </c>
    </row>
    <row r="18" hidden="1" customHeight="1" spans="3:4">
      <c r="C18" s="32" t="s">
        <v>3</v>
      </c>
      <c r="D18" s="33" t="s">
        <v>11</v>
      </c>
    </row>
    <row r="19" hidden="1" customHeight="1" spans="3:4">
      <c r="C19" s="32" t="s">
        <v>5</v>
      </c>
      <c r="D19" s="33" t="s">
        <v>6</v>
      </c>
    </row>
    <row r="20" hidden="1" customHeight="1" spans="3:4">
      <c r="C20" s="32" t="s">
        <v>7</v>
      </c>
      <c r="D20" s="33" t="s">
        <v>8</v>
      </c>
    </row>
    <row r="21" hidden="1" customHeight="1" spans="3:4">
      <c r="C21" s="32" t="s">
        <v>9</v>
      </c>
      <c r="D21" s="33" t="s">
        <v>12</v>
      </c>
    </row>
    <row r="22" hidden="1" customHeight="1" spans="3:4">
      <c r="C22" s="32" t="s">
        <v>13</v>
      </c>
      <c r="D22" s="33" t="s">
        <v>10</v>
      </c>
    </row>
    <row r="23" hidden="1" customHeight="1"/>
    <row r="24" hidden="1" customHeight="1"/>
    <row r="25" hidden="1" customHeight="1"/>
    <row r="26" hidden="1" customHeight="1"/>
    <row r="27" hidden="1" customHeight="1"/>
    <row r="28" hidden="1" customHeight="1" spans="3:4">
      <c r="C28" s="32" t="s">
        <v>3</v>
      </c>
      <c r="D28" s="33" t="s">
        <v>14</v>
      </c>
    </row>
    <row r="29" hidden="1" customHeight="1" spans="3:4">
      <c r="C29" s="32" t="s">
        <v>5</v>
      </c>
      <c r="D29" s="33" t="s">
        <v>15</v>
      </c>
    </row>
    <row r="30" hidden="1" customHeight="1" spans="4:4">
      <c r="D30" s="33" t="s">
        <v>16</v>
      </c>
    </row>
    <row r="31" hidden="1" customHeight="1" spans="3:4">
      <c r="C31" s="32" t="s">
        <v>7</v>
      </c>
      <c r="D31" s="33" t="s">
        <v>17</v>
      </c>
    </row>
    <row r="32" hidden="1" customHeight="1" spans="3:4">
      <c r="C32" s="32" t="s">
        <v>9</v>
      </c>
      <c r="D32" s="33" t="s">
        <v>8</v>
      </c>
    </row>
    <row r="33" hidden="1" customHeight="1" spans="3:4">
      <c r="C33" s="32" t="s">
        <v>13</v>
      </c>
      <c r="D33" s="33" t="s">
        <v>10</v>
      </c>
    </row>
    <row r="34" hidden="1" customHeight="1"/>
    <row r="35" hidden="1" customHeight="1"/>
    <row r="36" hidden="1" customHeight="1"/>
    <row r="37" hidden="1" customHeight="1"/>
    <row r="38" hidden="1" customHeight="1" spans="3:4">
      <c r="C38" s="32" t="s">
        <v>3</v>
      </c>
      <c r="D38" s="33" t="s">
        <v>18</v>
      </c>
    </row>
    <row r="39" hidden="1" customHeight="1" spans="3:4">
      <c r="C39" s="32" t="s">
        <v>5</v>
      </c>
      <c r="D39" s="33" t="s">
        <v>10</v>
      </c>
    </row>
    <row r="40" hidden="1" customHeight="1"/>
    <row r="41" hidden="1" customHeight="1"/>
    <row r="42" hidden="1" customHeight="1"/>
    <row r="43" hidden="1" customHeight="1"/>
    <row r="44" hidden="1" customHeight="1"/>
    <row r="45" hidden="1" customHeight="1"/>
    <row r="46" hidden="1" customHeight="1"/>
    <row r="47" hidden="1" customHeight="1"/>
    <row r="48" hidden="1" customHeight="1" spans="3:4">
      <c r="C48" s="32" t="s">
        <v>3</v>
      </c>
      <c r="D48" s="33" t="s">
        <v>19</v>
      </c>
    </row>
    <row r="49" hidden="1" customHeight="1" spans="3:4">
      <c r="C49" s="32" t="s">
        <v>5</v>
      </c>
      <c r="D49" s="33" t="s">
        <v>6</v>
      </c>
    </row>
    <row r="50" hidden="1" customHeight="1" spans="3:4">
      <c r="C50" s="32" t="s">
        <v>7</v>
      </c>
      <c r="D50" s="33" t="s">
        <v>8</v>
      </c>
    </row>
    <row r="51" hidden="1" customHeight="1"/>
    <row r="52" hidden="1" customHeight="1"/>
    <row r="53" hidden="1" customHeight="1"/>
    <row r="54" hidden="1" customHeight="1"/>
    <row r="55" hidden="1" customHeight="1"/>
    <row r="56" hidden="1" customHeight="1"/>
    <row r="57" hidden="1" customHeight="1"/>
    <row r="58" hidden="1" customHeight="1" spans="3:4">
      <c r="C58" s="32" t="s">
        <v>3</v>
      </c>
      <c r="D58" s="33" t="s">
        <v>20</v>
      </c>
    </row>
    <row r="59" hidden="1" customHeight="1" spans="3:4">
      <c r="C59" s="32" t="s">
        <v>5</v>
      </c>
      <c r="D59" s="33" t="s">
        <v>10</v>
      </c>
    </row>
    <row r="60" hidden="1" customHeight="1" spans="3:4">
      <c r="C60" s="32" t="s">
        <v>7</v>
      </c>
      <c r="D60" s="33" t="s">
        <v>21</v>
      </c>
    </row>
    <row r="61" hidden="1" customHeight="1" spans="4:4">
      <c r="D61" s="33" t="s">
        <v>22</v>
      </c>
    </row>
    <row r="62" hidden="1" customHeight="1"/>
    <row r="63" hidden="1" customHeight="1"/>
    <row r="64" hidden="1" customHeight="1"/>
    <row r="65" hidden="1" customHeight="1"/>
    <row r="66" hidden="1" customHeight="1"/>
    <row r="67" hidden="1" customHeight="1"/>
    <row r="68" hidden="1" customHeight="1" spans="3:4">
      <c r="C68" s="32" t="s">
        <v>3</v>
      </c>
      <c r="D68" s="33" t="s">
        <v>23</v>
      </c>
    </row>
    <row r="69" hidden="1" customHeight="1" spans="3:4">
      <c r="C69" s="32" t="s">
        <v>5</v>
      </c>
      <c r="D69" s="33" t="s">
        <v>24</v>
      </c>
    </row>
    <row r="70" hidden="1" customHeight="1" spans="3:4">
      <c r="C70" s="32" t="s">
        <v>7</v>
      </c>
      <c r="D70" s="33" t="s">
        <v>8</v>
      </c>
    </row>
    <row r="71" hidden="1" customHeight="1" spans="3:4">
      <c r="C71" s="32" t="s">
        <v>9</v>
      </c>
      <c r="D71" s="33" t="s">
        <v>10</v>
      </c>
    </row>
    <row r="72" hidden="1" customHeight="1"/>
    <row r="73" hidden="1" customHeight="1"/>
    <row r="74" hidden="1" customHeight="1"/>
    <row r="75" hidden="1" customHeight="1"/>
    <row r="76" hidden="1" customHeight="1"/>
    <row r="77" hidden="1" customHeight="1"/>
    <row r="78" hidden="1" customHeight="1" spans="3:4">
      <c r="C78" s="32" t="s">
        <v>3</v>
      </c>
      <c r="D78" s="33" t="s">
        <v>25</v>
      </c>
    </row>
    <row r="79" hidden="1" customHeight="1" spans="3:4">
      <c r="C79" s="32" t="s">
        <v>5</v>
      </c>
      <c r="D79" s="33" t="s">
        <v>6</v>
      </c>
    </row>
    <row r="80" hidden="1" customHeight="1" spans="3:4">
      <c r="C80" s="32" t="s">
        <v>7</v>
      </c>
      <c r="D80" s="33" t="s">
        <v>8</v>
      </c>
    </row>
    <row r="81" hidden="1" customHeight="1" spans="3:4">
      <c r="C81" s="32" t="s">
        <v>9</v>
      </c>
      <c r="D81" s="33" t="s">
        <v>10</v>
      </c>
    </row>
    <row r="82" hidden="1" customHeight="1"/>
    <row r="83" hidden="1" customHeight="1"/>
    <row r="84" hidden="1" customHeight="1"/>
    <row r="85" hidden="1" customHeight="1"/>
    <row r="86" hidden="1" customHeight="1"/>
    <row r="87" hidden="1" customHeight="1"/>
    <row r="88" hidden="1" customHeight="1" spans="3:4">
      <c r="C88" s="32" t="s">
        <v>3</v>
      </c>
      <c r="D88" s="33" t="s">
        <v>26</v>
      </c>
    </row>
    <row r="89" hidden="1" customHeight="1" spans="3:4">
      <c r="C89" s="32" t="s">
        <v>5</v>
      </c>
      <c r="D89" s="33" t="s">
        <v>10</v>
      </c>
    </row>
    <row r="90" hidden="1" customHeight="1" spans="3:4">
      <c r="C90" s="32" t="s">
        <v>7</v>
      </c>
      <c r="D90" s="33" t="s">
        <v>27</v>
      </c>
    </row>
    <row r="91" hidden="1" customHeight="1"/>
    <row r="92" hidden="1" customHeight="1"/>
    <row r="93" hidden="1" customHeight="1"/>
    <row r="94" hidden="1" customHeight="1"/>
    <row r="95" hidden="1" customHeight="1"/>
    <row r="96" hidden="1" customHeight="1"/>
    <row r="97" hidden="1" customHeight="1"/>
    <row r="98" hidden="1" customHeight="1" spans="3:4">
      <c r="C98" s="32" t="s">
        <v>3</v>
      </c>
      <c r="D98" s="33" t="s">
        <v>28</v>
      </c>
    </row>
    <row r="99" hidden="1" customHeight="1" spans="3:4">
      <c r="C99" s="32" t="s">
        <v>5</v>
      </c>
      <c r="D99" s="33" t="s">
        <v>10</v>
      </c>
    </row>
    <row r="100" hidden="1" customHeight="1" spans="3:4">
      <c r="C100" s="32" t="s">
        <v>7</v>
      </c>
      <c r="D100" s="33" t="s">
        <v>27</v>
      </c>
    </row>
    <row r="101" hidden="1" customHeight="1"/>
    <row r="102" hidden="1" customHeight="1"/>
    <row r="103" hidden="1" customHeight="1"/>
    <row r="104" hidden="1" customHeight="1"/>
    <row r="105" hidden="1" customHeight="1"/>
    <row r="106" hidden="1" customHeight="1"/>
    <row r="107" hidden="1" customHeight="1"/>
    <row r="108" hidden="1" customHeight="1" spans="3:4">
      <c r="C108" s="32" t="s">
        <v>3</v>
      </c>
      <c r="D108" s="33" t="s">
        <v>29</v>
      </c>
    </row>
    <row r="109" hidden="1" customHeight="1" spans="3:4">
      <c r="C109" s="32" t="s">
        <v>5</v>
      </c>
      <c r="D109" s="33" t="s">
        <v>10</v>
      </c>
    </row>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spans="3:4">
      <c r="C118" s="32" t="s">
        <v>3</v>
      </c>
      <c r="D118" s="33" t="s">
        <v>30</v>
      </c>
    </row>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spans="3:4">
      <c r="C128" s="32" t="s">
        <v>3</v>
      </c>
      <c r="D128" s="33" t="s">
        <v>31</v>
      </c>
    </row>
    <row r="129" hidden="1" customHeight="1" spans="3:4">
      <c r="C129" s="32" t="s">
        <v>5</v>
      </c>
      <c r="D129" s="33" t="s">
        <v>10</v>
      </c>
    </row>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3"/>
  <sheetViews>
    <sheetView workbookViewId="0">
      <selection activeCell="E1" sqref="E1"/>
    </sheetView>
  </sheetViews>
  <sheetFormatPr defaultColWidth="9" defaultRowHeight="14.25" outlineLevelRow="2" outlineLevelCol="4"/>
  <sheetData>
    <row r="1" spans="1:5">
      <c r="A1" s="13">
        <v>58441</v>
      </c>
      <c r="C1" s="13">
        <v>47848</v>
      </c>
      <c r="D1">
        <v>1000</v>
      </c>
      <c r="E1">
        <v>10</v>
      </c>
    </row>
    <row r="3" spans="1:1">
      <c r="A3" t="s">
        <v>32</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AO25"/>
  <sheetViews>
    <sheetView showGridLines="0" workbookViewId="0">
      <pane ySplit="4" topLeftCell="A21" activePane="bottomLeft" state="frozen"/>
      <selection/>
      <selection pane="bottomLeft" activeCell="I26" sqref="I26"/>
    </sheetView>
  </sheetViews>
  <sheetFormatPr defaultColWidth="9" defaultRowHeight="20" customHeight="1"/>
  <cols>
    <col min="1" max="1" width="4.625" customWidth="1"/>
    <col min="2" max="2" width="4.625" hidden="1" customWidth="1"/>
    <col min="3" max="7" width="12.625" style="8" customWidth="1"/>
    <col min="8" max="8" width="20" style="8" customWidth="1"/>
    <col min="9" max="17" width="12.625" style="8" customWidth="1"/>
    <col min="18" max="18" width="22.75" style="8" customWidth="1"/>
    <col min="19" max="41" width="12.625" style="8" customWidth="1"/>
  </cols>
  <sheetData>
    <row r="1" ht="54.75" customHeight="1" spans="3:41">
      <c r="C1" s="12"/>
      <c r="D1" s="21"/>
      <c r="E1" s="12"/>
      <c r="F1" s="12"/>
      <c r="G1" s="27">
        <f ca="1">TODAY()</f>
        <v>45596</v>
      </c>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row>
    <row r="2" ht="40" customHeight="1" spans="3:41">
      <c r="C2" s="4" t="s">
        <v>33</v>
      </c>
      <c r="D2" s="21"/>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row>
    <row r="3" ht="30" customHeight="1" spans="3:41">
      <c r="C3" s="12"/>
      <c r="D3" s="21"/>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row>
    <row r="4" ht="30" customHeight="1" spans="3:41">
      <c r="C4" s="17" t="s">
        <v>34</v>
      </c>
      <c r="D4" s="22" t="s">
        <v>35</v>
      </c>
      <c r="E4" s="17" t="s">
        <v>36</v>
      </c>
      <c r="F4" s="17">
        <v>1</v>
      </c>
      <c r="G4" s="17">
        <v>2</v>
      </c>
      <c r="H4" s="17">
        <v>3</v>
      </c>
      <c r="I4" s="17">
        <v>4</v>
      </c>
      <c r="J4" s="17">
        <v>5</v>
      </c>
      <c r="K4" s="17">
        <v>6</v>
      </c>
      <c r="L4" s="17">
        <v>7</v>
      </c>
      <c r="M4" s="17">
        <v>8</v>
      </c>
      <c r="N4" s="17">
        <v>9</v>
      </c>
      <c r="O4" s="17">
        <v>10</v>
      </c>
      <c r="P4" s="17">
        <v>11</v>
      </c>
      <c r="Q4" s="17">
        <v>12</v>
      </c>
      <c r="R4" s="17">
        <v>13</v>
      </c>
      <c r="S4" s="17">
        <v>14</v>
      </c>
      <c r="T4" s="17">
        <v>15</v>
      </c>
      <c r="U4" s="17">
        <v>16</v>
      </c>
      <c r="V4" s="17">
        <v>17</v>
      </c>
      <c r="W4" s="17">
        <v>18</v>
      </c>
      <c r="X4" s="17">
        <v>19</v>
      </c>
      <c r="Y4" s="17">
        <v>20</v>
      </c>
      <c r="Z4" s="17">
        <v>21</v>
      </c>
      <c r="AA4" s="17">
        <v>22</v>
      </c>
      <c r="AB4" s="17">
        <v>23</v>
      </c>
      <c r="AC4" s="17">
        <v>24</v>
      </c>
      <c r="AD4" s="17">
        <v>25</v>
      </c>
      <c r="AE4" s="17">
        <v>26</v>
      </c>
      <c r="AF4" s="17">
        <v>27</v>
      </c>
      <c r="AG4" s="17">
        <v>28</v>
      </c>
      <c r="AH4" s="17">
        <v>29</v>
      </c>
      <c r="AI4" s="17">
        <v>30</v>
      </c>
      <c r="AJ4" s="17">
        <v>31</v>
      </c>
      <c r="AK4" s="17" t="s">
        <v>37</v>
      </c>
      <c r="AL4" s="17" t="s">
        <v>38</v>
      </c>
      <c r="AM4" s="17" t="s">
        <v>39</v>
      </c>
      <c r="AN4" s="17" t="s">
        <v>40</v>
      </c>
      <c r="AO4" s="17" t="s">
        <v>41</v>
      </c>
    </row>
    <row r="5" customHeight="1" spans="2:41">
      <c r="B5">
        <v>768</v>
      </c>
      <c r="C5" s="8">
        <v>2023</v>
      </c>
      <c r="D5" s="8">
        <v>1</v>
      </c>
      <c r="E5" s="8" t="s">
        <v>42</v>
      </c>
      <c r="F5" s="8" t="s">
        <v>43</v>
      </c>
      <c r="G5" s="8" t="s">
        <v>44</v>
      </c>
      <c r="H5" s="8" t="s">
        <v>44</v>
      </c>
      <c r="I5" s="8" t="s">
        <v>44</v>
      </c>
      <c r="J5" s="8" t="s">
        <v>44</v>
      </c>
      <c r="K5" s="8" t="s">
        <v>44</v>
      </c>
      <c r="L5" s="8" t="s">
        <v>43</v>
      </c>
      <c r="M5" s="8" t="s">
        <v>43</v>
      </c>
      <c r="N5" s="8" t="s">
        <v>44</v>
      </c>
      <c r="O5" s="8" t="s">
        <v>44</v>
      </c>
      <c r="P5" s="8" t="s">
        <v>44</v>
      </c>
      <c r="Q5" s="8" t="s">
        <v>44</v>
      </c>
      <c r="R5" s="8" t="s">
        <v>44</v>
      </c>
      <c r="S5" s="9" t="s">
        <v>43</v>
      </c>
      <c r="T5" s="8" t="s">
        <v>43</v>
      </c>
      <c r="U5" s="8" t="s">
        <v>44</v>
      </c>
      <c r="V5" s="8" t="s">
        <v>44</v>
      </c>
      <c r="W5" s="8" t="s">
        <v>44</v>
      </c>
      <c r="X5" s="8" t="s">
        <v>44</v>
      </c>
      <c r="Y5" s="8" t="s">
        <v>44</v>
      </c>
      <c r="Z5" s="8" t="s">
        <v>43</v>
      </c>
      <c r="AA5" s="8" t="s">
        <v>43</v>
      </c>
      <c r="AB5" s="8" t="s">
        <v>44</v>
      </c>
      <c r="AC5" s="8" t="s">
        <v>44</v>
      </c>
      <c r="AD5" s="8" t="s">
        <v>44</v>
      </c>
      <c r="AE5" s="8" t="s">
        <v>44</v>
      </c>
      <c r="AF5" s="8" t="s">
        <v>44</v>
      </c>
      <c r="AG5" s="8" t="s">
        <v>43</v>
      </c>
      <c r="AH5" s="8" t="s">
        <v>43</v>
      </c>
      <c r="AI5" s="8" t="s">
        <v>44</v>
      </c>
      <c r="AJ5" s="8" t="s">
        <v>44</v>
      </c>
      <c r="AK5" s="8">
        <v>22</v>
      </c>
      <c r="AL5" s="8">
        <v>0</v>
      </c>
      <c r="AM5" s="8">
        <v>0</v>
      </c>
      <c r="AN5" s="8">
        <v>0</v>
      </c>
      <c r="AO5" s="8">
        <v>0</v>
      </c>
    </row>
    <row r="6" customHeight="1" spans="2:41">
      <c r="B6">
        <v>771</v>
      </c>
      <c r="C6" s="8">
        <v>2023</v>
      </c>
      <c r="D6" s="8">
        <v>2</v>
      </c>
      <c r="E6" s="8" t="s">
        <v>45</v>
      </c>
      <c r="F6" s="8" t="s">
        <v>44</v>
      </c>
      <c r="G6" s="8" t="s">
        <v>44</v>
      </c>
      <c r="H6" s="8" t="s">
        <v>44</v>
      </c>
      <c r="I6" s="8" t="s">
        <v>43</v>
      </c>
      <c r="J6" s="8" t="s">
        <v>43</v>
      </c>
      <c r="K6" s="8" t="s">
        <v>44</v>
      </c>
      <c r="L6" s="8" t="s">
        <v>44</v>
      </c>
      <c r="M6" s="8" t="s">
        <v>44</v>
      </c>
      <c r="N6" s="8" t="s">
        <v>44</v>
      </c>
      <c r="O6" s="8" t="s">
        <v>44</v>
      </c>
      <c r="P6" s="8" t="s">
        <v>43</v>
      </c>
      <c r="Q6" s="8" t="s">
        <v>43</v>
      </c>
      <c r="R6" s="8" t="s">
        <v>44</v>
      </c>
      <c r="S6" s="8" t="s">
        <v>44</v>
      </c>
      <c r="T6" s="8" t="s">
        <v>44</v>
      </c>
      <c r="U6" s="8" t="s">
        <v>44</v>
      </c>
      <c r="V6" s="8" t="s">
        <v>44</v>
      </c>
      <c r="W6" s="8" t="s">
        <v>43</v>
      </c>
      <c r="X6" s="8" t="s">
        <v>43</v>
      </c>
      <c r="Y6" s="8" t="s">
        <v>46</v>
      </c>
      <c r="Z6" s="8" t="s">
        <v>44</v>
      </c>
      <c r="AA6" s="8" t="s">
        <v>44</v>
      </c>
      <c r="AB6" s="8" t="s">
        <v>44</v>
      </c>
      <c r="AC6" s="8" t="s">
        <v>44</v>
      </c>
      <c r="AD6" s="8" t="s">
        <v>43</v>
      </c>
      <c r="AE6" s="8" t="s">
        <v>43</v>
      </c>
      <c r="AF6" s="8" t="s">
        <v>44</v>
      </c>
      <c r="AG6" s="8" t="s">
        <v>44</v>
      </c>
      <c r="AH6" s="8" t="s">
        <v>44</v>
      </c>
      <c r="AI6" s="8" t="s">
        <v>44</v>
      </c>
      <c r="AJ6" s="8" t="s">
        <v>44</v>
      </c>
      <c r="AK6" s="8">
        <v>21</v>
      </c>
      <c r="AL6" s="8">
        <v>0</v>
      </c>
      <c r="AM6" s="8">
        <v>0</v>
      </c>
      <c r="AN6" s="8">
        <v>0</v>
      </c>
      <c r="AO6" s="8">
        <v>0</v>
      </c>
    </row>
    <row r="7" customHeight="1" spans="2:41">
      <c r="B7">
        <v>772</v>
      </c>
      <c r="C7" s="8">
        <v>2023</v>
      </c>
      <c r="D7" s="8">
        <v>4</v>
      </c>
      <c r="E7" s="8" t="s">
        <v>47</v>
      </c>
      <c r="F7" s="8" t="s">
        <v>44</v>
      </c>
      <c r="G7" s="8" t="s">
        <v>44</v>
      </c>
      <c r="H7" s="8" t="s">
        <v>44</v>
      </c>
      <c r="I7" s="8" t="s">
        <v>44</v>
      </c>
      <c r="J7" s="8" t="s">
        <v>44</v>
      </c>
      <c r="K7" s="8" t="s">
        <v>44</v>
      </c>
      <c r="L7" s="8" t="s">
        <v>44</v>
      </c>
      <c r="M7" s="8" t="s">
        <v>44</v>
      </c>
      <c r="N7" s="8" t="s">
        <v>44</v>
      </c>
      <c r="O7" s="8" t="s">
        <v>44</v>
      </c>
      <c r="P7" s="8" t="s">
        <v>44</v>
      </c>
      <c r="Q7" s="8" t="s">
        <v>44</v>
      </c>
      <c r="R7" s="8" t="s">
        <v>44</v>
      </c>
      <c r="S7" s="8" t="s">
        <v>44</v>
      </c>
      <c r="T7" s="8" t="s">
        <v>44</v>
      </c>
      <c r="U7" s="8" t="s">
        <v>44</v>
      </c>
      <c r="V7" s="8" t="s">
        <v>44</v>
      </c>
      <c r="W7" s="8" t="s">
        <v>44</v>
      </c>
      <c r="X7" s="8" t="s">
        <v>44</v>
      </c>
      <c r="Y7" s="8" t="s">
        <v>44</v>
      </c>
      <c r="Z7" s="8" t="s">
        <v>44</v>
      </c>
      <c r="AA7" s="8" t="s">
        <v>44</v>
      </c>
      <c r="AB7" s="8" t="s">
        <v>44</v>
      </c>
      <c r="AC7" s="8" t="s">
        <v>44</v>
      </c>
      <c r="AD7" s="8" t="s">
        <v>44</v>
      </c>
      <c r="AE7" s="8" t="s">
        <v>44</v>
      </c>
      <c r="AF7" s="8" t="s">
        <v>44</v>
      </c>
      <c r="AG7" s="8" t="s">
        <v>44</v>
      </c>
      <c r="AH7" s="8" t="s">
        <v>44</v>
      </c>
      <c r="AI7" s="8" t="s">
        <v>44</v>
      </c>
      <c r="AJ7" s="8" t="s">
        <v>44</v>
      </c>
      <c r="AK7" s="8">
        <v>30</v>
      </c>
      <c r="AL7" s="8">
        <v>0</v>
      </c>
      <c r="AM7" s="8">
        <v>0</v>
      </c>
      <c r="AN7" s="8">
        <v>0</v>
      </c>
      <c r="AO7" s="8">
        <v>0</v>
      </c>
    </row>
    <row r="8" customHeight="1" spans="2:41">
      <c r="B8">
        <v>773</v>
      </c>
      <c r="C8" s="8">
        <v>2023</v>
      </c>
      <c r="D8" s="8">
        <v>1</v>
      </c>
      <c r="E8" s="8" t="s">
        <v>48</v>
      </c>
      <c r="F8" s="8" t="s">
        <v>43</v>
      </c>
      <c r="G8" s="8" t="s">
        <v>44</v>
      </c>
      <c r="H8" s="8" t="s">
        <v>44</v>
      </c>
      <c r="I8" s="8" t="s">
        <v>44</v>
      </c>
      <c r="J8" s="8" t="s">
        <v>44</v>
      </c>
      <c r="K8" s="8" t="s">
        <v>44</v>
      </c>
      <c r="L8" s="8" t="s">
        <v>43</v>
      </c>
      <c r="M8" s="8" t="s">
        <v>43</v>
      </c>
      <c r="N8" s="8" t="s">
        <v>44</v>
      </c>
      <c r="O8" s="8" t="s">
        <v>44</v>
      </c>
      <c r="P8" s="8" t="s">
        <v>44</v>
      </c>
      <c r="Q8" s="8" t="s">
        <v>44</v>
      </c>
      <c r="R8" s="8" t="s">
        <v>44</v>
      </c>
      <c r="S8" s="8" t="s">
        <v>43</v>
      </c>
      <c r="T8" s="8" t="s">
        <v>43</v>
      </c>
      <c r="U8" s="8" t="s">
        <v>44</v>
      </c>
      <c r="V8" s="8" t="s">
        <v>44</v>
      </c>
      <c r="W8" s="8" t="s">
        <v>44</v>
      </c>
      <c r="X8" s="8" t="s">
        <v>44</v>
      </c>
      <c r="Y8" s="8" t="s">
        <v>44</v>
      </c>
      <c r="Z8" s="8" t="s">
        <v>43</v>
      </c>
      <c r="AA8" s="8" t="s">
        <v>43</v>
      </c>
      <c r="AB8" s="8" t="s">
        <v>44</v>
      </c>
      <c r="AC8" s="8" t="s">
        <v>44</v>
      </c>
      <c r="AD8" s="8" t="s">
        <v>44</v>
      </c>
      <c r="AE8" s="8" t="s">
        <v>44</v>
      </c>
      <c r="AF8" s="8" t="s">
        <v>44</v>
      </c>
      <c r="AG8" s="8" t="s">
        <v>43</v>
      </c>
      <c r="AH8" s="8" t="s">
        <v>43</v>
      </c>
      <c r="AI8" s="8" t="s">
        <v>44</v>
      </c>
      <c r="AJ8" s="8" t="s">
        <v>44</v>
      </c>
      <c r="AK8" s="8">
        <v>22</v>
      </c>
      <c r="AL8" s="8">
        <v>0</v>
      </c>
      <c r="AM8" s="8">
        <v>0</v>
      </c>
      <c r="AN8" s="8">
        <v>0</v>
      </c>
      <c r="AO8" s="8">
        <v>0</v>
      </c>
    </row>
    <row r="9" customHeight="1" spans="2:41">
      <c r="B9">
        <v>774</v>
      </c>
      <c r="C9" s="8">
        <v>2023</v>
      </c>
      <c r="D9" s="8">
        <v>4</v>
      </c>
      <c r="E9" s="8" t="s">
        <v>49</v>
      </c>
      <c r="F9" s="8" t="s">
        <v>44</v>
      </c>
      <c r="G9" s="8" t="s">
        <v>44</v>
      </c>
      <c r="H9" s="8" t="s">
        <v>44</v>
      </c>
      <c r="I9" s="8" t="s">
        <v>44</v>
      </c>
      <c r="J9" s="8" t="s">
        <v>44</v>
      </c>
      <c r="K9" s="8" t="s">
        <v>44</v>
      </c>
      <c r="L9" s="8" t="s">
        <v>44</v>
      </c>
      <c r="M9" s="8" t="s">
        <v>44</v>
      </c>
      <c r="N9" s="8" t="s">
        <v>44</v>
      </c>
      <c r="O9" s="8" t="s">
        <v>44</v>
      </c>
      <c r="P9" s="8" t="s">
        <v>44</v>
      </c>
      <c r="Q9" s="8" t="s">
        <v>44</v>
      </c>
      <c r="R9" s="8" t="s">
        <v>44</v>
      </c>
      <c r="S9" s="8" t="s">
        <v>44</v>
      </c>
      <c r="T9" s="8" t="s">
        <v>44</v>
      </c>
      <c r="U9" s="8" t="s">
        <v>44</v>
      </c>
      <c r="V9" s="8" t="s">
        <v>44</v>
      </c>
      <c r="W9" s="8" t="s">
        <v>44</v>
      </c>
      <c r="X9" s="8" t="s">
        <v>44</v>
      </c>
      <c r="Y9" s="8" t="s">
        <v>44</v>
      </c>
      <c r="Z9" s="8" t="s">
        <v>44</v>
      </c>
      <c r="AA9" s="8" t="s">
        <v>44</v>
      </c>
      <c r="AB9" s="8" t="s">
        <v>44</v>
      </c>
      <c r="AC9" s="8" t="s">
        <v>44</v>
      </c>
      <c r="AD9" s="8" t="s">
        <v>44</v>
      </c>
      <c r="AE9" s="8" t="s">
        <v>44</v>
      </c>
      <c r="AF9" s="8" t="s">
        <v>44</v>
      </c>
      <c r="AG9" s="8" t="s">
        <v>44</v>
      </c>
      <c r="AH9" s="8" t="s">
        <v>44</v>
      </c>
      <c r="AI9" s="8" t="s">
        <v>44</v>
      </c>
      <c r="AJ9" s="8" t="s">
        <v>44</v>
      </c>
      <c r="AK9" s="8">
        <v>30</v>
      </c>
      <c r="AL9" s="8">
        <v>0</v>
      </c>
      <c r="AM9" s="8">
        <v>0</v>
      </c>
      <c r="AN9" s="8">
        <v>0</v>
      </c>
      <c r="AO9" s="8">
        <v>0</v>
      </c>
    </row>
    <row r="10" customHeight="1" spans="2:41">
      <c r="B10">
        <v>775</v>
      </c>
      <c r="C10" s="8">
        <v>2023</v>
      </c>
      <c r="D10" s="8">
        <v>4</v>
      </c>
      <c r="E10" s="8" t="s">
        <v>50</v>
      </c>
      <c r="F10" s="8" t="s">
        <v>44</v>
      </c>
      <c r="G10" s="8" t="s">
        <v>44</v>
      </c>
      <c r="H10" s="8" t="s">
        <v>44</v>
      </c>
      <c r="I10" s="8" t="s">
        <v>44</v>
      </c>
      <c r="J10" s="8" t="s">
        <v>44</v>
      </c>
      <c r="K10" s="8" t="s">
        <v>44</v>
      </c>
      <c r="L10" s="8" t="s">
        <v>44</v>
      </c>
      <c r="M10" s="8" t="s">
        <v>44</v>
      </c>
      <c r="N10" s="8" t="s">
        <v>44</v>
      </c>
      <c r="O10" s="8" t="s">
        <v>44</v>
      </c>
      <c r="P10" s="8" t="s">
        <v>44</v>
      </c>
      <c r="Q10" s="8" t="s">
        <v>44</v>
      </c>
      <c r="R10" s="8" t="s">
        <v>44</v>
      </c>
      <c r="S10" s="8" t="s">
        <v>44</v>
      </c>
      <c r="T10" s="8" t="s">
        <v>44</v>
      </c>
      <c r="U10" s="8" t="s">
        <v>44</v>
      </c>
      <c r="V10" s="8" t="s">
        <v>44</v>
      </c>
      <c r="W10" s="8" t="s">
        <v>44</v>
      </c>
      <c r="X10" s="8" t="s">
        <v>44</v>
      </c>
      <c r="Y10" s="8" t="s">
        <v>44</v>
      </c>
      <c r="Z10" s="8" t="s">
        <v>44</v>
      </c>
      <c r="AA10" s="8" t="s">
        <v>44</v>
      </c>
      <c r="AB10" s="8" t="s">
        <v>44</v>
      </c>
      <c r="AC10" s="8" t="s">
        <v>44</v>
      </c>
      <c r="AD10" s="8" t="s">
        <v>44</v>
      </c>
      <c r="AE10" s="8" t="s">
        <v>44</v>
      </c>
      <c r="AF10" s="8" t="s">
        <v>44</v>
      </c>
      <c r="AG10" s="8" t="s">
        <v>51</v>
      </c>
      <c r="AH10" s="8" t="s">
        <v>46</v>
      </c>
      <c r="AI10" s="8" t="s">
        <v>46</v>
      </c>
      <c r="AJ10" s="8" t="s">
        <v>52</v>
      </c>
      <c r="AK10" s="8">
        <v>30</v>
      </c>
      <c r="AL10" s="8">
        <v>27</v>
      </c>
      <c r="AM10" s="8">
        <v>0</v>
      </c>
      <c r="AN10" s="8">
        <v>0</v>
      </c>
      <c r="AO10" s="8">
        <v>2</v>
      </c>
    </row>
    <row r="11" customHeight="1" spans="2:41">
      <c r="B11">
        <v>794</v>
      </c>
      <c r="C11" s="8">
        <v>2023</v>
      </c>
      <c r="D11" s="8">
        <v>9</v>
      </c>
      <c r="E11" s="8" t="s">
        <v>53</v>
      </c>
      <c r="F11" s="8" t="s">
        <v>44</v>
      </c>
      <c r="G11" s="8" t="s">
        <v>54</v>
      </c>
      <c r="H11" s="8" t="s">
        <v>51</v>
      </c>
      <c r="I11" s="8" t="s">
        <v>51</v>
      </c>
      <c r="J11" s="8" t="s">
        <v>44</v>
      </c>
      <c r="K11" s="8" t="s">
        <v>44</v>
      </c>
      <c r="L11" s="8" t="s">
        <v>44</v>
      </c>
      <c r="M11" s="8" t="s">
        <v>44</v>
      </c>
      <c r="N11" s="8" t="s">
        <v>44</v>
      </c>
      <c r="O11" s="8" t="s">
        <v>44</v>
      </c>
      <c r="P11" s="8" t="s">
        <v>44</v>
      </c>
      <c r="Q11" s="8" t="s">
        <v>44</v>
      </c>
      <c r="R11" s="8" t="s">
        <v>44</v>
      </c>
      <c r="AK11" s="8">
        <v>30</v>
      </c>
      <c r="AL11" s="8">
        <v>0</v>
      </c>
      <c r="AM11" s="8">
        <v>0</v>
      </c>
      <c r="AN11" s="8">
        <v>0</v>
      </c>
      <c r="AO11" s="8">
        <v>0</v>
      </c>
    </row>
    <row r="12" customHeight="1" spans="2:41">
      <c r="B12">
        <v>805</v>
      </c>
      <c r="C12" s="8">
        <v>2023</v>
      </c>
      <c r="D12" s="8">
        <v>10</v>
      </c>
      <c r="E12" s="8" t="s">
        <v>55</v>
      </c>
      <c r="F12" s="8" t="s">
        <v>44</v>
      </c>
      <c r="G12" s="8" t="s">
        <v>56</v>
      </c>
      <c r="H12" s="8" t="s">
        <v>56</v>
      </c>
      <c r="I12" s="8" t="s">
        <v>56</v>
      </c>
      <c r="J12" s="8" t="s">
        <v>56</v>
      </c>
      <c r="K12" s="8" t="s">
        <v>56</v>
      </c>
      <c r="L12" s="8" t="s">
        <v>56</v>
      </c>
      <c r="M12" s="8" t="s">
        <v>56</v>
      </c>
      <c r="N12" s="8" t="s">
        <v>56</v>
      </c>
      <c r="O12" s="8" t="s">
        <v>56</v>
      </c>
      <c r="P12" s="8" t="s">
        <v>56</v>
      </c>
      <c r="Q12" s="8" t="s">
        <v>56</v>
      </c>
      <c r="R12" s="8" t="s">
        <v>56</v>
      </c>
      <c r="S12" s="8" t="s">
        <v>56</v>
      </c>
      <c r="T12" s="8" t="s">
        <v>56</v>
      </c>
      <c r="U12" s="8" t="s">
        <v>56</v>
      </c>
      <c r="V12" s="8" t="s">
        <v>56</v>
      </c>
      <c r="W12" s="8" t="s">
        <v>56</v>
      </c>
      <c r="X12" s="8" t="s">
        <v>56</v>
      </c>
      <c r="Y12" s="8" t="s">
        <v>44</v>
      </c>
      <c r="Z12" s="8" t="s">
        <v>44</v>
      </c>
      <c r="AA12" s="8" t="s">
        <v>56</v>
      </c>
      <c r="AB12" s="8" t="s">
        <v>56</v>
      </c>
      <c r="AC12" s="8" t="s">
        <v>56</v>
      </c>
      <c r="AD12" s="8" t="s">
        <v>56</v>
      </c>
      <c r="AE12" s="8" t="s">
        <v>56</v>
      </c>
      <c r="AF12" s="8" t="s">
        <v>56</v>
      </c>
      <c r="AG12" s="8" t="s">
        <v>56</v>
      </c>
      <c r="AH12" s="8" t="s">
        <v>56</v>
      </c>
      <c r="AI12" s="8" t="s">
        <v>56</v>
      </c>
      <c r="AJ12" s="8" t="s">
        <v>56</v>
      </c>
      <c r="AK12" s="8">
        <v>31</v>
      </c>
      <c r="AL12" s="8">
        <v>0</v>
      </c>
      <c r="AM12" s="8">
        <v>0</v>
      </c>
      <c r="AN12" s="8">
        <v>0</v>
      </c>
      <c r="AO12" s="8">
        <v>0</v>
      </c>
    </row>
    <row r="13" customHeight="1" spans="2:41">
      <c r="B13">
        <v>806</v>
      </c>
      <c r="C13" s="8">
        <v>2023</v>
      </c>
      <c r="D13" s="8">
        <v>10</v>
      </c>
      <c r="E13" s="8" t="s">
        <v>57</v>
      </c>
      <c r="F13" s="8" t="s">
        <v>44</v>
      </c>
      <c r="G13" s="8" t="s">
        <v>44</v>
      </c>
      <c r="H13" s="8" t="s">
        <v>44</v>
      </c>
      <c r="I13" s="8" t="s">
        <v>44</v>
      </c>
      <c r="J13" s="8" t="s">
        <v>44</v>
      </c>
      <c r="K13" s="8" t="s">
        <v>44</v>
      </c>
      <c r="L13" s="8" t="s">
        <v>44</v>
      </c>
      <c r="M13" s="8" t="s">
        <v>44</v>
      </c>
      <c r="N13" s="8" t="s">
        <v>44</v>
      </c>
      <c r="O13" s="8" t="s">
        <v>44</v>
      </c>
      <c r="P13" s="8" t="s">
        <v>44</v>
      </c>
      <c r="Q13" s="8" t="s">
        <v>44</v>
      </c>
      <c r="R13" s="8" t="s">
        <v>44</v>
      </c>
      <c r="S13" s="8" t="s">
        <v>44</v>
      </c>
      <c r="T13" s="8" t="s">
        <v>44</v>
      </c>
      <c r="U13" s="8" t="s">
        <v>44</v>
      </c>
      <c r="V13" s="8" t="s">
        <v>44</v>
      </c>
      <c r="W13" s="8" t="s">
        <v>44</v>
      </c>
      <c r="X13" s="8" t="s">
        <v>44</v>
      </c>
      <c r="Y13" s="8" t="s">
        <v>44</v>
      </c>
      <c r="Z13" s="8" t="s">
        <v>44</v>
      </c>
      <c r="AA13" s="8" t="s">
        <v>44</v>
      </c>
      <c r="AB13" s="8" t="s">
        <v>44</v>
      </c>
      <c r="AC13" s="8" t="s">
        <v>44</v>
      </c>
      <c r="AD13" s="8" t="s">
        <v>44</v>
      </c>
      <c r="AE13" s="8" t="s">
        <v>44</v>
      </c>
      <c r="AF13" s="8" t="s">
        <v>44</v>
      </c>
      <c r="AG13" s="8" t="s">
        <v>44</v>
      </c>
      <c r="AH13" s="8" t="s">
        <v>44</v>
      </c>
      <c r="AI13" s="8" t="s">
        <v>44</v>
      </c>
      <c r="AJ13" s="8" t="s">
        <v>44</v>
      </c>
      <c r="AK13" s="8">
        <v>31</v>
      </c>
      <c r="AL13" s="8">
        <v>0</v>
      </c>
      <c r="AM13" s="8">
        <v>0</v>
      </c>
      <c r="AN13" s="8">
        <v>0</v>
      </c>
      <c r="AO13" s="8">
        <v>0</v>
      </c>
    </row>
    <row r="14" customHeight="1" spans="2:41">
      <c r="B14">
        <v>814</v>
      </c>
      <c r="C14" s="8">
        <v>2024</v>
      </c>
      <c r="D14" s="8">
        <v>9</v>
      </c>
      <c r="E14" s="8" t="s">
        <v>58</v>
      </c>
      <c r="F14" s="8" t="s">
        <v>43</v>
      </c>
      <c r="L14" s="8" t="s">
        <v>43</v>
      </c>
      <c r="M14" s="8" t="s">
        <v>43</v>
      </c>
      <c r="S14" s="8" t="s">
        <v>43</v>
      </c>
      <c r="T14" s="8" t="s">
        <v>43</v>
      </c>
      <c r="Z14" s="8" t="s">
        <v>43</v>
      </c>
      <c r="AA14" s="8" t="s">
        <v>43</v>
      </c>
      <c r="AG14" s="8" t="s">
        <v>43</v>
      </c>
      <c r="AH14" s="8" t="s">
        <v>43</v>
      </c>
      <c r="AK14" s="8">
        <v>21</v>
      </c>
      <c r="AL14" s="8">
        <v>0</v>
      </c>
      <c r="AM14" s="8">
        <v>0</v>
      </c>
      <c r="AN14" s="8">
        <v>0</v>
      </c>
      <c r="AO14" s="8">
        <v>0</v>
      </c>
    </row>
    <row r="15" customHeight="1" spans="2:41">
      <c r="B15">
        <v>815</v>
      </c>
      <c r="C15" s="8">
        <v>2024</v>
      </c>
      <c r="D15" s="8">
        <v>9</v>
      </c>
      <c r="E15" s="8" t="s">
        <v>58</v>
      </c>
      <c r="F15" s="8" t="s">
        <v>43</v>
      </c>
      <c r="L15" s="8" t="s">
        <v>43</v>
      </c>
      <c r="M15" s="8" t="s">
        <v>43</v>
      </c>
      <c r="S15" s="8" t="s">
        <v>43</v>
      </c>
      <c r="T15" s="8" t="s">
        <v>43</v>
      </c>
      <c r="Z15" s="8" t="s">
        <v>43</v>
      </c>
      <c r="AA15" s="8" t="s">
        <v>43</v>
      </c>
      <c r="AG15" s="8" t="s">
        <v>43</v>
      </c>
      <c r="AH15" s="8" t="s">
        <v>43</v>
      </c>
      <c r="AK15" s="8">
        <v>21</v>
      </c>
      <c r="AL15" s="8">
        <v>0</v>
      </c>
      <c r="AM15" s="8">
        <v>0</v>
      </c>
      <c r="AN15" s="8">
        <v>0</v>
      </c>
      <c r="AO15" s="8">
        <v>0</v>
      </c>
    </row>
    <row r="16" customHeight="1" spans="2:41">
      <c r="B16">
        <v>816</v>
      </c>
      <c r="C16" s="8">
        <v>2024</v>
      </c>
      <c r="D16" s="8">
        <v>9</v>
      </c>
      <c r="E16" s="8" t="s">
        <v>58</v>
      </c>
      <c r="F16" s="8" t="s">
        <v>44</v>
      </c>
      <c r="G16" s="8" t="s">
        <v>46</v>
      </c>
      <c r="H16" s="8" t="s">
        <v>46</v>
      </c>
      <c r="I16" s="8" t="s">
        <v>44</v>
      </c>
      <c r="J16" s="8" t="s">
        <v>44</v>
      </c>
      <c r="K16" s="8" t="s">
        <v>44</v>
      </c>
      <c r="L16" s="8" t="s">
        <v>44</v>
      </c>
      <c r="M16" s="8" t="s">
        <v>44</v>
      </c>
      <c r="N16" s="8" t="s">
        <v>44</v>
      </c>
      <c r="O16" s="8" t="s">
        <v>44</v>
      </c>
      <c r="P16" s="8" t="s">
        <v>44</v>
      </c>
      <c r="Q16" s="8" t="s">
        <v>44</v>
      </c>
      <c r="R16" s="8" t="s">
        <v>44</v>
      </c>
      <c r="S16" s="8" t="s">
        <v>44</v>
      </c>
      <c r="T16" s="8" t="s">
        <v>44</v>
      </c>
      <c r="U16" s="8" t="s">
        <v>44</v>
      </c>
      <c r="V16" s="8" t="s">
        <v>44</v>
      </c>
      <c r="W16" s="8" t="s">
        <v>44</v>
      </c>
      <c r="X16" s="8" t="s">
        <v>44</v>
      </c>
      <c r="Y16" s="8" t="s">
        <v>44</v>
      </c>
      <c r="Z16" s="8" t="s">
        <v>44</v>
      </c>
      <c r="AA16" s="8" t="s">
        <v>44</v>
      </c>
      <c r="AB16" s="8" t="s">
        <v>44</v>
      </c>
      <c r="AC16" s="8" t="s">
        <v>44</v>
      </c>
      <c r="AD16" s="8" t="s">
        <v>44</v>
      </c>
      <c r="AE16" s="8" t="s">
        <v>44</v>
      </c>
      <c r="AF16" s="8" t="s">
        <v>44</v>
      </c>
      <c r="AG16" s="8" t="s">
        <v>44</v>
      </c>
      <c r="AH16" s="8" t="s">
        <v>44</v>
      </c>
      <c r="AI16" s="8" t="s">
        <v>44</v>
      </c>
      <c r="AJ16" s="8" t="s">
        <v>51</v>
      </c>
      <c r="AK16" s="8">
        <v>30</v>
      </c>
      <c r="AL16" s="8">
        <v>0</v>
      </c>
      <c r="AM16" s="8">
        <v>0</v>
      </c>
      <c r="AN16" s="8">
        <v>0</v>
      </c>
      <c r="AO16" s="8">
        <v>0</v>
      </c>
    </row>
    <row r="17" customHeight="1" spans="2:41">
      <c r="B17">
        <v>817</v>
      </c>
      <c r="C17" s="8">
        <v>2024</v>
      </c>
      <c r="D17" s="8">
        <v>9</v>
      </c>
      <c r="E17" s="8" t="s">
        <v>58</v>
      </c>
      <c r="F17" s="8" t="s">
        <v>43</v>
      </c>
      <c r="L17" s="8" t="s">
        <v>43</v>
      </c>
      <c r="M17" s="8" t="s">
        <v>43</v>
      </c>
      <c r="S17" s="8" t="s">
        <v>43</v>
      </c>
      <c r="T17" s="8" t="s">
        <v>43</v>
      </c>
      <c r="Z17" s="8" t="s">
        <v>43</v>
      </c>
      <c r="AA17" s="8" t="s">
        <v>43</v>
      </c>
      <c r="AG17" s="8" t="s">
        <v>43</v>
      </c>
      <c r="AH17" s="8" t="s">
        <v>43</v>
      </c>
      <c r="AK17" s="8">
        <v>21</v>
      </c>
      <c r="AL17" s="8">
        <v>0</v>
      </c>
      <c r="AM17" s="8">
        <v>0</v>
      </c>
      <c r="AN17" s="8">
        <v>0</v>
      </c>
      <c r="AO17" s="8">
        <v>0</v>
      </c>
    </row>
    <row r="18" customHeight="1" spans="2:41">
      <c r="B18">
        <v>818</v>
      </c>
      <c r="C18" s="8">
        <v>2024</v>
      </c>
      <c r="D18" s="8">
        <v>9</v>
      </c>
      <c r="E18" s="8" t="s">
        <v>58</v>
      </c>
      <c r="F18" s="8" t="s">
        <v>43</v>
      </c>
      <c r="L18" s="8" t="s">
        <v>43</v>
      </c>
      <c r="M18" s="8" t="s">
        <v>43</v>
      </c>
      <c r="S18" s="8" t="s">
        <v>43</v>
      </c>
      <c r="T18" s="8" t="s">
        <v>43</v>
      </c>
      <c r="Z18" s="8" t="s">
        <v>43</v>
      </c>
      <c r="AA18" s="8" t="s">
        <v>43</v>
      </c>
      <c r="AG18" s="8" t="s">
        <v>43</v>
      </c>
      <c r="AH18" s="8" t="s">
        <v>43</v>
      </c>
      <c r="AK18" s="8">
        <v>21</v>
      </c>
      <c r="AL18" s="8">
        <v>0</v>
      </c>
      <c r="AM18" s="8">
        <v>0</v>
      </c>
      <c r="AN18" s="8">
        <v>0</v>
      </c>
      <c r="AO18" s="8">
        <v>0</v>
      </c>
    </row>
    <row r="19" customHeight="1" spans="2:41">
      <c r="B19">
        <v>819</v>
      </c>
      <c r="C19" s="8">
        <v>2024</v>
      </c>
      <c r="D19" s="8">
        <v>9</v>
      </c>
      <c r="E19" s="8" t="s">
        <v>58</v>
      </c>
      <c r="F19" s="8" t="s">
        <v>43</v>
      </c>
      <c r="L19" s="8" t="s">
        <v>43</v>
      </c>
      <c r="M19" s="8" t="s">
        <v>43</v>
      </c>
      <c r="S19" s="8" t="s">
        <v>43</v>
      </c>
      <c r="T19" s="8" t="s">
        <v>43</v>
      </c>
      <c r="Z19" s="8" t="s">
        <v>43</v>
      </c>
      <c r="AA19" s="8" t="s">
        <v>43</v>
      </c>
      <c r="AG19" s="8" t="s">
        <v>43</v>
      </c>
      <c r="AH19" s="8" t="s">
        <v>43</v>
      </c>
      <c r="AK19" s="8">
        <v>21</v>
      </c>
      <c r="AL19" s="8">
        <v>0</v>
      </c>
      <c r="AM19" s="8">
        <v>0</v>
      </c>
      <c r="AN19" s="8">
        <v>0</v>
      </c>
      <c r="AO19" s="8">
        <v>0</v>
      </c>
    </row>
    <row r="20" customHeight="1" spans="2:41">
      <c r="B20">
        <v>820</v>
      </c>
      <c r="C20" s="8">
        <v>2024</v>
      </c>
      <c r="D20" s="8">
        <v>9</v>
      </c>
      <c r="E20" s="8" t="s">
        <v>58</v>
      </c>
      <c r="F20" s="8" t="s">
        <v>43</v>
      </c>
      <c r="L20" s="8" t="s">
        <v>43</v>
      </c>
      <c r="M20" s="8" t="s">
        <v>43</v>
      </c>
      <c r="S20" s="8" t="s">
        <v>43</v>
      </c>
      <c r="T20" s="8" t="s">
        <v>43</v>
      </c>
      <c r="Z20" s="8" t="s">
        <v>43</v>
      </c>
      <c r="AA20" s="8" t="s">
        <v>43</v>
      </c>
      <c r="AG20" s="8" t="s">
        <v>43</v>
      </c>
      <c r="AH20" s="8" t="s">
        <v>43</v>
      </c>
      <c r="AK20" s="8">
        <v>21</v>
      </c>
      <c r="AL20" s="8">
        <v>0</v>
      </c>
      <c r="AM20" s="8">
        <v>0</v>
      </c>
      <c r="AN20" s="8">
        <v>0</v>
      </c>
      <c r="AO20" s="8">
        <v>0</v>
      </c>
    </row>
    <row r="21" customHeight="1" spans="2:41">
      <c r="B21">
        <v>821</v>
      </c>
      <c r="C21" s="8">
        <v>2024</v>
      </c>
      <c r="D21" s="8">
        <v>9</v>
      </c>
      <c r="E21" s="8" t="s">
        <v>59</v>
      </c>
      <c r="F21" s="8" t="s">
        <v>43</v>
      </c>
      <c r="L21" s="8" t="s">
        <v>43</v>
      </c>
      <c r="M21" s="8" t="s">
        <v>43</v>
      </c>
      <c r="S21" s="8" t="s">
        <v>43</v>
      </c>
      <c r="T21" s="8" t="s">
        <v>43</v>
      </c>
      <c r="Z21" s="8" t="s">
        <v>43</v>
      </c>
      <c r="AA21" s="8" t="s">
        <v>43</v>
      </c>
      <c r="AG21" s="8" t="s">
        <v>43</v>
      </c>
      <c r="AH21" s="8" t="s">
        <v>43</v>
      </c>
      <c r="AK21" s="8">
        <v>21</v>
      </c>
      <c r="AL21" s="8">
        <v>0</v>
      </c>
      <c r="AM21" s="8">
        <v>0</v>
      </c>
      <c r="AN21" s="8">
        <v>0</v>
      </c>
      <c r="AO21" s="8">
        <v>0</v>
      </c>
    </row>
    <row r="22" customHeight="1" spans="2:41">
      <c r="B22">
        <v>822</v>
      </c>
      <c r="C22" s="8">
        <v>2024</v>
      </c>
      <c r="D22" s="8">
        <v>9</v>
      </c>
      <c r="E22" s="8" t="s">
        <v>59</v>
      </c>
      <c r="F22" s="8" t="s">
        <v>43</v>
      </c>
      <c r="L22" s="8" t="s">
        <v>43</v>
      </c>
      <c r="M22" s="8" t="s">
        <v>43</v>
      </c>
      <c r="S22" s="8" t="s">
        <v>43</v>
      </c>
      <c r="T22" s="8" t="s">
        <v>43</v>
      </c>
      <c r="Z22" s="8" t="s">
        <v>43</v>
      </c>
      <c r="AA22" s="8" t="s">
        <v>43</v>
      </c>
      <c r="AG22" s="8" t="s">
        <v>43</v>
      </c>
      <c r="AH22" s="8" t="s">
        <v>43</v>
      </c>
      <c r="AK22" s="8">
        <v>21</v>
      </c>
      <c r="AL22" s="8">
        <v>0</v>
      </c>
      <c r="AM22" s="8">
        <v>0</v>
      </c>
      <c r="AN22" s="8">
        <v>0</v>
      </c>
      <c r="AO22" s="8">
        <v>0</v>
      </c>
    </row>
    <row r="23" customHeight="1" spans="2:41">
      <c r="B23">
        <v>823</v>
      </c>
      <c r="C23" s="8">
        <v>2024</v>
      </c>
      <c r="D23" s="8">
        <v>9</v>
      </c>
      <c r="E23" s="8" t="s">
        <v>60</v>
      </c>
      <c r="F23" s="8" t="s">
        <v>43</v>
      </c>
      <c r="L23" s="8" t="s">
        <v>43</v>
      </c>
      <c r="M23" s="8" t="s">
        <v>43</v>
      </c>
      <c r="S23" s="8" t="s">
        <v>43</v>
      </c>
      <c r="T23" s="8" t="s">
        <v>43</v>
      </c>
      <c r="Z23" s="8" t="s">
        <v>43</v>
      </c>
      <c r="AA23" s="8" t="s">
        <v>43</v>
      </c>
      <c r="AG23" s="8" t="s">
        <v>43</v>
      </c>
      <c r="AH23" s="8" t="s">
        <v>43</v>
      </c>
      <c r="AK23" s="8">
        <v>21</v>
      </c>
      <c r="AL23" s="8">
        <v>0</v>
      </c>
      <c r="AM23" s="8">
        <v>0</v>
      </c>
      <c r="AN23" s="8">
        <v>0</v>
      </c>
      <c r="AO23" s="8">
        <v>0</v>
      </c>
    </row>
    <row r="24" customHeight="1" spans="2:41">
      <c r="B24">
        <v>824</v>
      </c>
      <c r="C24" s="8">
        <v>2024</v>
      </c>
      <c r="D24" s="8">
        <v>9</v>
      </c>
      <c r="E24" s="8" t="s">
        <v>58</v>
      </c>
      <c r="F24" s="8" t="s">
        <v>43</v>
      </c>
      <c r="L24" s="8" t="s">
        <v>43</v>
      </c>
      <c r="M24" s="8" t="s">
        <v>43</v>
      </c>
      <c r="S24" s="8" t="s">
        <v>43</v>
      </c>
      <c r="T24" s="8" t="s">
        <v>43</v>
      </c>
      <c r="Z24" s="8" t="s">
        <v>43</v>
      </c>
      <c r="AA24" s="8" t="s">
        <v>43</v>
      </c>
      <c r="AG24" s="8" t="s">
        <v>43</v>
      </c>
      <c r="AH24" s="8" t="s">
        <v>43</v>
      </c>
      <c r="AK24" s="8">
        <v>21</v>
      </c>
      <c r="AL24" s="8">
        <v>0</v>
      </c>
      <c r="AM24" s="8">
        <v>0</v>
      </c>
      <c r="AN24" s="8">
        <v>0</v>
      </c>
      <c r="AO24" s="8">
        <v>0</v>
      </c>
    </row>
    <row r="25" customHeight="1" spans="2:41">
      <c r="B25">
        <v>831</v>
      </c>
      <c r="C25" s="8">
        <v>2024</v>
      </c>
      <c r="D25" s="8">
        <v>10</v>
      </c>
      <c r="E25" s="8" t="s">
        <v>61</v>
      </c>
      <c r="J25" s="8" t="s">
        <v>43</v>
      </c>
      <c r="K25" s="8" t="s">
        <v>43</v>
      </c>
      <c r="Q25" s="8" t="s">
        <v>43</v>
      </c>
      <c r="R25" s="8" t="s">
        <v>43</v>
      </c>
      <c r="X25" s="8" t="s">
        <v>43</v>
      </c>
      <c r="Y25" s="8" t="s">
        <v>43</v>
      </c>
      <c r="AE25" s="8" t="s">
        <v>43</v>
      </c>
      <c r="AF25" s="8" t="s">
        <v>43</v>
      </c>
      <c r="AL25" s="8">
        <v>0</v>
      </c>
      <c r="AM25" s="8"/>
      <c r="AN25" s="8"/>
      <c r="AO25" s="8">
        <v>0</v>
      </c>
    </row>
  </sheetData>
  <conditionalFormatting sqref="F13:Z13">
    <cfRule type="expression" dxfId="0" priority="11">
      <formula>MOD(ROW(),2)=0</formula>
    </cfRule>
  </conditionalFormatting>
  <conditionalFormatting sqref="AA13">
    <cfRule type="expression" dxfId="0" priority="10">
      <formula>MOD(ROW(),2)=0</formula>
    </cfRule>
  </conditionalFormatting>
  <conditionalFormatting sqref="AB13">
    <cfRule type="expression" dxfId="0" priority="9">
      <formula>MOD(ROW(),2)=0</formula>
    </cfRule>
  </conditionalFormatting>
  <conditionalFormatting sqref="AC13">
    <cfRule type="expression" dxfId="0" priority="8">
      <formula>MOD(ROW(),2)=0</formula>
    </cfRule>
  </conditionalFormatting>
  <conditionalFormatting sqref="AD13">
    <cfRule type="expression" dxfId="0" priority="7">
      <formula>MOD(ROW(),2)=0</formula>
    </cfRule>
  </conditionalFormatting>
  <conditionalFormatting sqref="AE13">
    <cfRule type="expression" dxfId="0" priority="6">
      <formula>MOD(ROW(),2)=0</formula>
    </cfRule>
  </conditionalFormatting>
  <conditionalFormatting sqref="AF13">
    <cfRule type="expression" dxfId="0" priority="5">
      <formula>MOD(ROW(),2)=0</formula>
    </cfRule>
  </conditionalFormatting>
  <conditionalFormatting sqref="AG13">
    <cfRule type="expression" dxfId="0" priority="4">
      <formula>MOD(ROW(),2)=0</formula>
    </cfRule>
  </conditionalFormatting>
  <conditionalFormatting sqref="AH13">
    <cfRule type="expression" dxfId="0" priority="3">
      <formula>MOD(ROW(),2)=0</formula>
    </cfRule>
  </conditionalFormatting>
  <conditionalFormatting sqref="AI13">
    <cfRule type="expression" dxfId="0" priority="2">
      <formula>MOD(ROW(),2)=0</formula>
    </cfRule>
  </conditionalFormatting>
  <conditionalFormatting sqref="AJ13">
    <cfRule type="expression" dxfId="0" priority="1">
      <formula>MOD(ROW(),2)=0</formula>
    </cfRule>
  </conditionalFormatting>
  <conditionalFormatting sqref="AK13">
    <cfRule type="expression" dxfId="0" priority="16">
      <formula>MOD(ROW(),2)=0</formula>
    </cfRule>
  </conditionalFormatting>
  <conditionalFormatting sqref="AL13">
    <cfRule type="expression" dxfId="0" priority="15">
      <formula>MOD(ROW(),2)=0</formula>
    </cfRule>
  </conditionalFormatting>
  <conditionalFormatting sqref="AM13">
    <cfRule type="expression" dxfId="0" priority="14">
      <formula>MOD(ROW(),2)=0</formula>
    </cfRule>
  </conditionalFormatting>
  <conditionalFormatting sqref="AN13">
    <cfRule type="expression" dxfId="0" priority="13">
      <formula>MOD(ROW(),2)=0</formula>
    </cfRule>
  </conditionalFormatting>
  <conditionalFormatting sqref="AO13">
    <cfRule type="expression" dxfId="0" priority="12">
      <formula>MOD(ROW(),2)=0</formula>
    </cfRule>
  </conditionalFormatting>
  <conditionalFormatting sqref="C5:Z10 C11:AJ11 C12:Z12 C13:E13 C14:Z1048576">
    <cfRule type="expression" dxfId="0" priority="43">
      <formula>MOD(ROW(),2)=0</formula>
    </cfRule>
  </conditionalFormatting>
  <conditionalFormatting sqref="AA5:AA10 AA12 AA14:AA1048576">
    <cfRule type="expression" dxfId="0" priority="42">
      <formula>MOD(ROW(),2)=0</formula>
    </cfRule>
  </conditionalFormatting>
  <conditionalFormatting sqref="AB5:AB10 AB12 AB14:AB1048576">
    <cfRule type="expression" dxfId="0" priority="41">
      <formula>MOD(ROW(),2)=0</formula>
    </cfRule>
  </conditionalFormatting>
  <conditionalFormatting sqref="AC5:AC10 AC12 AC14:AC1048576">
    <cfRule type="expression" dxfId="0" priority="40">
      <formula>MOD(ROW(),2)=0</formula>
    </cfRule>
  </conditionalFormatting>
  <conditionalFormatting sqref="AD5:AD10 AD12 AD14:AD1048576">
    <cfRule type="expression" dxfId="0" priority="39">
      <formula>MOD(ROW(),2)=0</formula>
    </cfRule>
  </conditionalFormatting>
  <conditionalFormatting sqref="AE5:AE10 AE12 AE14:AE1048576">
    <cfRule type="expression" dxfId="0" priority="38">
      <formula>MOD(ROW(),2)=0</formula>
    </cfRule>
  </conditionalFormatting>
  <conditionalFormatting sqref="AF5:AF10 AF12 AF14:AF1048576">
    <cfRule type="expression" dxfId="0" priority="37">
      <formula>MOD(ROW(),2)=0</formula>
    </cfRule>
  </conditionalFormatting>
  <conditionalFormatting sqref="AG5:AG10 AG12 AG14:AG1048576">
    <cfRule type="expression" dxfId="0" priority="36">
      <formula>MOD(ROW(),2)=0</formula>
    </cfRule>
  </conditionalFormatting>
  <conditionalFormatting sqref="AH5:AH10 AH12 AH14:AH1048576">
    <cfRule type="expression" dxfId="0" priority="35">
      <formula>MOD(ROW(),2)=0</formula>
    </cfRule>
  </conditionalFormatting>
  <conditionalFormatting sqref="AI5:AI10 AI12 AI14:AI1048576">
    <cfRule type="expression" dxfId="0" priority="34">
      <formula>MOD(ROW(),2)=0</formula>
    </cfRule>
  </conditionalFormatting>
  <conditionalFormatting sqref="AJ5:AJ10 AJ12 AJ14:AJ1048576">
    <cfRule type="expression" dxfId="0" priority="33">
      <formula>MOD(ROW(),2)=0</formula>
    </cfRule>
  </conditionalFormatting>
  <conditionalFormatting sqref="AK5:AK12 AK14:AK1048576">
    <cfRule type="expression" dxfId="0" priority="32">
      <formula>MOD(ROW(),2)=0</formula>
    </cfRule>
  </conditionalFormatting>
  <conditionalFormatting sqref="AL5:AL12 AL14:AL1048576">
    <cfRule type="expression" dxfId="0" priority="31">
      <formula>MOD(ROW(),2)=0</formula>
    </cfRule>
  </conditionalFormatting>
  <conditionalFormatting sqref="AM5:AM12 AM14:AM1048576">
    <cfRule type="expression" dxfId="0" priority="30">
      <formula>MOD(ROW(),2)=0</formula>
    </cfRule>
  </conditionalFormatting>
  <conditionalFormatting sqref="AN5:AN12 AN14:AN1048576">
    <cfRule type="expression" dxfId="0" priority="29">
      <formula>MOD(ROW(),2)=0</formula>
    </cfRule>
  </conditionalFormatting>
  <conditionalFormatting sqref="AO5:AO12 AO14:AO1048576">
    <cfRule type="expression" dxfId="0" priority="28">
      <formula>MOD(ROW(),2)=0</formula>
    </cfRule>
  </conditionalFormatting>
  <dataValidations count="3">
    <dataValidation type="list" allowBlank="1" showInputMessage="1" showErrorMessage="1" sqref="D14">
      <formula1>"01,02,03,04,05,06,07,08,09,10,11,12"</formula1>
    </dataValidation>
    <dataValidation type="list" allowBlank="1" showInputMessage="1" showErrorMessage="1" sqref="D5:D13 D15:D1048576">
      <formula1>"1,2,3,4,5,6,7,8,9,10,11,12"</formula1>
    </dataValidation>
    <dataValidation type="list" allowBlank="1" showInputMessage="1" showErrorMessage="1" sqref="F5:AJ1048576">
      <formula1>"-,出勤,旷勤,请假,迟到,早退"</formula1>
    </dataValidation>
  </dataValidations>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AD14"/>
  <sheetViews>
    <sheetView showGridLines="0" workbookViewId="0">
      <pane ySplit="4" topLeftCell="A5" activePane="bottomLeft" state="frozen"/>
      <selection/>
      <selection pane="bottomLeft" activeCell="C5" sqref="C5"/>
    </sheetView>
  </sheetViews>
  <sheetFormatPr defaultColWidth="9" defaultRowHeight="20" customHeight="1"/>
  <cols>
    <col min="1" max="1" width="4.625" customWidth="1"/>
    <col min="2" max="2" width="4.625" hidden="1" customWidth="1"/>
    <col min="3" max="5" width="12.625" style="24" customWidth="1"/>
    <col min="6" max="7" width="12.625" style="10" customWidth="1"/>
    <col min="8" max="8" width="20" style="10" customWidth="1"/>
    <col min="9" max="10" width="12.625" style="24" customWidth="1"/>
    <col min="11" max="11" width="12.625" style="10" customWidth="1"/>
    <col min="12" max="17" width="12.625" style="24" customWidth="1"/>
    <col min="18" max="18" width="22.75" style="10" customWidth="1"/>
    <col min="19" max="26" width="12.625" style="24" customWidth="1"/>
    <col min="27" max="27" width="21.625" style="24" customWidth="1"/>
    <col min="28" max="28" width="22" style="24" customWidth="1"/>
    <col min="29" max="29" width="12.625" style="24" customWidth="1"/>
    <col min="30" max="30" width="22.25" style="24" customWidth="1"/>
  </cols>
  <sheetData>
    <row r="1" ht="54.75" customHeight="1" spans="3:30">
      <c r="C1"/>
      <c r="D1"/>
      <c r="E1"/>
      <c r="F1" s="15"/>
      <c r="G1" s="15"/>
      <c r="H1" s="15"/>
      <c r="I1"/>
      <c r="J1"/>
      <c r="K1" s="15"/>
      <c r="L1"/>
      <c r="M1"/>
      <c r="N1"/>
      <c r="O1"/>
      <c r="P1"/>
      <c r="Q1"/>
      <c r="R1" s="15"/>
      <c r="S1"/>
      <c r="T1"/>
      <c r="U1"/>
      <c r="V1"/>
      <c r="W1"/>
      <c r="X1"/>
      <c r="Y1"/>
      <c r="Z1"/>
      <c r="AA1"/>
      <c r="AB1"/>
      <c r="AC1"/>
      <c r="AD1"/>
    </row>
    <row r="2" ht="40" customHeight="1" spans="3:30">
      <c r="C2" s="4" t="s">
        <v>62</v>
      </c>
      <c r="D2"/>
      <c r="E2"/>
      <c r="F2" s="15"/>
      <c r="G2" s="15"/>
      <c r="H2" s="15"/>
      <c r="I2"/>
      <c r="J2"/>
      <c r="K2" s="15"/>
      <c r="L2"/>
      <c r="M2"/>
      <c r="N2"/>
      <c r="O2"/>
      <c r="P2"/>
      <c r="Q2"/>
      <c r="R2" s="15"/>
      <c r="S2"/>
      <c r="T2"/>
      <c r="U2"/>
      <c r="V2"/>
      <c r="W2"/>
      <c r="X2"/>
      <c r="Y2"/>
      <c r="Z2" s="13"/>
      <c r="AA2"/>
      <c r="AB2"/>
      <c r="AC2"/>
      <c r="AD2"/>
    </row>
    <row r="3" ht="30" customHeight="1" spans="3:30">
      <c r="C3"/>
      <c r="D3"/>
      <c r="E3"/>
      <c r="F3" s="15"/>
      <c r="G3" s="15"/>
      <c r="H3" s="15"/>
      <c r="I3"/>
      <c r="J3"/>
      <c r="K3" s="15"/>
      <c r="L3"/>
      <c r="M3"/>
      <c r="N3"/>
      <c r="O3"/>
      <c r="P3"/>
      <c r="Q3"/>
      <c r="R3" s="15"/>
      <c r="S3"/>
      <c r="T3"/>
      <c r="U3"/>
      <c r="V3"/>
      <c r="W3"/>
      <c r="X3"/>
      <c r="Y3"/>
      <c r="Z3" s="13"/>
      <c r="AA3"/>
      <c r="AB3"/>
      <c r="AC3"/>
      <c r="AD3"/>
    </row>
    <row r="4" ht="30" customHeight="1" spans="3:30">
      <c r="C4" s="25" t="s">
        <v>36</v>
      </c>
      <c r="D4" s="25" t="s">
        <v>63</v>
      </c>
      <c r="E4" s="25" t="s">
        <v>64</v>
      </c>
      <c r="F4" s="18" t="s">
        <v>65</v>
      </c>
      <c r="G4" s="18" t="s">
        <v>66</v>
      </c>
      <c r="H4" s="18" t="s">
        <v>67</v>
      </c>
      <c r="I4" s="25" t="s">
        <v>68</v>
      </c>
      <c r="J4" s="25" t="s">
        <v>69</v>
      </c>
      <c r="K4" s="18" t="s">
        <v>70</v>
      </c>
      <c r="L4" s="25" t="s">
        <v>71</v>
      </c>
      <c r="M4" s="26" t="s">
        <v>72</v>
      </c>
      <c r="N4" s="25" t="s">
        <v>73</v>
      </c>
      <c r="O4" s="25" t="s">
        <v>74</v>
      </c>
      <c r="P4" s="25" t="s">
        <v>75</v>
      </c>
      <c r="Q4" s="25" t="s">
        <v>76</v>
      </c>
      <c r="R4" s="18" t="s">
        <v>77</v>
      </c>
      <c r="S4" s="26" t="s">
        <v>78</v>
      </c>
      <c r="T4" s="25" t="s">
        <v>79</v>
      </c>
      <c r="U4" s="25" t="s">
        <v>80</v>
      </c>
      <c r="V4" s="25" t="s">
        <v>81</v>
      </c>
      <c r="W4" s="25" t="s">
        <v>82</v>
      </c>
      <c r="X4" s="25" t="s">
        <v>83</v>
      </c>
      <c r="Y4" s="25" t="s">
        <v>84</v>
      </c>
      <c r="Z4" s="26" t="s">
        <v>85</v>
      </c>
      <c r="AA4" s="25" t="s">
        <v>86</v>
      </c>
      <c r="AB4" s="25" t="s">
        <v>87</v>
      </c>
      <c r="AC4" s="25" t="s">
        <v>88</v>
      </c>
      <c r="AD4" s="25" t="s">
        <v>89</v>
      </c>
    </row>
    <row r="5" customHeight="1" spans="2:30">
      <c r="B5">
        <v>76</v>
      </c>
      <c r="C5" s="24" t="s">
        <v>60</v>
      </c>
      <c r="D5" s="24" t="s">
        <v>90</v>
      </c>
      <c r="E5" s="24" t="s">
        <v>91</v>
      </c>
      <c r="F5" s="10" t="s">
        <v>92</v>
      </c>
      <c r="G5" s="10" t="s">
        <v>92</v>
      </c>
      <c r="H5" s="10" t="s">
        <v>93</v>
      </c>
      <c r="I5" s="24" t="s">
        <v>94</v>
      </c>
      <c r="J5" s="24" t="s">
        <v>95</v>
      </c>
      <c r="K5" s="10" t="s">
        <v>96</v>
      </c>
      <c r="L5" s="24" t="s">
        <v>97</v>
      </c>
      <c r="M5" s="9">
        <v>45097</v>
      </c>
      <c r="N5" s="24" t="s">
        <v>98</v>
      </c>
      <c r="O5" s="24" t="s">
        <v>99</v>
      </c>
      <c r="P5" s="24">
        <v>9000</v>
      </c>
      <c r="Q5" s="24">
        <v>2000</v>
      </c>
      <c r="R5" s="10" t="s">
        <v>100</v>
      </c>
      <c r="S5" s="9">
        <v>43922</v>
      </c>
      <c r="T5" s="24">
        <v>3</v>
      </c>
      <c r="Z5" s="9"/>
      <c r="AD5" s="24" t="s">
        <v>101</v>
      </c>
    </row>
    <row r="6" customHeight="1" spans="2:30">
      <c r="B6">
        <v>94</v>
      </c>
      <c r="C6" s="24" t="s">
        <v>102</v>
      </c>
      <c r="D6" s="24" t="s">
        <v>90</v>
      </c>
      <c r="E6" s="24" t="s">
        <v>103</v>
      </c>
      <c r="F6" s="10" t="s">
        <v>104</v>
      </c>
      <c r="G6" s="10" t="s">
        <v>104</v>
      </c>
      <c r="H6" s="10" t="s">
        <v>105</v>
      </c>
      <c r="I6" s="24" t="s">
        <v>94</v>
      </c>
      <c r="J6" s="24" t="s">
        <v>95</v>
      </c>
      <c r="K6" s="10" t="s">
        <v>106</v>
      </c>
      <c r="L6" s="24" t="s">
        <v>97</v>
      </c>
      <c r="M6" s="9">
        <v>36047</v>
      </c>
      <c r="N6" s="24" t="s">
        <v>98</v>
      </c>
      <c r="O6" s="24" t="s">
        <v>99</v>
      </c>
      <c r="P6" s="24">
        <v>6000</v>
      </c>
      <c r="Q6" s="24">
        <v>2000</v>
      </c>
      <c r="R6" s="10" t="s">
        <v>107</v>
      </c>
      <c r="S6" s="9">
        <v>43908</v>
      </c>
      <c r="T6" s="24">
        <v>3</v>
      </c>
      <c r="Z6" s="9"/>
      <c r="AD6" s="24" t="s">
        <v>108</v>
      </c>
    </row>
    <row r="7" customHeight="1" spans="2:30">
      <c r="B7">
        <v>108</v>
      </c>
      <c r="C7" s="24" t="s">
        <v>45</v>
      </c>
      <c r="D7" s="24" t="s">
        <v>90</v>
      </c>
      <c r="E7" s="24" t="s">
        <v>109</v>
      </c>
      <c r="F7" s="10" t="s">
        <v>110</v>
      </c>
      <c r="G7" s="10" t="s">
        <v>110</v>
      </c>
      <c r="H7" s="10" t="s">
        <v>111</v>
      </c>
      <c r="I7" s="24" t="s">
        <v>94</v>
      </c>
      <c r="J7" s="24" t="s">
        <v>95</v>
      </c>
      <c r="K7" s="10" t="s">
        <v>112</v>
      </c>
      <c r="L7" s="24" t="s">
        <v>97</v>
      </c>
      <c r="M7" s="9">
        <v>34859</v>
      </c>
      <c r="N7" s="24" t="s">
        <v>98</v>
      </c>
      <c r="O7" s="24" t="s">
        <v>99</v>
      </c>
      <c r="P7" s="24">
        <v>5000</v>
      </c>
      <c r="Q7" s="24">
        <v>2000</v>
      </c>
      <c r="R7" s="10" t="s">
        <v>113</v>
      </c>
      <c r="S7" s="9">
        <v>44378</v>
      </c>
      <c r="T7" s="24">
        <v>2</v>
      </c>
      <c r="Z7" s="9"/>
      <c r="AD7" s="24" t="s">
        <v>114</v>
      </c>
    </row>
    <row r="8" customHeight="1" spans="2:30">
      <c r="B8">
        <v>174</v>
      </c>
      <c r="C8" s="24" t="s">
        <v>42</v>
      </c>
      <c r="D8" s="24" t="s">
        <v>115</v>
      </c>
      <c r="E8" s="24" t="s">
        <v>91</v>
      </c>
      <c r="F8" s="10" t="s">
        <v>116</v>
      </c>
      <c r="G8" s="10" t="s">
        <v>116</v>
      </c>
      <c r="H8" s="10" t="s">
        <v>117</v>
      </c>
      <c r="I8" s="24" t="s">
        <v>94</v>
      </c>
      <c r="J8" s="24" t="s">
        <v>118</v>
      </c>
      <c r="K8" s="10" t="s">
        <v>119</v>
      </c>
      <c r="L8" s="24" t="s">
        <v>120</v>
      </c>
      <c r="M8" s="9">
        <v>38204</v>
      </c>
      <c r="N8" s="24" t="s">
        <v>98</v>
      </c>
      <c r="O8" s="24" t="s">
        <v>99</v>
      </c>
      <c r="P8" s="24">
        <v>3000</v>
      </c>
      <c r="Q8" s="24">
        <v>200</v>
      </c>
      <c r="R8" s="10" t="s">
        <v>121</v>
      </c>
      <c r="S8" s="9">
        <v>45017</v>
      </c>
      <c r="T8" s="24">
        <v>1</v>
      </c>
      <c r="Z8" s="9"/>
      <c r="AD8" s="9" t="s">
        <v>122</v>
      </c>
    </row>
    <row r="9" customHeight="1" spans="2:30">
      <c r="B9">
        <v>175</v>
      </c>
      <c r="C9" s="24" t="s">
        <v>123</v>
      </c>
      <c r="D9" s="24" t="s">
        <v>90</v>
      </c>
      <c r="E9" s="24" t="s">
        <v>91</v>
      </c>
      <c r="F9" s="10" t="s">
        <v>124</v>
      </c>
      <c r="G9" s="10" t="s">
        <v>124</v>
      </c>
      <c r="H9" s="10" t="s">
        <v>125</v>
      </c>
      <c r="I9" s="24" t="s">
        <v>94</v>
      </c>
      <c r="J9" s="24" t="s">
        <v>118</v>
      </c>
      <c r="K9" s="10" t="s">
        <v>126</v>
      </c>
      <c r="L9" s="24" t="s">
        <v>97</v>
      </c>
      <c r="M9" s="9">
        <v>32998</v>
      </c>
      <c r="N9" s="24" t="s">
        <v>127</v>
      </c>
      <c r="O9" s="24" t="s">
        <v>99</v>
      </c>
      <c r="P9" s="24">
        <v>5000</v>
      </c>
      <c r="Q9" s="24">
        <v>450</v>
      </c>
      <c r="R9" s="10" t="s">
        <v>121</v>
      </c>
      <c r="S9" s="9">
        <v>43020</v>
      </c>
      <c r="T9" s="24">
        <v>6</v>
      </c>
      <c r="Z9" s="9"/>
      <c r="AD9" s="24" t="s">
        <v>128</v>
      </c>
    </row>
    <row r="10" customHeight="1" spans="2:30">
      <c r="B10">
        <v>176</v>
      </c>
      <c r="C10" s="24" t="s">
        <v>129</v>
      </c>
      <c r="D10" s="24" t="s">
        <v>115</v>
      </c>
      <c r="E10" s="24" t="s">
        <v>103</v>
      </c>
      <c r="F10" s="10" t="s">
        <v>130</v>
      </c>
      <c r="G10" s="10" t="s">
        <v>130</v>
      </c>
      <c r="H10" s="10" t="s">
        <v>131</v>
      </c>
      <c r="I10" s="24" t="s">
        <v>132</v>
      </c>
      <c r="J10" s="24" t="s">
        <v>118</v>
      </c>
      <c r="K10" s="10" t="s">
        <v>133</v>
      </c>
      <c r="L10" s="24" t="s">
        <v>120</v>
      </c>
      <c r="M10" s="9">
        <v>36915</v>
      </c>
      <c r="N10" s="24" t="s">
        <v>98</v>
      </c>
      <c r="O10" s="24" t="s">
        <v>99</v>
      </c>
      <c r="P10" s="24">
        <v>3000</v>
      </c>
      <c r="Q10" s="24">
        <v>200</v>
      </c>
      <c r="R10" s="10" t="s">
        <v>134</v>
      </c>
      <c r="S10" s="9">
        <v>43922</v>
      </c>
      <c r="T10" s="24">
        <v>3</v>
      </c>
      <c r="Z10" s="9"/>
      <c r="AD10" s="9">
        <v>43922</v>
      </c>
    </row>
    <row r="11" customHeight="1" spans="2:30">
      <c r="B11">
        <v>177</v>
      </c>
      <c r="C11" s="24" t="s">
        <v>48</v>
      </c>
      <c r="D11" s="24" t="s">
        <v>115</v>
      </c>
      <c r="E11" s="24" t="s">
        <v>91</v>
      </c>
      <c r="F11" s="10" t="s">
        <v>135</v>
      </c>
      <c r="G11" s="10" t="s">
        <v>135</v>
      </c>
      <c r="H11" s="10" t="s">
        <v>136</v>
      </c>
      <c r="I11" s="24" t="s">
        <v>94</v>
      </c>
      <c r="J11" s="24" t="s">
        <v>95</v>
      </c>
      <c r="K11" s="10" t="s">
        <v>137</v>
      </c>
      <c r="L11" s="24" t="s">
        <v>120</v>
      </c>
      <c r="M11" s="9">
        <v>36894</v>
      </c>
      <c r="N11" s="24" t="s">
        <v>98</v>
      </c>
      <c r="O11" s="24" t="s">
        <v>99</v>
      </c>
      <c r="P11" s="24">
        <v>3000</v>
      </c>
      <c r="Q11" s="24">
        <v>200</v>
      </c>
      <c r="R11" s="10" t="s">
        <v>138</v>
      </c>
      <c r="S11" s="9">
        <v>43922</v>
      </c>
      <c r="T11" s="24">
        <v>3</v>
      </c>
      <c r="Z11" s="9"/>
      <c r="AD11" s="24" t="s">
        <v>139</v>
      </c>
    </row>
    <row r="12" customHeight="1" spans="2:30">
      <c r="B12">
        <v>178</v>
      </c>
      <c r="C12" s="24" t="s">
        <v>49</v>
      </c>
      <c r="D12" s="24" t="s">
        <v>140</v>
      </c>
      <c r="E12" s="24" t="s">
        <v>91</v>
      </c>
      <c r="F12" s="10" t="s">
        <v>141</v>
      </c>
      <c r="G12" s="10" t="s">
        <v>141</v>
      </c>
      <c r="H12" s="10" t="s">
        <v>142</v>
      </c>
      <c r="I12" s="24" t="s">
        <v>94</v>
      </c>
      <c r="J12" s="24" t="s">
        <v>118</v>
      </c>
      <c r="K12" s="10" t="s">
        <v>143</v>
      </c>
      <c r="L12" s="24" t="s">
        <v>120</v>
      </c>
      <c r="M12" s="9">
        <v>34235</v>
      </c>
      <c r="N12" s="24" t="s">
        <v>98</v>
      </c>
      <c r="O12" s="24" t="s">
        <v>99</v>
      </c>
      <c r="P12" s="24">
        <v>5000</v>
      </c>
      <c r="Q12" s="24">
        <v>200</v>
      </c>
      <c r="R12" s="10" t="s">
        <v>144</v>
      </c>
      <c r="S12" s="9">
        <v>45006</v>
      </c>
      <c r="T12" s="24">
        <v>1</v>
      </c>
      <c r="U12" s="24">
        <v>1</v>
      </c>
      <c r="V12" s="24">
        <v>2</v>
      </c>
      <c r="W12" s="24">
        <v>3</v>
      </c>
      <c r="X12" s="24">
        <v>4</v>
      </c>
      <c r="Y12" s="24">
        <v>5</v>
      </c>
      <c r="Z12" s="24">
        <v>6</v>
      </c>
      <c r="AA12" s="24">
        <v>7</v>
      </c>
      <c r="AB12" s="24">
        <v>8</v>
      </c>
      <c r="AC12" s="24">
        <v>9</v>
      </c>
      <c r="AD12" s="9" t="s">
        <v>145</v>
      </c>
    </row>
    <row r="13" customHeight="1" spans="2:30">
      <c r="B13">
        <v>179</v>
      </c>
      <c r="C13" s="24" t="s">
        <v>50</v>
      </c>
      <c r="D13" s="24" t="s">
        <v>146</v>
      </c>
      <c r="E13" s="24" t="s">
        <v>91</v>
      </c>
      <c r="F13" s="10" t="s">
        <v>147</v>
      </c>
      <c r="G13" s="10" t="s">
        <v>147</v>
      </c>
      <c r="H13" s="10" t="s">
        <v>148</v>
      </c>
      <c r="I13" s="24" t="s">
        <v>94</v>
      </c>
      <c r="J13" s="24" t="s">
        <v>118</v>
      </c>
      <c r="K13" s="10" t="s">
        <v>149</v>
      </c>
      <c r="L13" s="24" t="s">
        <v>120</v>
      </c>
      <c r="M13" s="9">
        <v>36872</v>
      </c>
      <c r="N13" s="24" t="s">
        <v>98</v>
      </c>
      <c r="O13" s="24" t="s">
        <v>99</v>
      </c>
      <c r="P13" s="24">
        <v>3000</v>
      </c>
      <c r="Q13" s="24">
        <v>300</v>
      </c>
      <c r="R13" s="10" t="s">
        <v>150</v>
      </c>
      <c r="S13" s="9">
        <v>45017</v>
      </c>
      <c r="T13" s="24">
        <v>3</v>
      </c>
      <c r="U13" s="24" t="s">
        <v>151</v>
      </c>
      <c r="AD13" s="24" t="s">
        <v>152</v>
      </c>
    </row>
    <row r="14" customHeight="1" spans="2:30">
      <c r="B14">
        <v>191</v>
      </c>
      <c r="C14" s="24" t="s">
        <v>58</v>
      </c>
      <c r="D14" s="24" t="s">
        <v>115</v>
      </c>
      <c r="E14" s="24" t="s">
        <v>153</v>
      </c>
      <c r="F14" s="10" t="s">
        <v>154</v>
      </c>
      <c r="G14" s="10" t="s">
        <v>155</v>
      </c>
      <c r="H14" s="10" t="s">
        <v>156</v>
      </c>
      <c r="I14" s="24" t="s">
        <v>94</v>
      </c>
      <c r="J14" s="24" t="s">
        <v>157</v>
      </c>
      <c r="K14" s="10" t="s">
        <v>158</v>
      </c>
      <c r="L14" s="24" t="s">
        <v>120</v>
      </c>
      <c r="M14" s="9">
        <v>45581</v>
      </c>
      <c r="N14" s="24" t="s">
        <v>98</v>
      </c>
      <c r="O14" s="24" t="s">
        <v>99</v>
      </c>
      <c r="P14" s="24">
        <v>1000</v>
      </c>
      <c r="Q14" s="24">
        <v>599</v>
      </c>
      <c r="R14" s="10" t="s">
        <v>159</v>
      </c>
      <c r="S14" s="9">
        <v>45536</v>
      </c>
      <c r="T14" s="24">
        <v>1</v>
      </c>
      <c r="U14" s="24">
        <v>3</v>
      </c>
      <c r="V14" s="24">
        <v>5</v>
      </c>
      <c r="W14" s="24">
        <v>7</v>
      </c>
      <c r="X14" s="24">
        <v>9</v>
      </c>
      <c r="Y14" s="24">
        <v>11</v>
      </c>
      <c r="Z14" s="24">
        <v>13</v>
      </c>
      <c r="AA14" s="24">
        <v>15</v>
      </c>
      <c r="AB14" s="24">
        <v>17</v>
      </c>
      <c r="AC14" s="24">
        <v>19</v>
      </c>
      <c r="AD14" s="9">
        <v>45560</v>
      </c>
    </row>
  </sheetData>
  <conditionalFormatting sqref="N14">
    <cfRule type="expression" dxfId="0" priority="2">
      <formula>MOD(ROW(),2)=0</formula>
    </cfRule>
  </conditionalFormatting>
  <conditionalFormatting sqref="O14">
    <cfRule type="expression" dxfId="0" priority="1">
      <formula>MOD(ROW(),2)=0</formula>
    </cfRule>
  </conditionalFormatting>
  <conditionalFormatting sqref="AD14">
    <cfRule type="expression" dxfId="0" priority="3">
      <formula>MOD(ROW(),2)=0</formula>
    </cfRule>
  </conditionalFormatting>
  <conditionalFormatting sqref="C5:AC13 C15:AC1048576">
    <cfRule type="expression" dxfId="0" priority="8">
      <formula>MOD(ROW(),2)=0</formula>
    </cfRule>
  </conditionalFormatting>
  <conditionalFormatting sqref="AD5:AD13 AD15:AD1048576">
    <cfRule type="expression" dxfId="0" priority="7">
      <formula>MOD(ROW(),2)=0</formula>
    </cfRule>
  </conditionalFormatting>
  <conditionalFormatting sqref="C14:M14 P14:AC14">
    <cfRule type="expression" dxfId="0" priority="4">
      <formula>MOD(ROW(),2)=0</formula>
    </cfRule>
  </conditionalFormatting>
  <dataValidations count="2">
    <dataValidation type="list" allowBlank="1" showInputMessage="1" showErrorMessage="1" sqref="D5:D1048576">
      <formula1>配置表!$E$5:$E$65536</formula1>
    </dataValidation>
    <dataValidation type="list" allowBlank="1" showInputMessage="1" showErrorMessage="1" sqref="E5:E1048576">
      <formula1>配置表!$F$5:$F$65536</formula1>
    </dataValidation>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CX13"/>
  <sheetViews>
    <sheetView workbookViewId="0">
      <selection activeCell="D19" sqref="D19"/>
    </sheetView>
  </sheetViews>
  <sheetFormatPr defaultColWidth="9" defaultRowHeight="14.25"/>
  <cols>
    <col min="25" max="25" width="12.625" style="15"/>
    <col min="26" max="26" width="11.5" style="16"/>
    <col min="29" max="29" width="12.625" style="15"/>
    <col min="81" max="81" width="11.5" style="12"/>
    <col min="82" max="82" width="9" style="12"/>
    <col min="83" max="83" width="12.375" style="16" customWidth="1"/>
    <col min="84" max="84" width="9" style="16"/>
  </cols>
  <sheetData>
    <row r="1" spans="1:102">
      <c r="A1" t="s">
        <v>160</v>
      </c>
      <c r="B1" t="s">
        <v>36</v>
      </c>
      <c r="C1" t="s">
        <v>65</v>
      </c>
      <c r="D1" t="s">
        <v>66</v>
      </c>
      <c r="E1" t="s">
        <v>161</v>
      </c>
      <c r="J1" t="s">
        <v>162</v>
      </c>
      <c r="K1" t="s">
        <v>163</v>
      </c>
      <c r="L1" t="s">
        <v>164</v>
      </c>
      <c r="M1" t="s">
        <v>165</v>
      </c>
      <c r="N1" t="s">
        <v>166</v>
      </c>
      <c r="O1" t="s">
        <v>167</v>
      </c>
      <c r="P1" t="s">
        <v>168</v>
      </c>
      <c r="V1" s="12" t="s">
        <v>36</v>
      </c>
      <c r="W1" s="12" t="s">
        <v>63</v>
      </c>
      <c r="X1" s="12" t="s">
        <v>169</v>
      </c>
      <c r="Y1" s="15" t="s">
        <v>67</v>
      </c>
      <c r="Z1" s="16" t="s">
        <v>78</v>
      </c>
      <c r="AA1" s="12" t="s">
        <v>75</v>
      </c>
      <c r="AB1" s="12" t="s">
        <v>76</v>
      </c>
      <c r="AC1" s="15" t="s">
        <v>170</v>
      </c>
      <c r="AI1" t="s">
        <v>63</v>
      </c>
      <c r="AJ1" t="s">
        <v>36</v>
      </c>
      <c r="AK1" t="s">
        <v>169</v>
      </c>
      <c r="AL1" t="s">
        <v>75</v>
      </c>
      <c r="AM1" t="s">
        <v>171</v>
      </c>
      <c r="AN1" t="s">
        <v>172</v>
      </c>
      <c r="AO1" t="s">
        <v>173</v>
      </c>
      <c r="AP1" t="s">
        <v>174</v>
      </c>
      <c r="AQ1" t="s">
        <v>175</v>
      </c>
      <c r="AR1" t="s">
        <v>176</v>
      </c>
      <c r="AS1" t="s">
        <v>177</v>
      </c>
      <c r="AT1" t="s">
        <v>178</v>
      </c>
      <c r="AU1" t="s">
        <v>179</v>
      </c>
      <c r="AV1" t="s">
        <v>180</v>
      </c>
      <c r="AW1" t="s">
        <v>181</v>
      </c>
      <c r="AX1" t="s">
        <v>41</v>
      </c>
      <c r="AY1" t="s">
        <v>182</v>
      </c>
      <c r="AZ1" t="s">
        <v>183</v>
      </c>
      <c r="BA1" t="s">
        <v>184</v>
      </c>
      <c r="BB1" t="s">
        <v>185</v>
      </c>
      <c r="BC1" t="s">
        <v>186</v>
      </c>
      <c r="BD1" t="s">
        <v>187</v>
      </c>
      <c r="BE1" t="s">
        <v>188</v>
      </c>
      <c r="BF1" t="s">
        <v>189</v>
      </c>
      <c r="BG1" t="s">
        <v>190</v>
      </c>
      <c r="BH1" t="s">
        <v>191</v>
      </c>
      <c r="BI1" t="s">
        <v>192</v>
      </c>
      <c r="BJ1" t="s">
        <v>193</v>
      </c>
      <c r="BK1" t="s">
        <v>194</v>
      </c>
      <c r="BL1" t="s">
        <v>195</v>
      </c>
      <c r="BM1" t="s">
        <v>196</v>
      </c>
      <c r="BN1" t="s">
        <v>197</v>
      </c>
      <c r="BO1" t="s">
        <v>198</v>
      </c>
      <c r="BP1" t="s">
        <v>199</v>
      </c>
      <c r="BQ1" t="s">
        <v>200</v>
      </c>
      <c r="BR1" t="s">
        <v>201</v>
      </c>
      <c r="BS1" t="s">
        <v>202</v>
      </c>
      <c r="BT1" t="s">
        <v>194</v>
      </c>
      <c r="BU1" t="s">
        <v>195</v>
      </c>
      <c r="BV1" t="s">
        <v>196</v>
      </c>
      <c r="BW1" t="s">
        <v>203</v>
      </c>
      <c r="BX1" t="s">
        <v>204</v>
      </c>
      <c r="BY1" t="s">
        <v>205</v>
      </c>
      <c r="BZ1" t="s">
        <v>206</v>
      </c>
      <c r="CA1" t="s">
        <v>207</v>
      </c>
      <c r="CB1" t="s">
        <v>208</v>
      </c>
      <c r="CC1" s="12" t="s">
        <v>209</v>
      </c>
      <c r="CD1" s="12" t="s">
        <v>210</v>
      </c>
      <c r="CE1" s="16" t="s">
        <v>211</v>
      </c>
      <c r="CF1"/>
      <c r="CK1" t="s">
        <v>36</v>
      </c>
      <c r="CL1" t="s">
        <v>63</v>
      </c>
      <c r="CM1" t="s">
        <v>169</v>
      </c>
      <c r="CN1" t="s">
        <v>188</v>
      </c>
      <c r="CO1" t="s">
        <v>198</v>
      </c>
      <c r="CP1" t="s">
        <v>212</v>
      </c>
      <c r="CQ1" t="s">
        <v>189</v>
      </c>
      <c r="CR1" t="s">
        <v>199</v>
      </c>
      <c r="CS1" t="s">
        <v>213</v>
      </c>
      <c r="CT1" t="s">
        <v>191</v>
      </c>
      <c r="CU1" t="s">
        <v>192</v>
      </c>
      <c r="CV1" t="s">
        <v>214</v>
      </c>
      <c r="CW1" t="s">
        <v>215</v>
      </c>
      <c r="CX1" t="s">
        <v>211</v>
      </c>
    </row>
    <row r="2" spans="1:83">
      <c r="A2">
        <v>94</v>
      </c>
      <c r="B2" t="s">
        <v>102</v>
      </c>
      <c r="C2" t="s">
        <v>104</v>
      </c>
      <c r="D2" t="s">
        <v>104</v>
      </c>
      <c r="E2" t="s">
        <v>32</v>
      </c>
      <c r="J2">
        <v>94</v>
      </c>
      <c r="K2">
        <v>1</v>
      </c>
      <c r="L2">
        <v>1</v>
      </c>
      <c r="M2">
        <v>1</v>
      </c>
      <c r="N2">
        <v>1</v>
      </c>
      <c r="O2">
        <v>1</v>
      </c>
      <c r="P2" t="s">
        <v>1</v>
      </c>
      <c r="V2" t="s">
        <v>60</v>
      </c>
      <c r="W2" t="s">
        <v>90</v>
      </c>
      <c r="X2" t="s">
        <v>91</v>
      </c>
      <c r="Y2" s="15" t="s">
        <v>93</v>
      </c>
      <c r="Z2" s="16">
        <v>43922</v>
      </c>
      <c r="AA2">
        <v>9000</v>
      </c>
      <c r="AB2">
        <v>2000</v>
      </c>
      <c r="AC2" s="15" t="s">
        <v>100</v>
      </c>
      <c r="AI2" t="s">
        <v>115</v>
      </c>
      <c r="AJ2" t="s">
        <v>42</v>
      </c>
      <c r="AK2" t="s">
        <v>91</v>
      </c>
      <c r="AL2">
        <v>3000</v>
      </c>
      <c r="AM2">
        <v>200</v>
      </c>
      <c r="AN2">
        <v>8500</v>
      </c>
      <c r="AO2">
        <v>8500</v>
      </c>
      <c r="AR2">
        <v>25</v>
      </c>
      <c r="AS2">
        <v>41</v>
      </c>
      <c r="AT2">
        <v>50</v>
      </c>
      <c r="AU2">
        <v>8500</v>
      </c>
      <c r="AV2">
        <v>0</v>
      </c>
      <c r="AW2">
        <v>0</v>
      </c>
      <c r="AX2">
        <v>0</v>
      </c>
      <c r="AY2">
        <v>50</v>
      </c>
      <c r="AZ2">
        <v>8500</v>
      </c>
      <c r="BA2">
        <v>0.3</v>
      </c>
      <c r="BC2">
        <v>0.5</v>
      </c>
      <c r="BE2">
        <v>500</v>
      </c>
      <c r="BF2">
        <v>0</v>
      </c>
      <c r="BG2">
        <v>200</v>
      </c>
      <c r="BH2">
        <v>0</v>
      </c>
      <c r="BI2">
        <v>0</v>
      </c>
      <c r="BJ2">
        <v>200</v>
      </c>
      <c r="BK2">
        <v>8500</v>
      </c>
      <c r="BN2">
        <v>8500</v>
      </c>
      <c r="BO2">
        <v>0</v>
      </c>
      <c r="BP2">
        <v>0</v>
      </c>
      <c r="BQ2">
        <v>500</v>
      </c>
      <c r="BR2">
        <v>200</v>
      </c>
      <c r="BS2">
        <v>200</v>
      </c>
      <c r="BT2">
        <v>340</v>
      </c>
      <c r="BW2">
        <v>8500</v>
      </c>
      <c r="BX2">
        <v>9500</v>
      </c>
      <c r="BY2">
        <v>500</v>
      </c>
      <c r="BZ2">
        <v>0</v>
      </c>
      <c r="CA2">
        <v>0</v>
      </c>
      <c r="CB2">
        <v>300</v>
      </c>
      <c r="CD2" s="12">
        <v>8500</v>
      </c>
      <c r="CE2" s="16">
        <v>45005</v>
      </c>
    </row>
    <row r="3" spans="10:83">
      <c r="J3">
        <v>94</v>
      </c>
      <c r="K3">
        <v>1</v>
      </c>
      <c r="L3">
        <v>1</v>
      </c>
      <c r="M3">
        <v>1</v>
      </c>
      <c r="N3">
        <v>1</v>
      </c>
      <c r="O3">
        <v>1</v>
      </c>
      <c r="P3" t="s">
        <v>216</v>
      </c>
      <c r="V3" t="s">
        <v>102</v>
      </c>
      <c r="W3" t="s">
        <v>90</v>
      </c>
      <c r="X3" t="s">
        <v>103</v>
      </c>
      <c r="Y3" s="15" t="s">
        <v>105</v>
      </c>
      <c r="Z3" s="16">
        <v>43908</v>
      </c>
      <c r="AA3">
        <v>6000</v>
      </c>
      <c r="AB3">
        <v>2000</v>
      </c>
      <c r="AC3" s="15" t="s">
        <v>107</v>
      </c>
      <c r="AI3" t="s">
        <v>115</v>
      </c>
      <c r="AJ3" t="s">
        <v>47</v>
      </c>
      <c r="AK3" t="s">
        <v>217</v>
      </c>
      <c r="AL3">
        <v>5000</v>
      </c>
      <c r="AM3">
        <v>5000</v>
      </c>
      <c r="AN3">
        <v>5000</v>
      </c>
      <c r="AO3">
        <v>5000</v>
      </c>
      <c r="AR3">
        <v>23</v>
      </c>
      <c r="AS3">
        <v>20</v>
      </c>
      <c r="AT3">
        <v>200</v>
      </c>
      <c r="AU3">
        <v>5000</v>
      </c>
      <c r="AV3">
        <v>0</v>
      </c>
      <c r="AW3">
        <v>90</v>
      </c>
      <c r="AX3">
        <v>2</v>
      </c>
      <c r="AY3">
        <v>100</v>
      </c>
      <c r="AZ3">
        <v>5000</v>
      </c>
      <c r="BA3">
        <v>0.3</v>
      </c>
      <c r="BC3">
        <v>0.5</v>
      </c>
      <c r="BE3">
        <v>300</v>
      </c>
      <c r="BF3">
        <v>20</v>
      </c>
      <c r="BG3">
        <v>300</v>
      </c>
      <c r="BH3">
        <v>0</v>
      </c>
      <c r="BI3">
        <v>0</v>
      </c>
      <c r="BJ3">
        <v>400</v>
      </c>
      <c r="BK3">
        <v>5000</v>
      </c>
      <c r="BN3">
        <v>5000</v>
      </c>
      <c r="BO3">
        <v>210</v>
      </c>
      <c r="BP3">
        <v>0</v>
      </c>
      <c r="BQ3">
        <v>100</v>
      </c>
      <c r="BR3">
        <v>200</v>
      </c>
      <c r="BS3">
        <v>230</v>
      </c>
      <c r="BT3">
        <v>200</v>
      </c>
      <c r="BW3">
        <v>5000</v>
      </c>
      <c r="BX3">
        <v>6000</v>
      </c>
      <c r="BY3">
        <v>1000</v>
      </c>
      <c r="BZ3">
        <v>0</v>
      </c>
      <c r="CA3">
        <v>0</v>
      </c>
      <c r="CB3">
        <v>300</v>
      </c>
      <c r="CD3" s="12">
        <v>5000</v>
      </c>
      <c r="CE3" s="16">
        <v>45046</v>
      </c>
    </row>
    <row r="4" spans="10:83">
      <c r="J4">
        <v>94</v>
      </c>
      <c r="K4">
        <v>1</v>
      </c>
      <c r="L4">
        <v>1</v>
      </c>
      <c r="M4">
        <v>1</v>
      </c>
      <c r="N4">
        <v>1</v>
      </c>
      <c r="O4">
        <v>1</v>
      </c>
      <c r="P4" t="s">
        <v>218</v>
      </c>
      <c r="V4" t="s">
        <v>45</v>
      </c>
      <c r="W4" t="s">
        <v>90</v>
      </c>
      <c r="X4" t="s">
        <v>109</v>
      </c>
      <c r="Y4" s="15" t="s">
        <v>111</v>
      </c>
      <c r="Z4" s="16">
        <v>44378</v>
      </c>
      <c r="AA4">
        <v>5000</v>
      </c>
      <c r="AB4">
        <v>2000</v>
      </c>
      <c r="AC4" s="15" t="s">
        <v>113</v>
      </c>
      <c r="AI4" t="s">
        <v>115</v>
      </c>
      <c r="AJ4" t="s">
        <v>48</v>
      </c>
      <c r="AK4" t="s">
        <v>91</v>
      </c>
      <c r="AL4">
        <v>3000</v>
      </c>
      <c r="AM4">
        <v>200</v>
      </c>
      <c r="AN4">
        <v>7000</v>
      </c>
      <c r="AO4">
        <v>7000</v>
      </c>
      <c r="AR4">
        <v>23</v>
      </c>
      <c r="AS4">
        <v>50</v>
      </c>
      <c r="AT4">
        <v>350</v>
      </c>
      <c r="AU4">
        <v>7000</v>
      </c>
      <c r="AV4">
        <v>0</v>
      </c>
      <c r="AW4">
        <v>0</v>
      </c>
      <c r="AX4">
        <v>2</v>
      </c>
      <c r="AY4">
        <v>50</v>
      </c>
      <c r="AZ4">
        <v>7000</v>
      </c>
      <c r="BA4">
        <v>0.3</v>
      </c>
      <c r="BC4">
        <v>0.5</v>
      </c>
      <c r="BE4">
        <v>300</v>
      </c>
      <c r="BF4">
        <v>0</v>
      </c>
      <c r="BG4">
        <v>300</v>
      </c>
      <c r="BH4">
        <v>200</v>
      </c>
      <c r="BI4">
        <v>200</v>
      </c>
      <c r="BJ4">
        <v>310</v>
      </c>
      <c r="BK4">
        <v>7000</v>
      </c>
      <c r="BN4">
        <v>7000</v>
      </c>
      <c r="BO4">
        <v>0</v>
      </c>
      <c r="BP4">
        <v>1000</v>
      </c>
      <c r="BQ4">
        <v>100</v>
      </c>
      <c r="BR4">
        <v>150</v>
      </c>
      <c r="BS4">
        <v>300</v>
      </c>
      <c r="BT4">
        <v>280</v>
      </c>
      <c r="BW4">
        <v>7000</v>
      </c>
      <c r="BX4">
        <v>8500</v>
      </c>
      <c r="BY4">
        <v>1500</v>
      </c>
      <c r="BZ4">
        <v>0</v>
      </c>
      <c r="CA4">
        <v>0</v>
      </c>
      <c r="CB4">
        <v>400</v>
      </c>
      <c r="CD4" s="12">
        <v>7000</v>
      </c>
      <c r="CE4" s="16">
        <v>45032</v>
      </c>
    </row>
    <row r="5" spans="10:29">
      <c r="J5">
        <v>94</v>
      </c>
      <c r="K5">
        <v>1</v>
      </c>
      <c r="L5">
        <v>1</v>
      </c>
      <c r="M5">
        <v>1</v>
      </c>
      <c r="N5">
        <v>1</v>
      </c>
      <c r="O5">
        <v>1</v>
      </c>
      <c r="P5" t="s">
        <v>219</v>
      </c>
      <c r="V5" t="s">
        <v>42</v>
      </c>
      <c r="W5" t="s">
        <v>115</v>
      </c>
      <c r="X5" t="s">
        <v>91</v>
      </c>
      <c r="Y5" s="15" t="s">
        <v>117</v>
      </c>
      <c r="Z5" s="16">
        <v>45017</v>
      </c>
      <c r="AA5">
        <v>3000</v>
      </c>
      <c r="AB5">
        <v>200</v>
      </c>
      <c r="AC5" s="15" t="s">
        <v>121</v>
      </c>
    </row>
    <row r="6" spans="10:29">
      <c r="J6">
        <v>94</v>
      </c>
      <c r="K6">
        <v>1</v>
      </c>
      <c r="L6">
        <v>1</v>
      </c>
      <c r="M6">
        <v>1</v>
      </c>
      <c r="N6">
        <v>1</v>
      </c>
      <c r="O6">
        <v>1</v>
      </c>
      <c r="P6" t="s">
        <v>220</v>
      </c>
      <c r="V6" t="s">
        <v>123</v>
      </c>
      <c r="W6" t="s">
        <v>90</v>
      </c>
      <c r="X6" t="s">
        <v>91</v>
      </c>
      <c r="Y6" s="15" t="s">
        <v>125</v>
      </c>
      <c r="Z6" s="16">
        <v>43020</v>
      </c>
      <c r="AA6">
        <v>5000</v>
      </c>
      <c r="AB6">
        <v>450</v>
      </c>
      <c r="AC6" s="15" t="s">
        <v>121</v>
      </c>
    </row>
    <row r="7" spans="10:29">
      <c r="J7">
        <v>94</v>
      </c>
      <c r="K7">
        <v>1</v>
      </c>
      <c r="L7">
        <v>1</v>
      </c>
      <c r="M7">
        <v>1</v>
      </c>
      <c r="N7">
        <v>1</v>
      </c>
      <c r="O7">
        <v>1</v>
      </c>
      <c r="P7" t="s">
        <v>221</v>
      </c>
      <c r="V7" t="s">
        <v>129</v>
      </c>
      <c r="W7" t="s">
        <v>115</v>
      </c>
      <c r="X7" t="s">
        <v>103</v>
      </c>
      <c r="Y7" s="15" t="s">
        <v>131</v>
      </c>
      <c r="Z7" s="16">
        <v>43922</v>
      </c>
      <c r="AA7">
        <v>3000</v>
      </c>
      <c r="AB7">
        <v>200</v>
      </c>
      <c r="AC7" s="15" t="s">
        <v>134</v>
      </c>
    </row>
    <row r="8" spans="10:29">
      <c r="J8">
        <v>94</v>
      </c>
      <c r="K8">
        <v>1</v>
      </c>
      <c r="L8">
        <v>1</v>
      </c>
      <c r="M8">
        <v>1</v>
      </c>
      <c r="N8">
        <v>1</v>
      </c>
      <c r="O8">
        <v>1</v>
      </c>
      <c r="P8" t="s">
        <v>222</v>
      </c>
      <c r="V8" t="s">
        <v>48</v>
      </c>
      <c r="W8" t="s">
        <v>115</v>
      </c>
      <c r="X8" t="s">
        <v>91</v>
      </c>
      <c r="Y8" s="15" t="s">
        <v>136</v>
      </c>
      <c r="Z8" s="16">
        <v>43922</v>
      </c>
      <c r="AA8">
        <v>3000</v>
      </c>
      <c r="AB8">
        <v>200</v>
      </c>
      <c r="AC8" s="15" t="s">
        <v>138</v>
      </c>
    </row>
    <row r="9" spans="10:29">
      <c r="J9">
        <v>94</v>
      </c>
      <c r="K9">
        <v>1</v>
      </c>
      <c r="L9">
        <v>1</v>
      </c>
      <c r="M9">
        <v>1</v>
      </c>
      <c r="N9">
        <v>1</v>
      </c>
      <c r="O9">
        <v>1</v>
      </c>
      <c r="P9" t="s">
        <v>223</v>
      </c>
      <c r="V9" t="s">
        <v>49</v>
      </c>
      <c r="W9" t="s">
        <v>140</v>
      </c>
      <c r="X9" t="s">
        <v>91</v>
      </c>
      <c r="Y9" s="15" t="s">
        <v>142</v>
      </c>
      <c r="Z9" s="16">
        <v>45006</v>
      </c>
      <c r="AA9">
        <v>5000</v>
      </c>
      <c r="AB9">
        <v>200</v>
      </c>
      <c r="AC9" s="15" t="s">
        <v>144</v>
      </c>
    </row>
    <row r="10" spans="10:29">
      <c r="J10">
        <v>94</v>
      </c>
      <c r="K10">
        <v>1</v>
      </c>
      <c r="L10">
        <v>1</v>
      </c>
      <c r="M10">
        <v>1</v>
      </c>
      <c r="N10">
        <v>1</v>
      </c>
      <c r="O10">
        <v>1</v>
      </c>
      <c r="P10" t="s">
        <v>224</v>
      </c>
      <c r="V10" t="s">
        <v>50</v>
      </c>
      <c r="W10" t="s">
        <v>146</v>
      </c>
      <c r="X10" t="s">
        <v>91</v>
      </c>
      <c r="Y10" s="15" t="s">
        <v>148</v>
      </c>
      <c r="Z10" s="16">
        <v>45017</v>
      </c>
      <c r="AA10">
        <v>3000</v>
      </c>
      <c r="AB10">
        <v>300</v>
      </c>
      <c r="AC10" s="15" t="s">
        <v>150</v>
      </c>
    </row>
    <row r="11" spans="10:16">
      <c r="J11">
        <v>94</v>
      </c>
      <c r="K11">
        <v>1</v>
      </c>
      <c r="L11">
        <v>1</v>
      </c>
      <c r="M11">
        <v>1</v>
      </c>
      <c r="N11">
        <v>1</v>
      </c>
      <c r="O11">
        <v>1</v>
      </c>
      <c r="P11" t="s">
        <v>225</v>
      </c>
    </row>
    <row r="12" spans="10:16">
      <c r="J12">
        <v>94</v>
      </c>
      <c r="K12">
        <v>1</v>
      </c>
      <c r="L12">
        <v>1</v>
      </c>
      <c r="M12">
        <v>1</v>
      </c>
      <c r="N12">
        <v>1</v>
      </c>
      <c r="O12">
        <v>1</v>
      </c>
      <c r="P12" t="s">
        <v>226</v>
      </c>
    </row>
    <row r="13" spans="10:16">
      <c r="J13">
        <v>94</v>
      </c>
      <c r="K13">
        <v>1</v>
      </c>
      <c r="L13">
        <v>1</v>
      </c>
      <c r="M13">
        <v>1</v>
      </c>
      <c r="N13">
        <v>1</v>
      </c>
      <c r="O13">
        <v>1</v>
      </c>
      <c r="P13" t="s">
        <v>227</v>
      </c>
    </row>
  </sheetData>
  <pageMargins left="0.75" right="0.75" top="1" bottom="1" header="0.5" footer="0.5"/>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BE14"/>
  <sheetViews>
    <sheetView showGridLines="0" workbookViewId="0">
      <pane ySplit="4" topLeftCell="A5" activePane="bottomLeft" state="frozen"/>
      <selection/>
      <selection pane="bottomLeft" activeCell="G12" sqref="G12"/>
    </sheetView>
  </sheetViews>
  <sheetFormatPr defaultColWidth="9" defaultRowHeight="20" customHeight="1"/>
  <cols>
    <col min="1" max="1" width="4.625" customWidth="1"/>
    <col min="2" max="2" width="4.625" hidden="1" customWidth="1"/>
    <col min="3" max="5" width="12.625" style="8" customWidth="1"/>
    <col min="6" max="6" width="21.75" style="10" customWidth="1"/>
    <col min="7" max="7" width="12.625" style="14" customWidth="1"/>
    <col min="8" max="52" width="12.625" style="8" customWidth="1"/>
    <col min="53" max="53" width="12.625" style="10" customWidth="1"/>
    <col min="54" max="54" width="23.375" style="10" customWidth="1"/>
    <col min="55" max="56" width="12.625" style="14" customWidth="1"/>
    <col min="57" max="57" width="12.625" style="10" customWidth="1"/>
  </cols>
  <sheetData>
    <row r="1" ht="54.75" customHeight="1" spans="3:57">
      <c r="C1" s="12"/>
      <c r="D1" s="12"/>
      <c r="E1" s="12"/>
      <c r="F1" s="15"/>
      <c r="G1" s="16"/>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5"/>
      <c r="BB1" s="15"/>
      <c r="BC1" s="16"/>
      <c r="BD1" s="16"/>
      <c r="BE1" s="15"/>
    </row>
    <row r="2" ht="40" customHeight="1" spans="3:57">
      <c r="C2" s="4" t="s">
        <v>228</v>
      </c>
      <c r="D2"/>
      <c r="E2"/>
      <c r="F2"/>
      <c r="G2"/>
      <c r="H2"/>
      <c r="I2"/>
      <c r="J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5"/>
      <c r="BB2" s="15"/>
      <c r="BC2" s="16"/>
      <c r="BD2" s="16"/>
      <c r="BE2" s="15"/>
    </row>
    <row r="3" ht="30" customHeight="1" spans="3:57">
      <c r="C3" s="12"/>
      <c r="D3" s="12"/>
      <c r="E3" s="12"/>
      <c r="F3" s="15"/>
      <c r="G3" s="16"/>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5"/>
      <c r="BB3" s="15"/>
      <c r="BC3" s="16"/>
      <c r="BD3" s="16"/>
      <c r="BE3" s="15"/>
    </row>
    <row r="4" ht="30" customHeight="1" spans="3:57">
      <c r="C4" s="17" t="s">
        <v>36</v>
      </c>
      <c r="D4" s="17" t="s">
        <v>63</v>
      </c>
      <c r="E4" s="17" t="s">
        <v>169</v>
      </c>
      <c r="F4" s="18" t="s">
        <v>67</v>
      </c>
      <c r="G4" s="19" t="s">
        <v>78</v>
      </c>
      <c r="H4" s="17" t="s">
        <v>75</v>
      </c>
      <c r="I4" s="17" t="s">
        <v>76</v>
      </c>
      <c r="J4" s="17" t="s">
        <v>172</v>
      </c>
      <c r="K4" s="17" t="s">
        <v>229</v>
      </c>
      <c r="L4" s="17" t="s">
        <v>174</v>
      </c>
      <c r="M4" s="17" t="s">
        <v>175</v>
      </c>
      <c r="N4" s="17" t="s">
        <v>176</v>
      </c>
      <c r="O4" s="17" t="s">
        <v>177</v>
      </c>
      <c r="P4" s="17" t="s">
        <v>178</v>
      </c>
      <c r="Q4" s="17" t="s">
        <v>179</v>
      </c>
      <c r="R4" s="17" t="s">
        <v>180</v>
      </c>
      <c r="S4" s="17" t="s">
        <v>181</v>
      </c>
      <c r="T4" s="17" t="s">
        <v>41</v>
      </c>
      <c r="U4" s="17" t="s">
        <v>182</v>
      </c>
      <c r="V4" s="17" t="s">
        <v>183</v>
      </c>
      <c r="W4" s="17" t="s">
        <v>184</v>
      </c>
      <c r="X4" s="17" t="s">
        <v>185</v>
      </c>
      <c r="Y4" s="17" t="s">
        <v>186</v>
      </c>
      <c r="Z4" s="17" t="s">
        <v>187</v>
      </c>
      <c r="AA4" s="17" t="s">
        <v>188</v>
      </c>
      <c r="AB4" s="17" t="s">
        <v>189</v>
      </c>
      <c r="AC4" s="17" t="s">
        <v>190</v>
      </c>
      <c r="AD4" s="17" t="s">
        <v>191</v>
      </c>
      <c r="AE4" s="17" t="s">
        <v>192</v>
      </c>
      <c r="AF4" s="17" t="s">
        <v>193</v>
      </c>
      <c r="AG4" s="17" t="s">
        <v>194</v>
      </c>
      <c r="AH4" s="17" t="s">
        <v>195</v>
      </c>
      <c r="AI4" s="17" t="s">
        <v>196</v>
      </c>
      <c r="AJ4" s="17" t="s">
        <v>197</v>
      </c>
      <c r="AK4" s="17" t="s">
        <v>198</v>
      </c>
      <c r="AL4" s="17" t="s">
        <v>199</v>
      </c>
      <c r="AM4" s="17" t="s">
        <v>200</v>
      </c>
      <c r="AN4" s="17" t="s">
        <v>230</v>
      </c>
      <c r="AO4" s="17" t="s">
        <v>202</v>
      </c>
      <c r="AP4" s="17" t="s">
        <v>231</v>
      </c>
      <c r="AQ4" s="17" t="s">
        <v>195</v>
      </c>
      <c r="AR4" s="17" t="s">
        <v>196</v>
      </c>
      <c r="AS4" s="17" t="s">
        <v>203</v>
      </c>
      <c r="AT4" s="17" t="s">
        <v>204</v>
      </c>
      <c r="AU4" s="17" t="s">
        <v>205</v>
      </c>
      <c r="AV4" s="17" t="s">
        <v>206</v>
      </c>
      <c r="AW4" s="17" t="s">
        <v>207</v>
      </c>
      <c r="AX4" s="17" t="s">
        <v>208</v>
      </c>
      <c r="AY4" s="17" t="s">
        <v>232</v>
      </c>
      <c r="AZ4" s="17" t="s">
        <v>210</v>
      </c>
      <c r="BA4" s="18" t="s">
        <v>233</v>
      </c>
      <c r="BB4" s="18" t="s">
        <v>170</v>
      </c>
      <c r="BC4" s="19" t="s">
        <v>89</v>
      </c>
      <c r="BD4" s="19" t="s">
        <v>211</v>
      </c>
      <c r="BE4" s="18" t="s">
        <v>234</v>
      </c>
    </row>
    <row r="5" customHeight="1" spans="2:57">
      <c r="B5">
        <v>234</v>
      </c>
      <c r="C5" s="8" t="s">
        <v>60</v>
      </c>
      <c r="D5" s="8" t="s">
        <v>90</v>
      </c>
      <c r="E5" s="8" t="s">
        <v>91</v>
      </c>
      <c r="F5" s="10" t="s">
        <v>93</v>
      </c>
      <c r="G5" s="14">
        <v>44684</v>
      </c>
      <c r="H5" s="8">
        <v>9000</v>
      </c>
      <c r="I5" s="8">
        <v>2000</v>
      </c>
      <c r="J5" s="8">
        <v>5000</v>
      </c>
      <c r="K5" s="8">
        <v>236900</v>
      </c>
      <c r="L5" s="8">
        <v>17</v>
      </c>
      <c r="M5" s="8">
        <v>19</v>
      </c>
      <c r="N5" s="8">
        <v>25</v>
      </c>
      <c r="O5" s="8">
        <v>30</v>
      </c>
      <c r="P5" s="8">
        <v>630</v>
      </c>
      <c r="Q5" s="8">
        <v>8000</v>
      </c>
      <c r="R5" s="8">
        <v>0</v>
      </c>
      <c r="S5" s="8">
        <v>0</v>
      </c>
      <c r="T5" s="8">
        <v>0</v>
      </c>
      <c r="U5" s="8">
        <v>0</v>
      </c>
      <c r="V5" s="8">
        <v>232275</v>
      </c>
      <c r="W5" s="8">
        <v>0.3</v>
      </c>
      <c r="X5" s="8">
        <v>3</v>
      </c>
      <c r="Y5" s="8">
        <v>0.5</v>
      </c>
      <c r="Z5" s="8">
        <v>7</v>
      </c>
      <c r="AA5" s="8">
        <v>90000</v>
      </c>
      <c r="AB5" s="8">
        <v>126000</v>
      </c>
      <c r="AC5" s="8">
        <v>675</v>
      </c>
      <c r="AD5" s="8">
        <v>162000</v>
      </c>
      <c r="AE5" s="8">
        <v>180</v>
      </c>
      <c r="AF5" s="8">
        <v>18000</v>
      </c>
      <c r="AG5" s="8">
        <v>45000</v>
      </c>
      <c r="AH5" s="8">
        <v>6</v>
      </c>
      <c r="AI5" s="8">
        <v>8</v>
      </c>
      <c r="AJ5" s="8">
        <v>441855</v>
      </c>
      <c r="AK5" s="8">
        <v>81000</v>
      </c>
      <c r="AL5" s="8">
        <v>117000</v>
      </c>
      <c r="AM5" s="8">
        <v>180</v>
      </c>
      <c r="AN5" s="8">
        <v>90</v>
      </c>
      <c r="AO5" s="8">
        <v>9000</v>
      </c>
      <c r="AP5" s="8">
        <v>36000</v>
      </c>
      <c r="AQ5" s="8">
        <v>6</v>
      </c>
      <c r="AR5" s="8">
        <v>8</v>
      </c>
      <c r="AS5" s="8">
        <v>254270</v>
      </c>
      <c r="AT5" s="8">
        <v>11000</v>
      </c>
      <c r="AU5" s="8">
        <v>500</v>
      </c>
      <c r="AV5" s="8">
        <v>0</v>
      </c>
      <c r="AW5" s="8">
        <v>10</v>
      </c>
      <c r="AX5" s="8">
        <v>0</v>
      </c>
      <c r="AY5" s="8">
        <v>20</v>
      </c>
      <c r="AZ5" s="8">
        <v>236270</v>
      </c>
      <c r="BA5" s="10" t="s">
        <v>235</v>
      </c>
      <c r="BB5" s="10" t="s">
        <v>100</v>
      </c>
      <c r="BC5" s="14">
        <v>45028</v>
      </c>
      <c r="BD5" s="14">
        <v>45042</v>
      </c>
      <c r="BE5" s="10" t="s">
        <v>236</v>
      </c>
    </row>
    <row r="6" customHeight="1" spans="2:57">
      <c r="B6">
        <v>235</v>
      </c>
      <c r="C6" s="8" t="s">
        <v>102</v>
      </c>
      <c r="D6" s="8" t="s">
        <v>90</v>
      </c>
      <c r="E6" s="8" t="s">
        <v>103</v>
      </c>
      <c r="F6" s="10" t="s">
        <v>105</v>
      </c>
      <c r="G6" s="14">
        <v>44928</v>
      </c>
      <c r="H6" s="8">
        <v>6000</v>
      </c>
      <c r="I6" s="8">
        <v>2000</v>
      </c>
      <c r="J6" s="8">
        <v>10000</v>
      </c>
      <c r="K6" s="8">
        <v>10000</v>
      </c>
      <c r="L6" s="8">
        <v>17</v>
      </c>
      <c r="M6" s="8">
        <v>19</v>
      </c>
      <c r="N6" s="8">
        <v>26</v>
      </c>
      <c r="O6" s="8">
        <v>30</v>
      </c>
      <c r="P6" s="8">
        <v>34</v>
      </c>
      <c r="Q6" s="8">
        <v>10000</v>
      </c>
      <c r="R6" s="8">
        <v>0</v>
      </c>
      <c r="S6" s="8">
        <v>0</v>
      </c>
      <c r="T6" s="8">
        <v>0</v>
      </c>
      <c r="U6" s="8">
        <v>20</v>
      </c>
      <c r="V6" s="8">
        <v>10000</v>
      </c>
      <c r="W6" s="8">
        <v>0.3</v>
      </c>
      <c r="X6" s="8">
        <v>3</v>
      </c>
      <c r="Y6" s="8">
        <v>0.5</v>
      </c>
      <c r="Z6" s="8">
        <v>7</v>
      </c>
      <c r="AA6" s="8">
        <v>500</v>
      </c>
      <c r="AB6" s="8">
        <v>0</v>
      </c>
      <c r="AC6" s="8">
        <v>200</v>
      </c>
      <c r="AD6" s="8">
        <v>0</v>
      </c>
      <c r="AE6" s="8">
        <v>0</v>
      </c>
      <c r="AF6" s="8">
        <v>400</v>
      </c>
      <c r="AG6" s="8">
        <v>0</v>
      </c>
      <c r="AH6" s="8">
        <v>6</v>
      </c>
      <c r="AI6" s="8">
        <v>8</v>
      </c>
      <c r="AJ6" s="8">
        <v>10000</v>
      </c>
      <c r="AK6" s="8">
        <v>0</v>
      </c>
      <c r="AL6" s="8">
        <v>0</v>
      </c>
      <c r="AM6" s="8">
        <v>20</v>
      </c>
      <c r="AN6" s="8">
        <v>0</v>
      </c>
      <c r="AO6" s="8">
        <v>500</v>
      </c>
      <c r="AP6" s="8">
        <v>400</v>
      </c>
      <c r="AQ6" s="8">
        <v>6</v>
      </c>
      <c r="AR6" s="8">
        <v>8</v>
      </c>
      <c r="AS6" s="8">
        <v>10000</v>
      </c>
      <c r="AT6" s="8">
        <v>12000</v>
      </c>
      <c r="AU6" s="8">
        <v>2000</v>
      </c>
      <c r="AV6" s="8">
        <v>0</v>
      </c>
      <c r="AW6" s="8">
        <v>0</v>
      </c>
      <c r="AX6" s="8">
        <v>400</v>
      </c>
      <c r="AY6" s="8">
        <v>20</v>
      </c>
      <c r="AZ6" s="8">
        <v>10000</v>
      </c>
      <c r="BA6" s="10" t="s">
        <v>235</v>
      </c>
      <c r="BB6" s="10" t="s">
        <v>107</v>
      </c>
      <c r="BC6" s="14">
        <v>45029</v>
      </c>
      <c r="BD6" s="14">
        <v>45011</v>
      </c>
      <c r="BE6" s="10" t="s">
        <v>236</v>
      </c>
    </row>
    <row r="7" customHeight="1" spans="2:57">
      <c r="B7">
        <v>236</v>
      </c>
      <c r="C7" s="8" t="s">
        <v>45</v>
      </c>
      <c r="D7" s="8" t="s">
        <v>90</v>
      </c>
      <c r="E7" s="8" t="s">
        <v>109</v>
      </c>
      <c r="F7" s="10" t="s">
        <v>111</v>
      </c>
      <c r="G7" s="14">
        <v>44562</v>
      </c>
      <c r="H7" s="8">
        <v>5000</v>
      </c>
      <c r="I7" s="8">
        <v>2000</v>
      </c>
      <c r="J7" s="8">
        <v>9000</v>
      </c>
      <c r="K7" s="8">
        <v>10000</v>
      </c>
      <c r="N7" s="8">
        <v>0</v>
      </c>
      <c r="O7" s="8">
        <v>40</v>
      </c>
      <c r="P7" s="8">
        <v>25</v>
      </c>
      <c r="Q7" s="8">
        <v>9500</v>
      </c>
      <c r="R7" s="8">
        <v>0</v>
      </c>
      <c r="S7" s="8">
        <v>0</v>
      </c>
      <c r="T7" s="8">
        <v>0</v>
      </c>
      <c r="U7" s="8">
        <v>30</v>
      </c>
      <c r="V7" s="8">
        <v>9000</v>
      </c>
      <c r="W7" s="8">
        <v>0.3</v>
      </c>
      <c r="Y7" s="8">
        <v>0.5</v>
      </c>
      <c r="AA7" s="8">
        <v>200</v>
      </c>
      <c r="AB7" s="8">
        <v>0</v>
      </c>
      <c r="AC7" s="8">
        <v>0</v>
      </c>
      <c r="AD7" s="8">
        <v>0</v>
      </c>
      <c r="AE7" s="8">
        <v>400</v>
      </c>
      <c r="AF7" s="8">
        <v>400</v>
      </c>
      <c r="AG7" s="8">
        <v>0</v>
      </c>
      <c r="AJ7" s="8">
        <v>9000</v>
      </c>
      <c r="AK7" s="8">
        <v>200</v>
      </c>
      <c r="AL7" s="8">
        <v>0</v>
      </c>
      <c r="AM7" s="8">
        <v>50</v>
      </c>
      <c r="AN7" s="8">
        <v>400</v>
      </c>
      <c r="AO7" s="8">
        <v>300</v>
      </c>
      <c r="AP7" s="8">
        <v>360</v>
      </c>
      <c r="AS7" s="8">
        <v>9000</v>
      </c>
      <c r="AT7" s="8">
        <v>10000</v>
      </c>
      <c r="AU7" s="8">
        <v>1000</v>
      </c>
      <c r="AV7" s="8">
        <v>0</v>
      </c>
      <c r="AW7" s="8">
        <v>0</v>
      </c>
      <c r="AX7" s="8">
        <v>300</v>
      </c>
      <c r="AZ7" s="8">
        <v>9000</v>
      </c>
      <c r="BB7" s="10" t="s">
        <v>113</v>
      </c>
      <c r="BC7" s="14">
        <v>45020</v>
      </c>
      <c r="BD7" s="14">
        <v>45029</v>
      </c>
      <c r="BE7" s="10" t="s">
        <v>236</v>
      </c>
    </row>
    <row r="8" customHeight="1" spans="2:57">
      <c r="B8">
        <v>237</v>
      </c>
      <c r="C8" s="8" t="s">
        <v>42</v>
      </c>
      <c r="D8" s="8" t="s">
        <v>115</v>
      </c>
      <c r="E8" s="8" t="s">
        <v>91</v>
      </c>
      <c r="F8" s="10" t="s">
        <v>117</v>
      </c>
      <c r="G8" s="14">
        <v>45017</v>
      </c>
      <c r="H8" s="8">
        <v>3000</v>
      </c>
      <c r="I8" s="8">
        <v>200</v>
      </c>
      <c r="J8" s="8">
        <v>8500</v>
      </c>
      <c r="K8" s="8">
        <v>8500</v>
      </c>
      <c r="N8" s="8">
        <v>25</v>
      </c>
      <c r="O8" s="8">
        <v>41</v>
      </c>
      <c r="P8" s="8">
        <v>50</v>
      </c>
      <c r="Q8" s="8">
        <v>8500</v>
      </c>
      <c r="R8" s="8">
        <v>0</v>
      </c>
      <c r="S8" s="8">
        <v>0</v>
      </c>
      <c r="T8" s="8">
        <v>0</v>
      </c>
      <c r="U8" s="8">
        <v>50</v>
      </c>
      <c r="V8" s="8">
        <v>8500</v>
      </c>
      <c r="W8" s="8">
        <v>0.3</v>
      </c>
      <c r="Y8" s="8">
        <v>0.5</v>
      </c>
      <c r="AA8" s="8">
        <v>500</v>
      </c>
      <c r="AB8" s="8">
        <v>0</v>
      </c>
      <c r="AC8" s="8">
        <v>200</v>
      </c>
      <c r="AD8" s="8">
        <v>0</v>
      </c>
      <c r="AE8" s="8">
        <v>0</v>
      </c>
      <c r="AF8" s="8">
        <v>200</v>
      </c>
      <c r="AG8" s="8">
        <v>8500</v>
      </c>
      <c r="AJ8" s="8">
        <v>8500</v>
      </c>
      <c r="AK8" s="8">
        <v>0</v>
      </c>
      <c r="AL8" s="8">
        <v>0</v>
      </c>
      <c r="AM8" s="8">
        <v>500</v>
      </c>
      <c r="AN8" s="8">
        <v>200</v>
      </c>
      <c r="AO8" s="8">
        <v>200</v>
      </c>
      <c r="AP8" s="8">
        <v>340</v>
      </c>
      <c r="AS8" s="8">
        <v>8500</v>
      </c>
      <c r="AT8" s="8">
        <v>9500</v>
      </c>
      <c r="AU8" s="8">
        <v>500</v>
      </c>
      <c r="AV8" s="8">
        <v>0</v>
      </c>
      <c r="AW8" s="8">
        <v>0</v>
      </c>
      <c r="AX8" s="8">
        <v>300</v>
      </c>
      <c r="AZ8" s="8">
        <v>8500</v>
      </c>
      <c r="BB8" s="10" t="s">
        <v>121</v>
      </c>
      <c r="BC8" s="14">
        <v>45034</v>
      </c>
      <c r="BD8" s="14">
        <v>45005</v>
      </c>
      <c r="BE8" s="10" t="s">
        <v>236</v>
      </c>
    </row>
    <row r="9" customHeight="1" spans="2:57">
      <c r="B9">
        <v>238</v>
      </c>
      <c r="C9" s="8" t="s">
        <v>123</v>
      </c>
      <c r="D9" s="8" t="s">
        <v>90</v>
      </c>
      <c r="E9" s="8" t="s">
        <v>91</v>
      </c>
      <c r="F9" s="10" t="s">
        <v>125</v>
      </c>
      <c r="G9" s="14">
        <v>43020</v>
      </c>
      <c r="H9" s="8">
        <v>5000</v>
      </c>
      <c r="I9" s="8">
        <v>450</v>
      </c>
      <c r="J9" s="8">
        <v>9000</v>
      </c>
      <c r="K9" s="8">
        <v>9000</v>
      </c>
      <c r="N9" s="8">
        <v>20</v>
      </c>
      <c r="O9" s="8">
        <v>40</v>
      </c>
      <c r="P9" s="8">
        <v>39</v>
      </c>
      <c r="Q9" s="8">
        <v>9500</v>
      </c>
      <c r="R9" s="8">
        <v>2</v>
      </c>
      <c r="S9" s="8">
        <v>0</v>
      </c>
      <c r="T9" s="8">
        <v>0</v>
      </c>
      <c r="U9" s="8">
        <v>100</v>
      </c>
      <c r="V9" s="8">
        <v>9000</v>
      </c>
      <c r="W9" s="8">
        <v>0.3</v>
      </c>
      <c r="Y9" s="8">
        <v>0.5</v>
      </c>
      <c r="AA9" s="8">
        <v>200</v>
      </c>
      <c r="AB9" s="8">
        <v>0</v>
      </c>
      <c r="AC9" s="8">
        <v>200</v>
      </c>
      <c r="AD9" s="8">
        <v>0</v>
      </c>
      <c r="AE9" s="8">
        <v>200</v>
      </c>
      <c r="AF9" s="8">
        <v>400</v>
      </c>
      <c r="AG9" s="8">
        <v>0</v>
      </c>
      <c r="AJ9" s="8">
        <v>9000</v>
      </c>
      <c r="AK9" s="8">
        <v>200</v>
      </c>
      <c r="AL9" s="8">
        <v>0</v>
      </c>
      <c r="AM9" s="8">
        <v>200</v>
      </c>
      <c r="AN9" s="8">
        <v>0</v>
      </c>
      <c r="AO9" s="8">
        <v>100</v>
      </c>
      <c r="AP9" s="8">
        <v>360</v>
      </c>
      <c r="AS9" s="8">
        <v>9000</v>
      </c>
      <c r="AT9" s="8">
        <v>10000</v>
      </c>
      <c r="AU9" s="8">
        <v>500</v>
      </c>
      <c r="AV9" s="8">
        <v>0</v>
      </c>
      <c r="AW9" s="8">
        <v>0</v>
      </c>
      <c r="AX9" s="8">
        <v>180</v>
      </c>
      <c r="AZ9" s="8">
        <v>9000</v>
      </c>
      <c r="BB9" s="10" t="s">
        <v>121</v>
      </c>
      <c r="BC9" s="14">
        <v>45019</v>
      </c>
      <c r="BD9" s="14">
        <v>45028</v>
      </c>
      <c r="BE9" s="10" t="s">
        <v>236</v>
      </c>
    </row>
    <row r="10" customHeight="1" spans="2:57">
      <c r="B10">
        <v>239</v>
      </c>
      <c r="C10" s="8" t="s">
        <v>47</v>
      </c>
      <c r="D10" s="8" t="s">
        <v>115</v>
      </c>
      <c r="E10" s="8" t="s">
        <v>217</v>
      </c>
      <c r="F10" s="10" t="s">
        <v>237</v>
      </c>
      <c r="G10" s="14">
        <v>43154</v>
      </c>
      <c r="H10" s="8">
        <v>5000</v>
      </c>
      <c r="I10" s="8">
        <v>5000</v>
      </c>
      <c r="J10" s="8">
        <v>5000</v>
      </c>
      <c r="K10" s="8">
        <v>5000</v>
      </c>
      <c r="N10" s="8">
        <v>23</v>
      </c>
      <c r="O10" s="8">
        <v>20</v>
      </c>
      <c r="P10" s="8">
        <v>200</v>
      </c>
      <c r="Q10" s="8">
        <v>5000</v>
      </c>
      <c r="R10" s="8">
        <v>0</v>
      </c>
      <c r="S10" s="8">
        <v>90</v>
      </c>
      <c r="T10" s="8">
        <v>2</v>
      </c>
      <c r="U10" s="8">
        <v>100</v>
      </c>
      <c r="V10" s="8">
        <v>5000</v>
      </c>
      <c r="W10" s="8">
        <v>0.3</v>
      </c>
      <c r="Y10" s="8">
        <v>0.5</v>
      </c>
      <c r="AA10" s="8">
        <v>300</v>
      </c>
      <c r="AB10" s="8">
        <v>20</v>
      </c>
      <c r="AC10" s="8">
        <v>300</v>
      </c>
      <c r="AD10" s="8">
        <v>0</v>
      </c>
      <c r="AE10" s="8">
        <v>0</v>
      </c>
      <c r="AF10" s="8">
        <v>400</v>
      </c>
      <c r="AG10" s="8">
        <v>5000</v>
      </c>
      <c r="AJ10" s="8">
        <v>5000</v>
      </c>
      <c r="AK10" s="8">
        <v>210</v>
      </c>
      <c r="AL10" s="8">
        <v>0</v>
      </c>
      <c r="AM10" s="8">
        <v>100</v>
      </c>
      <c r="AN10" s="8">
        <v>200</v>
      </c>
      <c r="AO10" s="8">
        <v>230</v>
      </c>
      <c r="AP10" s="8">
        <v>200</v>
      </c>
      <c r="AS10" s="8">
        <v>5000</v>
      </c>
      <c r="AT10" s="8">
        <v>6000</v>
      </c>
      <c r="AU10" s="8">
        <v>1000</v>
      </c>
      <c r="AV10" s="8">
        <v>0</v>
      </c>
      <c r="AW10" s="8">
        <v>0</v>
      </c>
      <c r="AX10" s="8">
        <v>300</v>
      </c>
      <c r="AZ10" s="8">
        <v>5000</v>
      </c>
      <c r="BB10" s="10" t="s">
        <v>121</v>
      </c>
      <c r="BC10" s="14">
        <v>45021</v>
      </c>
      <c r="BD10" s="14">
        <v>45046</v>
      </c>
      <c r="BE10" s="10" t="s">
        <v>236</v>
      </c>
    </row>
    <row r="11" customHeight="1" spans="2:57">
      <c r="B11">
        <v>240</v>
      </c>
      <c r="C11" s="8" t="s">
        <v>48</v>
      </c>
      <c r="D11" s="8" t="s">
        <v>115</v>
      </c>
      <c r="E11" s="8" t="s">
        <v>91</v>
      </c>
      <c r="F11" s="10" t="s">
        <v>136</v>
      </c>
      <c r="G11" s="14">
        <v>44412</v>
      </c>
      <c r="H11" s="8">
        <v>3000</v>
      </c>
      <c r="I11" s="8">
        <v>200</v>
      </c>
      <c r="J11" s="8">
        <v>7000</v>
      </c>
      <c r="K11" s="8">
        <v>7000</v>
      </c>
      <c r="N11" s="8">
        <v>23</v>
      </c>
      <c r="O11" s="8">
        <v>50</v>
      </c>
      <c r="P11" s="8">
        <v>350</v>
      </c>
      <c r="Q11" s="8">
        <v>7000</v>
      </c>
      <c r="R11" s="8">
        <v>0</v>
      </c>
      <c r="S11" s="8">
        <v>0</v>
      </c>
      <c r="T11" s="8">
        <v>2</v>
      </c>
      <c r="U11" s="8">
        <v>50</v>
      </c>
      <c r="V11" s="8">
        <v>7000</v>
      </c>
      <c r="W11" s="8">
        <v>0.3</v>
      </c>
      <c r="Y11" s="8">
        <v>0.5</v>
      </c>
      <c r="AA11" s="8">
        <v>300</v>
      </c>
      <c r="AB11" s="8">
        <v>0</v>
      </c>
      <c r="AC11" s="8">
        <v>300</v>
      </c>
      <c r="AD11" s="8">
        <v>200</v>
      </c>
      <c r="AE11" s="8">
        <v>200</v>
      </c>
      <c r="AF11" s="8">
        <v>310</v>
      </c>
      <c r="AG11" s="8">
        <v>7000</v>
      </c>
      <c r="AJ11" s="8">
        <v>7000</v>
      </c>
      <c r="AK11" s="8">
        <v>0</v>
      </c>
      <c r="AL11" s="8">
        <v>1000</v>
      </c>
      <c r="AM11" s="8">
        <v>100</v>
      </c>
      <c r="AN11" s="8">
        <v>150</v>
      </c>
      <c r="AO11" s="8">
        <v>300</v>
      </c>
      <c r="AP11" s="8">
        <v>280</v>
      </c>
      <c r="AS11" s="8">
        <v>7000</v>
      </c>
      <c r="AT11" s="8">
        <v>8500</v>
      </c>
      <c r="AU11" s="8">
        <v>1500</v>
      </c>
      <c r="AV11" s="8">
        <v>0</v>
      </c>
      <c r="AW11" s="8">
        <v>0</v>
      </c>
      <c r="AX11" s="8">
        <v>400</v>
      </c>
      <c r="AZ11" s="8">
        <v>7000</v>
      </c>
      <c r="BB11" s="10" t="s">
        <v>138</v>
      </c>
      <c r="BC11" s="14">
        <v>45017</v>
      </c>
      <c r="BD11" s="14">
        <v>45032</v>
      </c>
      <c r="BE11" s="10" t="s">
        <v>236</v>
      </c>
    </row>
    <row r="12" customHeight="1" spans="2:57">
      <c r="B12">
        <v>254</v>
      </c>
      <c r="C12" s="8" t="s">
        <v>60</v>
      </c>
      <c r="D12" s="8" t="s">
        <v>90</v>
      </c>
      <c r="E12" s="8" t="s">
        <v>91</v>
      </c>
      <c r="F12" s="10" t="s">
        <v>93</v>
      </c>
      <c r="H12" s="8">
        <v>9000</v>
      </c>
      <c r="I12" s="8">
        <v>2000</v>
      </c>
      <c r="J12" s="8">
        <v>0</v>
      </c>
      <c r="K12" s="8">
        <v>0</v>
      </c>
      <c r="L12" s="8">
        <v>360</v>
      </c>
      <c r="M12" s="8">
        <v>300</v>
      </c>
      <c r="N12" s="8">
        <v>0</v>
      </c>
      <c r="O12" s="8">
        <v>0</v>
      </c>
      <c r="P12" s="8">
        <v>0</v>
      </c>
      <c r="Q12" s="8">
        <v>0</v>
      </c>
      <c r="R12" s="8">
        <v>0</v>
      </c>
      <c r="S12" s="8">
        <v>0</v>
      </c>
      <c r="T12" s="8">
        <v>0</v>
      </c>
      <c r="U12" s="8">
        <v>0</v>
      </c>
      <c r="V12" s="8">
        <v>0</v>
      </c>
      <c r="W12" s="8">
        <v>0.2</v>
      </c>
      <c r="X12" s="8">
        <v>150</v>
      </c>
      <c r="Y12" s="8">
        <v>0.02</v>
      </c>
      <c r="Z12" s="8">
        <v>220</v>
      </c>
      <c r="AA12" s="8">
        <v>0</v>
      </c>
      <c r="AB12" s="8">
        <v>0</v>
      </c>
      <c r="AC12" s="8">
        <v>0</v>
      </c>
      <c r="AD12" s="8">
        <v>0</v>
      </c>
      <c r="AE12" s="8">
        <v>0</v>
      </c>
      <c r="AF12" s="8">
        <v>0</v>
      </c>
      <c r="AG12" s="8">
        <v>0</v>
      </c>
      <c r="AH12" s="8">
        <v>240</v>
      </c>
      <c r="AI12" s="8">
        <v>0.03</v>
      </c>
      <c r="AJ12" s="8">
        <v>0</v>
      </c>
      <c r="AK12" s="8">
        <v>0</v>
      </c>
      <c r="AL12" s="8">
        <v>0</v>
      </c>
      <c r="AM12" s="8">
        <v>0</v>
      </c>
      <c r="AN12" s="8">
        <v>0</v>
      </c>
      <c r="AO12" s="8">
        <v>0</v>
      </c>
      <c r="AP12" s="8">
        <v>0</v>
      </c>
      <c r="AQ12" s="8">
        <v>240</v>
      </c>
      <c r="AR12" s="8">
        <v>0.03</v>
      </c>
      <c r="AS12" s="8">
        <v>0</v>
      </c>
      <c r="AT12" s="8">
        <v>0</v>
      </c>
      <c r="AU12" s="8">
        <v>0</v>
      </c>
      <c r="AV12" s="8">
        <v>0</v>
      </c>
      <c r="AW12" s="8">
        <v>0</v>
      </c>
      <c r="AX12" s="8">
        <v>0</v>
      </c>
      <c r="AY12" s="8">
        <v>367</v>
      </c>
      <c r="AZ12" s="8">
        <v>0</v>
      </c>
      <c r="BA12" s="10" t="s">
        <v>238</v>
      </c>
      <c r="BB12" s="10" t="s">
        <v>100</v>
      </c>
      <c r="BD12" s="14">
        <v>45210</v>
      </c>
      <c r="BE12" s="10" t="s">
        <v>239</v>
      </c>
    </row>
    <row r="14" customHeight="1" spans="36:36">
      <c r="AJ14" s="23"/>
    </row>
  </sheetData>
  <conditionalFormatting sqref="AD5:AD1048576">
    <cfRule type="expression" dxfId="0" priority="28">
      <formula>MOD(ROW(),2)=0</formula>
    </cfRule>
  </conditionalFormatting>
  <conditionalFormatting sqref="AE5:AE1048576">
    <cfRule type="expression" dxfId="0" priority="27">
      <formula>MOD(ROW(),2)=0</formula>
    </cfRule>
  </conditionalFormatting>
  <conditionalFormatting sqref="AF5:AF1048576">
    <cfRule type="expression" dxfId="0" priority="26">
      <formula>MOD(ROW(),2)=0</formula>
    </cfRule>
  </conditionalFormatting>
  <conditionalFormatting sqref="AG5:AG1048576">
    <cfRule type="expression" dxfId="0" priority="25">
      <formula>MOD(ROW(),2)=0</formula>
    </cfRule>
  </conditionalFormatting>
  <conditionalFormatting sqref="AH5:AH1048576">
    <cfRule type="expression" dxfId="0" priority="24">
      <formula>MOD(ROW(),2)=0</formula>
    </cfRule>
  </conditionalFormatting>
  <conditionalFormatting sqref="AI5:AI1048576">
    <cfRule type="expression" dxfId="0" priority="23">
      <formula>MOD(ROW(),2)=0</formula>
    </cfRule>
  </conditionalFormatting>
  <conditionalFormatting sqref="AJ5:AJ1048576">
    <cfRule type="expression" dxfId="0" priority="22">
      <formula>MOD(ROW(),2)=0</formula>
    </cfRule>
  </conditionalFormatting>
  <conditionalFormatting sqref="AK5:AK1048576">
    <cfRule type="expression" dxfId="0" priority="21">
      <formula>MOD(ROW(),2)=0</formula>
    </cfRule>
  </conditionalFormatting>
  <conditionalFormatting sqref="AL5:AL1048576">
    <cfRule type="expression" dxfId="0" priority="20">
      <formula>MOD(ROW(),2)=0</formula>
    </cfRule>
  </conditionalFormatting>
  <conditionalFormatting sqref="AM5:AM1048576">
    <cfRule type="expression" dxfId="0" priority="19">
      <formula>MOD(ROW(),2)=0</formula>
    </cfRule>
  </conditionalFormatting>
  <conditionalFormatting sqref="AN5:AN1048576">
    <cfRule type="expression" dxfId="0" priority="18">
      <formula>MOD(ROW(),2)=0</formula>
    </cfRule>
  </conditionalFormatting>
  <conditionalFormatting sqref="AO5:AO1048576">
    <cfRule type="expression" dxfId="0" priority="17">
      <formula>MOD(ROW(),2)=0</formula>
    </cfRule>
  </conditionalFormatting>
  <conditionalFormatting sqref="AP5:AP1048576">
    <cfRule type="expression" dxfId="0" priority="16">
      <formula>MOD(ROW(),2)=0</formula>
    </cfRule>
  </conditionalFormatting>
  <conditionalFormatting sqref="AQ5:AQ1048576">
    <cfRule type="expression" dxfId="0" priority="15">
      <formula>MOD(ROW(),2)=0</formula>
    </cfRule>
  </conditionalFormatting>
  <conditionalFormatting sqref="AR5:AR1048576">
    <cfRule type="expression" dxfId="0" priority="14">
      <formula>MOD(ROW(),2)=0</formula>
    </cfRule>
  </conditionalFormatting>
  <conditionalFormatting sqref="AS5:AS1048576">
    <cfRule type="expression" dxfId="0" priority="13">
      <formula>MOD(ROW(),2)=0</formula>
    </cfRule>
  </conditionalFormatting>
  <conditionalFormatting sqref="AT5:AT1048576">
    <cfRule type="expression" dxfId="0" priority="12">
      <formula>MOD(ROW(),2)=0</formula>
    </cfRule>
  </conditionalFormatting>
  <conditionalFormatting sqref="AU5:AU1048576">
    <cfRule type="expression" dxfId="0" priority="11">
      <formula>MOD(ROW(),2)=0</formula>
    </cfRule>
  </conditionalFormatting>
  <conditionalFormatting sqref="AV5:AV1048576">
    <cfRule type="expression" dxfId="0" priority="10">
      <formula>MOD(ROW(),2)=0</formula>
    </cfRule>
  </conditionalFormatting>
  <conditionalFormatting sqref="AW5:AW1048576">
    <cfRule type="expression" dxfId="0" priority="9">
      <formula>MOD(ROW(),2)=0</formula>
    </cfRule>
  </conditionalFormatting>
  <conditionalFormatting sqref="AX5:AX1048576">
    <cfRule type="expression" dxfId="0" priority="8">
      <formula>MOD(ROW(),2)=0</formula>
    </cfRule>
  </conditionalFormatting>
  <conditionalFormatting sqref="AY5:AY1048576">
    <cfRule type="expression" dxfId="0" priority="7">
      <formula>MOD(ROW(),2)=0</formula>
    </cfRule>
  </conditionalFormatting>
  <conditionalFormatting sqref="AZ5:AZ1048576">
    <cfRule type="expression" dxfId="0" priority="6">
      <formula>MOD(ROW(),2)=0</formula>
    </cfRule>
  </conditionalFormatting>
  <conditionalFormatting sqref="BA5:BA1048576">
    <cfRule type="expression" dxfId="0" priority="5">
      <formula>MOD(ROW(),2)=0</formula>
    </cfRule>
  </conditionalFormatting>
  <conditionalFormatting sqref="BB5:BB1048576">
    <cfRule type="expression" dxfId="0" priority="4">
      <formula>MOD(ROW(),2)=0</formula>
    </cfRule>
  </conditionalFormatting>
  <conditionalFormatting sqref="BC5:BC1048576">
    <cfRule type="expression" dxfId="0" priority="3">
      <formula>MOD(ROW(),2)=0</formula>
    </cfRule>
  </conditionalFormatting>
  <conditionalFormatting sqref="BD5:BD1048576">
    <cfRule type="expression" dxfId="0" priority="2">
      <formula>MOD(ROW(),2)=0</formula>
    </cfRule>
  </conditionalFormatting>
  <conditionalFormatting sqref="BE5:BE1048576">
    <cfRule type="expression" dxfId="0" priority="1">
      <formula>MOD(ROW(),2)=0</formula>
    </cfRule>
  </conditionalFormatting>
  <conditionalFormatting sqref="C5:AC1048576">
    <cfRule type="expression" dxfId="0" priority="29">
      <formula>MOD(ROW(),2)=0</formula>
    </cfRule>
  </conditionalFormatting>
  <pageMargins left="0.75" right="0.75" top="1" bottom="1" header="0.5" footer="0.5"/>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J10"/>
  <sheetViews>
    <sheetView showGridLines="0" workbookViewId="0">
      <pane ySplit="4" topLeftCell="A5" activePane="bottomLeft" state="frozen"/>
      <selection/>
      <selection pane="bottomLeft" activeCell="D13" sqref="D13"/>
    </sheetView>
  </sheetViews>
  <sheetFormatPr defaultColWidth="9" defaultRowHeight="20" customHeight="1"/>
  <cols>
    <col min="1" max="1" width="4.625" customWidth="1"/>
    <col min="2" max="2" width="4.625" hidden="1" customWidth="1"/>
    <col min="3" max="3" width="12.625" style="8" customWidth="1"/>
    <col min="4" max="5" width="12.625" style="20" customWidth="1"/>
    <col min="6" max="7" width="12.625" style="8" customWidth="1"/>
    <col min="8" max="8" width="20" style="8" customWidth="1"/>
    <col min="9" max="10" width="12.625" style="8" customWidth="1"/>
  </cols>
  <sheetData>
    <row r="1" ht="54.75" customHeight="1" spans="3:10">
      <c r="C1" s="12"/>
      <c r="D1" s="21"/>
      <c r="E1" s="21"/>
      <c r="F1" s="12"/>
      <c r="G1" s="12"/>
      <c r="H1" s="12"/>
      <c r="I1" s="12"/>
      <c r="J1" s="12"/>
    </row>
    <row r="2" ht="40" customHeight="1" spans="3:10">
      <c r="C2" s="4" t="s">
        <v>240</v>
      </c>
      <c r="D2" s="21"/>
      <c r="E2" s="21"/>
      <c r="F2" s="12"/>
      <c r="G2" s="12"/>
      <c r="H2" s="12"/>
      <c r="I2" s="12"/>
      <c r="J2" s="12"/>
    </row>
    <row r="3" ht="30" customHeight="1" spans="3:10">
      <c r="C3" s="12"/>
      <c r="D3" s="21"/>
      <c r="E3" s="21"/>
      <c r="F3" s="12"/>
      <c r="G3" s="12"/>
      <c r="H3" s="12"/>
      <c r="I3" s="12"/>
      <c r="J3" s="12"/>
    </row>
    <row r="4" ht="30" customHeight="1" spans="3:10">
      <c r="C4" s="17" t="s">
        <v>36</v>
      </c>
      <c r="D4" s="22" t="s">
        <v>34</v>
      </c>
      <c r="E4" s="22" t="s">
        <v>35</v>
      </c>
      <c r="F4" s="17" t="s">
        <v>241</v>
      </c>
      <c r="G4" s="17" t="s">
        <v>242</v>
      </c>
      <c r="H4" s="17" t="s">
        <v>51</v>
      </c>
      <c r="I4" s="17" t="s">
        <v>243</v>
      </c>
      <c r="J4" s="17" t="s">
        <v>46</v>
      </c>
    </row>
    <row r="5" customHeight="1" spans="2:10">
      <c r="B5">
        <v>768</v>
      </c>
      <c r="C5" s="8" t="s">
        <v>42</v>
      </c>
      <c r="D5" s="20">
        <v>2023</v>
      </c>
      <c r="E5" s="20">
        <v>1</v>
      </c>
      <c r="F5" s="8">
        <v>22</v>
      </c>
      <c r="G5" s="8">
        <v>0</v>
      </c>
      <c r="H5" s="8">
        <v>0</v>
      </c>
      <c r="I5" s="8">
        <v>0</v>
      </c>
      <c r="J5" s="8">
        <v>0</v>
      </c>
    </row>
    <row r="6" customHeight="1" spans="2:10">
      <c r="B6">
        <v>771</v>
      </c>
      <c r="C6" s="8" t="s">
        <v>45</v>
      </c>
      <c r="D6" s="20">
        <v>2023</v>
      </c>
      <c r="E6" s="20">
        <v>2</v>
      </c>
      <c r="F6" s="8">
        <v>21</v>
      </c>
      <c r="G6" s="8">
        <v>0</v>
      </c>
      <c r="H6" s="8">
        <v>0</v>
      </c>
      <c r="I6" s="8">
        <v>0</v>
      </c>
      <c r="J6" s="8">
        <v>0</v>
      </c>
    </row>
    <row r="7" customHeight="1" spans="2:10">
      <c r="B7">
        <v>772</v>
      </c>
      <c r="C7" s="8" t="s">
        <v>47</v>
      </c>
      <c r="D7" s="20">
        <v>2023</v>
      </c>
      <c r="E7" s="20">
        <v>4</v>
      </c>
      <c r="F7" s="8">
        <v>30</v>
      </c>
      <c r="G7" s="8">
        <v>0</v>
      </c>
      <c r="H7" s="8">
        <v>0</v>
      </c>
      <c r="I7" s="8">
        <v>0</v>
      </c>
      <c r="J7" s="8">
        <v>0</v>
      </c>
    </row>
    <row r="8" customHeight="1" spans="2:10">
      <c r="B8">
        <v>773</v>
      </c>
      <c r="C8" s="8" t="s">
        <v>48</v>
      </c>
      <c r="D8" s="20">
        <v>2023</v>
      </c>
      <c r="E8" s="20">
        <v>1</v>
      </c>
      <c r="F8" s="8">
        <v>22</v>
      </c>
      <c r="G8" s="8">
        <v>0</v>
      </c>
      <c r="H8" s="8">
        <v>0</v>
      </c>
      <c r="I8" s="8">
        <v>0</v>
      </c>
      <c r="J8" s="8">
        <v>0</v>
      </c>
    </row>
    <row r="9" customHeight="1" spans="2:10">
      <c r="B9">
        <v>774</v>
      </c>
      <c r="C9" s="8" t="s">
        <v>49</v>
      </c>
      <c r="D9" s="20">
        <v>2023</v>
      </c>
      <c r="E9" s="20">
        <v>4</v>
      </c>
      <c r="F9" s="8">
        <v>30</v>
      </c>
      <c r="G9" s="8">
        <v>0</v>
      </c>
      <c r="H9" s="8">
        <v>0</v>
      </c>
      <c r="I9" s="8">
        <v>0</v>
      </c>
      <c r="J9" s="8">
        <v>0</v>
      </c>
    </row>
    <row r="10" customHeight="1" spans="2:10">
      <c r="B10">
        <v>775</v>
      </c>
      <c r="C10" s="8" t="s">
        <v>50</v>
      </c>
      <c r="D10" s="20">
        <v>2023</v>
      </c>
      <c r="E10" s="20">
        <v>4</v>
      </c>
      <c r="F10" s="8">
        <v>30</v>
      </c>
      <c r="G10" s="8">
        <v>0</v>
      </c>
      <c r="H10" s="8">
        <v>0</v>
      </c>
      <c r="I10" s="8">
        <v>0</v>
      </c>
      <c r="J10" s="8">
        <v>0</v>
      </c>
    </row>
  </sheetData>
  <conditionalFormatting sqref="C5:J1048576">
    <cfRule type="expression" dxfId="0" priority="16">
      <formula>MOD(ROW(),2)=0</formula>
    </cfRule>
  </conditionalFormatting>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AH10"/>
  <sheetViews>
    <sheetView showGridLines="0" workbookViewId="0">
      <pane ySplit="4" topLeftCell="A5" activePane="bottomLeft" state="frozen"/>
      <selection/>
      <selection pane="bottomLeft" activeCell="H16" sqref="H16"/>
    </sheetView>
  </sheetViews>
  <sheetFormatPr defaultColWidth="9" defaultRowHeight="20" customHeight="1"/>
  <cols>
    <col min="1" max="1" width="4.625" style="12" customWidth="1"/>
    <col min="2" max="2" width="4.625" style="12" hidden="1" customWidth="1"/>
    <col min="3" max="7" width="12.625" style="8" customWidth="1"/>
    <col min="8" max="8" width="20" style="8" customWidth="1"/>
    <col min="9" max="17" width="12.625" style="8" customWidth="1"/>
    <col min="18" max="18" width="22.75" style="8" customWidth="1"/>
    <col min="19" max="34" width="12.625" style="8" customWidth="1"/>
    <col min="35" max="16384" width="9" style="12"/>
  </cols>
  <sheetData>
    <row r="1" ht="54.75" customHeight="1" spans="3:34">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row>
    <row r="2" ht="40" customHeight="1" spans="3:34">
      <c r="C2" s="4" t="s">
        <v>244</v>
      </c>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row>
    <row r="3" ht="30" customHeight="1" spans="3:34">
      <c r="C3" s="1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row>
    <row r="4" ht="30" customHeight="1" spans="3:34">
      <c r="C4" s="17" t="s">
        <v>184</v>
      </c>
      <c r="D4" s="17" t="s">
        <v>186</v>
      </c>
      <c r="E4" s="17" t="s">
        <v>245</v>
      </c>
      <c r="F4" s="17" t="s">
        <v>246</v>
      </c>
      <c r="G4" s="17" t="s">
        <v>182</v>
      </c>
      <c r="H4" s="17" t="s">
        <v>200</v>
      </c>
      <c r="I4" s="17" t="s">
        <v>190</v>
      </c>
      <c r="J4" s="17" t="s">
        <v>230</v>
      </c>
      <c r="K4" s="17" t="s">
        <v>192</v>
      </c>
      <c r="L4" s="17" t="s">
        <v>202</v>
      </c>
      <c r="M4" s="17" t="s">
        <v>193</v>
      </c>
      <c r="N4" s="17" t="s">
        <v>185</v>
      </c>
      <c r="O4" s="17" t="s">
        <v>247</v>
      </c>
      <c r="P4" s="17" t="s">
        <v>194</v>
      </c>
      <c r="Q4" s="17" t="s">
        <v>195</v>
      </c>
      <c r="R4" s="17" t="s">
        <v>187</v>
      </c>
      <c r="S4" s="17" t="s">
        <v>196</v>
      </c>
      <c r="T4" s="17" t="s">
        <v>198</v>
      </c>
      <c r="U4" s="17" t="s">
        <v>188</v>
      </c>
      <c r="V4" s="17" t="s">
        <v>169</v>
      </c>
      <c r="W4" s="17" t="s">
        <v>172</v>
      </c>
      <c r="X4" s="17" t="s">
        <v>199</v>
      </c>
      <c r="Y4" s="17" t="s">
        <v>189</v>
      </c>
      <c r="Z4" s="17" t="s">
        <v>248</v>
      </c>
      <c r="AA4" s="17" t="s">
        <v>206</v>
      </c>
      <c r="AB4" s="17" t="s">
        <v>174</v>
      </c>
      <c r="AC4" s="17" t="s">
        <v>191</v>
      </c>
      <c r="AD4" s="17" t="s">
        <v>175</v>
      </c>
      <c r="AE4" s="17" t="s">
        <v>232</v>
      </c>
      <c r="AF4" s="17" t="s">
        <v>178</v>
      </c>
      <c r="AG4" s="17" t="s">
        <v>233</v>
      </c>
      <c r="AH4" s="17" t="s">
        <v>181</v>
      </c>
    </row>
    <row r="5" customHeight="1" spans="2:34">
      <c r="B5" s="12">
        <v>7</v>
      </c>
      <c r="C5" s="8">
        <v>0.3</v>
      </c>
      <c r="D5" s="8">
        <v>0.5</v>
      </c>
      <c r="E5" s="8" t="s">
        <v>90</v>
      </c>
      <c r="F5" s="8" t="s">
        <v>91</v>
      </c>
      <c r="G5" s="8">
        <v>100</v>
      </c>
      <c r="H5" s="8">
        <v>0.02</v>
      </c>
      <c r="I5" s="8">
        <v>0.075</v>
      </c>
      <c r="J5" s="8">
        <v>0.01</v>
      </c>
      <c r="K5" s="8">
        <v>0.02</v>
      </c>
      <c r="L5" s="8">
        <v>0.02</v>
      </c>
      <c r="M5" s="8">
        <v>0.02</v>
      </c>
      <c r="N5" s="8">
        <v>0.02</v>
      </c>
      <c r="O5" s="8">
        <v>0.02</v>
      </c>
      <c r="P5" s="8">
        <v>0.02</v>
      </c>
      <c r="Q5" s="8">
        <v>0.02</v>
      </c>
      <c r="R5" s="8">
        <v>0.02</v>
      </c>
      <c r="S5" s="8">
        <v>0.03</v>
      </c>
      <c r="T5" s="8">
        <v>0.02</v>
      </c>
      <c r="U5" s="8">
        <v>0.02</v>
      </c>
      <c r="V5" s="8" t="s">
        <v>249</v>
      </c>
      <c r="W5" s="8">
        <v>5000</v>
      </c>
      <c r="X5" s="8">
        <v>0.02</v>
      </c>
      <c r="Y5" s="8">
        <v>0.02</v>
      </c>
      <c r="Z5" s="8" t="s">
        <v>250</v>
      </c>
      <c r="AA5" s="8">
        <v>0.3</v>
      </c>
      <c r="AB5" s="8">
        <v>0.02</v>
      </c>
      <c r="AC5" s="8">
        <v>0.02</v>
      </c>
      <c r="AD5" s="8">
        <v>300</v>
      </c>
      <c r="AE5" s="8">
        <v>0.02</v>
      </c>
      <c r="AF5" s="8">
        <v>50</v>
      </c>
      <c r="AG5" s="8">
        <v>1</v>
      </c>
      <c r="AH5" s="8">
        <v>300</v>
      </c>
    </row>
    <row r="6" customHeight="1" spans="2:34">
      <c r="B6" s="12">
        <v>265</v>
      </c>
      <c r="C6" s="8">
        <v>0.2</v>
      </c>
      <c r="D6" s="8">
        <v>1</v>
      </c>
      <c r="E6" s="8" t="s">
        <v>115</v>
      </c>
      <c r="F6" s="8" t="s">
        <v>91</v>
      </c>
      <c r="G6" s="8">
        <v>100</v>
      </c>
      <c r="H6" s="8">
        <v>0.03</v>
      </c>
      <c r="I6" s="8">
        <v>0.08</v>
      </c>
      <c r="J6" s="8">
        <v>0.02</v>
      </c>
      <c r="K6" s="8">
        <v>0.03</v>
      </c>
      <c r="L6" s="8">
        <v>0.03</v>
      </c>
      <c r="M6" s="8">
        <v>0.03</v>
      </c>
      <c r="N6" s="8">
        <v>0.03</v>
      </c>
      <c r="O6" s="8">
        <v>0.03</v>
      </c>
      <c r="P6" s="8">
        <v>0.03</v>
      </c>
      <c r="Q6" s="8">
        <v>0.03</v>
      </c>
      <c r="R6" s="8">
        <v>0.03</v>
      </c>
      <c r="S6" s="8">
        <v>0.02</v>
      </c>
      <c r="T6" s="8">
        <v>0.03</v>
      </c>
      <c r="U6" s="8">
        <v>0.03</v>
      </c>
      <c r="V6" s="8" t="s">
        <v>249</v>
      </c>
      <c r="W6" s="8">
        <v>6000</v>
      </c>
      <c r="X6" s="8">
        <v>0.03</v>
      </c>
      <c r="Y6" s="8">
        <v>0.03</v>
      </c>
      <c r="Z6" s="8" t="s">
        <v>250</v>
      </c>
      <c r="AA6" s="8">
        <v>0.1</v>
      </c>
      <c r="AB6" s="8">
        <v>0.03</v>
      </c>
      <c r="AC6" s="8">
        <v>0.03</v>
      </c>
      <c r="AD6" s="8">
        <v>310</v>
      </c>
      <c r="AE6" s="8">
        <v>0.03</v>
      </c>
      <c r="AF6" s="8">
        <v>50</v>
      </c>
      <c r="AG6" s="8">
        <v>1</v>
      </c>
      <c r="AH6" s="8">
        <v>250</v>
      </c>
    </row>
    <row r="7" customHeight="1" spans="2:34">
      <c r="B7" s="12">
        <v>338</v>
      </c>
      <c r="C7" s="8">
        <v>0.5</v>
      </c>
      <c r="D7" s="8">
        <v>1</v>
      </c>
      <c r="E7" s="8" t="s">
        <v>140</v>
      </c>
      <c r="F7" s="8" t="s">
        <v>91</v>
      </c>
      <c r="G7" s="8">
        <v>100</v>
      </c>
      <c r="H7" s="8">
        <v>0.05</v>
      </c>
      <c r="I7" s="8">
        <v>0.06</v>
      </c>
      <c r="J7" s="8">
        <v>0.03</v>
      </c>
      <c r="K7" s="8">
        <v>0.02</v>
      </c>
      <c r="L7" s="8">
        <v>0.02</v>
      </c>
      <c r="M7" s="8">
        <v>0.02</v>
      </c>
      <c r="N7" s="8">
        <v>0.02</v>
      </c>
      <c r="O7" s="8">
        <v>0.02</v>
      </c>
      <c r="P7" s="8">
        <v>0.02</v>
      </c>
      <c r="Q7" s="8">
        <v>0.02</v>
      </c>
      <c r="R7" s="8">
        <v>0.02</v>
      </c>
      <c r="S7" s="8">
        <v>0.2</v>
      </c>
      <c r="T7" s="8">
        <v>0.02</v>
      </c>
      <c r="U7" s="8">
        <v>0.02</v>
      </c>
      <c r="V7" s="8" t="s">
        <v>249</v>
      </c>
      <c r="W7" s="8">
        <v>5000</v>
      </c>
      <c r="X7" s="8">
        <v>0.02</v>
      </c>
      <c r="Y7" s="8">
        <v>0.02</v>
      </c>
      <c r="Z7" s="8" t="s">
        <v>250</v>
      </c>
      <c r="AA7" s="8">
        <v>0.1</v>
      </c>
      <c r="AB7" s="8">
        <v>0.02</v>
      </c>
      <c r="AC7" s="8">
        <v>0.02</v>
      </c>
      <c r="AD7" s="8">
        <v>250</v>
      </c>
      <c r="AE7" s="8">
        <v>0.02</v>
      </c>
      <c r="AF7" s="8">
        <v>50</v>
      </c>
      <c r="AG7" s="8">
        <v>1</v>
      </c>
      <c r="AH7" s="8">
        <v>200</v>
      </c>
    </row>
    <row r="8" customHeight="1" spans="2:34">
      <c r="B8" s="12">
        <v>339</v>
      </c>
      <c r="C8" s="8">
        <v>0.2</v>
      </c>
      <c r="D8" s="8">
        <v>0.15</v>
      </c>
      <c r="E8" s="8" t="s">
        <v>146</v>
      </c>
      <c r="F8" s="8" t="s">
        <v>91</v>
      </c>
      <c r="G8" s="8">
        <v>100</v>
      </c>
      <c r="H8" s="8">
        <v>0.03</v>
      </c>
      <c r="I8" s="8">
        <v>0.05</v>
      </c>
      <c r="J8" s="8">
        <v>0.02</v>
      </c>
      <c r="K8" s="8">
        <v>0.04</v>
      </c>
      <c r="L8" s="8">
        <v>0.04</v>
      </c>
      <c r="M8" s="8">
        <v>0.04</v>
      </c>
      <c r="N8" s="8">
        <v>0.04</v>
      </c>
      <c r="O8" s="8">
        <v>0.04</v>
      </c>
      <c r="P8" s="8">
        <v>0.04</v>
      </c>
      <c r="Q8" s="8">
        <v>0.04</v>
      </c>
      <c r="R8" s="8">
        <v>0.04</v>
      </c>
      <c r="S8" s="8">
        <v>0.03</v>
      </c>
      <c r="T8" s="8">
        <v>0.04</v>
      </c>
      <c r="U8" s="8">
        <v>0.04</v>
      </c>
      <c r="V8" s="8" t="s">
        <v>249</v>
      </c>
      <c r="W8" s="8">
        <v>5500</v>
      </c>
      <c r="X8" s="8">
        <v>0.04</v>
      </c>
      <c r="Y8" s="8">
        <v>0.04</v>
      </c>
      <c r="Z8" s="8" t="s">
        <v>250</v>
      </c>
      <c r="AA8" s="8">
        <v>0.2</v>
      </c>
      <c r="AB8" s="8">
        <v>0.04</v>
      </c>
      <c r="AC8" s="8">
        <v>0.04</v>
      </c>
      <c r="AD8" s="8">
        <v>230</v>
      </c>
      <c r="AE8" s="8">
        <v>0.04</v>
      </c>
      <c r="AF8" s="8">
        <v>50</v>
      </c>
      <c r="AG8" s="8">
        <v>1</v>
      </c>
      <c r="AH8" s="8">
        <v>300</v>
      </c>
    </row>
    <row r="9" customHeight="1" spans="2:34">
      <c r="B9" s="12">
        <v>345</v>
      </c>
      <c r="C9" s="8">
        <v>0.2</v>
      </c>
      <c r="D9" s="8">
        <v>0.02</v>
      </c>
      <c r="E9" s="8" t="s">
        <v>115</v>
      </c>
      <c r="F9" s="8" t="s">
        <v>91</v>
      </c>
      <c r="G9" s="8">
        <v>100</v>
      </c>
      <c r="H9" s="8">
        <v>0.03</v>
      </c>
      <c r="I9" s="8">
        <v>0.01</v>
      </c>
      <c r="J9" s="8">
        <v>0.01</v>
      </c>
      <c r="K9" s="8">
        <v>0.02</v>
      </c>
      <c r="L9" s="8">
        <v>0.02</v>
      </c>
      <c r="M9" s="8">
        <v>0.02</v>
      </c>
      <c r="N9" s="8">
        <v>0.02</v>
      </c>
      <c r="O9" s="8">
        <v>0.02</v>
      </c>
      <c r="P9" s="8">
        <v>0.02</v>
      </c>
      <c r="Q9" s="8">
        <v>0.02</v>
      </c>
      <c r="R9" s="8">
        <v>0.02</v>
      </c>
      <c r="S9" s="8">
        <v>0.02</v>
      </c>
      <c r="T9" s="8">
        <v>0.02</v>
      </c>
      <c r="U9" s="8">
        <v>0.02</v>
      </c>
      <c r="V9" s="8" t="s">
        <v>249</v>
      </c>
      <c r="W9" s="8">
        <v>4000</v>
      </c>
      <c r="X9" s="8">
        <v>0.02</v>
      </c>
      <c r="Y9" s="8">
        <v>0.02</v>
      </c>
      <c r="Z9" s="8" t="s">
        <v>250</v>
      </c>
      <c r="AA9" s="8">
        <v>0.1</v>
      </c>
      <c r="AB9" s="8">
        <v>0.02</v>
      </c>
      <c r="AC9" s="8">
        <v>0.02</v>
      </c>
      <c r="AD9" s="8">
        <v>200</v>
      </c>
      <c r="AE9" s="8">
        <v>0.02</v>
      </c>
      <c r="AF9" s="8">
        <v>50</v>
      </c>
      <c r="AG9" s="8">
        <v>1</v>
      </c>
      <c r="AH9" s="8">
        <v>200</v>
      </c>
    </row>
    <row r="10" customHeight="1" spans="2:34">
      <c r="B10" s="12">
        <v>351</v>
      </c>
      <c r="C10" s="8">
        <v>0.3</v>
      </c>
      <c r="D10" s="8">
        <v>0.5</v>
      </c>
      <c r="E10" s="8" t="s">
        <v>251</v>
      </c>
      <c r="F10" s="8" t="s">
        <v>91</v>
      </c>
      <c r="G10" s="8">
        <v>100</v>
      </c>
      <c r="H10" s="8">
        <v>0.05</v>
      </c>
      <c r="AH10" s="8">
        <v>200</v>
      </c>
    </row>
  </sheetData>
  <conditionalFormatting sqref="C7:Z7">
    <cfRule type="expression" dxfId="0" priority="9">
      <formula>MOD(ROW(),2)=0</formula>
    </cfRule>
  </conditionalFormatting>
  <conditionalFormatting sqref="AA7">
    <cfRule type="expression" dxfId="0" priority="8">
      <formula>MOD(ROW(),2)=0</formula>
    </cfRule>
  </conditionalFormatting>
  <conditionalFormatting sqref="AB7">
    <cfRule type="expression" dxfId="0" priority="7">
      <formula>MOD(ROW(),2)=0</formula>
    </cfRule>
  </conditionalFormatting>
  <conditionalFormatting sqref="AC7">
    <cfRule type="expression" dxfId="0" priority="6">
      <formula>MOD(ROW(),2)=0</formula>
    </cfRule>
  </conditionalFormatting>
  <conditionalFormatting sqref="AD7">
    <cfRule type="expression" dxfId="0" priority="5">
      <formula>MOD(ROW(),2)=0</formula>
    </cfRule>
  </conditionalFormatting>
  <conditionalFormatting sqref="AE7">
    <cfRule type="expression" dxfId="0" priority="4">
      <formula>MOD(ROW(),2)=0</formula>
    </cfRule>
  </conditionalFormatting>
  <conditionalFormatting sqref="AF7">
    <cfRule type="expression" dxfId="0" priority="3">
      <formula>MOD(ROW(),2)=0</formula>
    </cfRule>
  </conditionalFormatting>
  <conditionalFormatting sqref="AG7">
    <cfRule type="expression" dxfId="0" priority="2">
      <formula>MOD(ROW(),2)=0</formula>
    </cfRule>
  </conditionalFormatting>
  <conditionalFormatting sqref="AH7">
    <cfRule type="expression" dxfId="0" priority="1">
      <formula>MOD(ROW(),2)=0</formula>
    </cfRule>
  </conditionalFormatting>
  <conditionalFormatting sqref="C5:Z6 C8:Z1048576">
    <cfRule type="expression" dxfId="0" priority="19">
      <formula>MOD(ROW(),2)=0</formula>
    </cfRule>
  </conditionalFormatting>
  <conditionalFormatting sqref="AA5:AA6 AA8:AA1048576">
    <cfRule type="expression" dxfId="0" priority="17">
      <formula>MOD(ROW(),2)=0</formula>
    </cfRule>
  </conditionalFormatting>
  <conditionalFormatting sqref="AB5:AB6 AB8:AB1048576">
    <cfRule type="expression" dxfId="0" priority="16">
      <formula>MOD(ROW(),2)=0</formula>
    </cfRule>
  </conditionalFormatting>
  <conditionalFormatting sqref="AC5:AC6 AC8:AC1048576">
    <cfRule type="expression" dxfId="0" priority="15">
      <formula>MOD(ROW(),2)=0</formula>
    </cfRule>
  </conditionalFormatting>
  <conditionalFormatting sqref="AD5:AD6 AD8:AD1048576">
    <cfRule type="expression" dxfId="0" priority="14">
      <formula>MOD(ROW(),2)=0</formula>
    </cfRule>
  </conditionalFormatting>
  <conditionalFormatting sqref="AE5:AE6 AE8:AE1048576">
    <cfRule type="expression" dxfId="0" priority="13">
      <formula>MOD(ROW(),2)=0</formula>
    </cfRule>
  </conditionalFormatting>
  <conditionalFormatting sqref="AF5:AF6 AF8:AF1048576">
    <cfRule type="expression" dxfId="0" priority="12">
      <formula>MOD(ROW(),2)=0</formula>
    </cfRule>
  </conditionalFormatting>
  <conditionalFormatting sqref="AG5:AG6 AG8:AG1048576">
    <cfRule type="expression" dxfId="0" priority="11">
      <formula>MOD(ROW(),2)=0</formula>
    </cfRule>
  </conditionalFormatting>
  <conditionalFormatting sqref="AH5:AH6 AH8:AH1048576">
    <cfRule type="expression" dxfId="0" priority="10">
      <formula>MOD(ROW(),2)=0</formula>
    </cfRule>
  </conditionalFormatting>
  <pageMargins left="0.75" right="0.75" top="1" bottom="1" header="0.5" footer="0.5"/>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H10"/>
  <sheetViews>
    <sheetView showGridLines="0" workbookViewId="0">
      <pane ySplit="4" topLeftCell="A5" activePane="bottomLeft" state="frozen"/>
      <selection/>
      <selection pane="bottomLeft" activeCell="D5" sqref="D5"/>
    </sheetView>
  </sheetViews>
  <sheetFormatPr defaultColWidth="9" defaultRowHeight="20" customHeight="1" outlineLevelCol="7"/>
  <cols>
    <col min="1" max="1" width="4.625" style="12" customWidth="1"/>
    <col min="2" max="2" width="4.625" style="12" hidden="1" customWidth="1"/>
    <col min="3" max="3" width="12.625" style="8" customWidth="1"/>
    <col min="4" max="4" width="12.625" style="14" customWidth="1"/>
    <col min="5" max="5" width="20.25" style="8" customWidth="1"/>
    <col min="6" max="7" width="12.625" style="8" customWidth="1"/>
    <col min="8" max="8" width="19.75" style="8" customWidth="1"/>
    <col min="9" max="16384" width="9" style="12"/>
  </cols>
  <sheetData>
    <row r="1" customFormat="1" ht="54.75" customHeight="1" spans="3:8">
      <c r="C1" s="12"/>
      <c r="D1" s="16"/>
      <c r="E1" s="15"/>
      <c r="F1" s="12"/>
      <c r="G1" s="12"/>
      <c r="H1" s="12"/>
    </row>
    <row r="2" customFormat="1" ht="40" customHeight="1" spans="3:8">
      <c r="C2" s="4" t="s">
        <v>252</v>
      </c>
      <c r="D2" s="16"/>
      <c r="E2" s="15"/>
      <c r="F2" s="12"/>
      <c r="G2" s="12"/>
      <c r="H2" s="12"/>
    </row>
    <row r="3" customFormat="1" ht="30" customHeight="1" spans="3:8">
      <c r="C3" s="12"/>
      <c r="D3" s="16"/>
      <c r="E3" s="15"/>
      <c r="F3" s="12"/>
      <c r="G3" s="12"/>
      <c r="H3" s="12"/>
    </row>
    <row r="4" customFormat="1" ht="30" customHeight="1" spans="3:8">
      <c r="C4" s="17" t="s">
        <v>253</v>
      </c>
      <c r="D4" s="19" t="s">
        <v>254</v>
      </c>
      <c r="E4" s="18" t="s">
        <v>210</v>
      </c>
      <c r="F4" s="17" t="s">
        <v>37</v>
      </c>
      <c r="G4" s="17" t="s">
        <v>255</v>
      </c>
      <c r="H4" s="17" t="s">
        <v>256</v>
      </c>
    </row>
    <row r="5" customHeight="1" spans="2:8">
      <c r="B5" s="12">
        <v>234</v>
      </c>
      <c r="C5" s="8" t="s">
        <v>60</v>
      </c>
      <c r="D5" s="14">
        <v>45042</v>
      </c>
      <c r="E5" s="8">
        <v>-990</v>
      </c>
      <c r="F5" s="8">
        <v>25</v>
      </c>
      <c r="G5" s="8">
        <v>990</v>
      </c>
      <c r="H5" s="8">
        <v>1755</v>
      </c>
    </row>
    <row r="6" customHeight="1" spans="2:8">
      <c r="B6" s="12">
        <v>236</v>
      </c>
      <c r="C6" s="8" t="s">
        <v>45</v>
      </c>
      <c r="D6" s="14">
        <v>45029</v>
      </c>
      <c r="E6" s="8">
        <v>-550</v>
      </c>
      <c r="F6" s="8">
        <v>0</v>
      </c>
      <c r="G6" s="8">
        <v>550</v>
      </c>
      <c r="H6" s="8">
        <v>2500875</v>
      </c>
    </row>
    <row r="7" customHeight="1" spans="2:8">
      <c r="B7" s="12">
        <v>238</v>
      </c>
      <c r="C7" s="8" t="s">
        <v>123</v>
      </c>
      <c r="D7" s="14">
        <v>45028</v>
      </c>
      <c r="E7" s="8">
        <v>-550</v>
      </c>
      <c r="F7" s="8">
        <v>20</v>
      </c>
      <c r="G7" s="8">
        <v>550</v>
      </c>
      <c r="H7" s="8">
        <v>2500875</v>
      </c>
    </row>
    <row r="8" customHeight="1" spans="2:8">
      <c r="B8" s="12">
        <v>239</v>
      </c>
      <c r="C8" s="8" t="s">
        <v>47</v>
      </c>
      <c r="D8" s="14">
        <v>45046</v>
      </c>
      <c r="E8" s="8">
        <v>-550</v>
      </c>
      <c r="F8" s="8">
        <v>23</v>
      </c>
      <c r="G8" s="8">
        <v>550</v>
      </c>
      <c r="H8" s="8">
        <v>2500875</v>
      </c>
    </row>
    <row r="9" customHeight="1" spans="2:8">
      <c r="B9" s="12">
        <v>240</v>
      </c>
      <c r="C9" s="8" t="s">
        <v>48</v>
      </c>
      <c r="D9" s="14">
        <v>45032</v>
      </c>
      <c r="E9" s="8">
        <v>-650</v>
      </c>
      <c r="F9" s="8">
        <v>23</v>
      </c>
      <c r="G9" s="8">
        <v>330</v>
      </c>
      <c r="H9" s="8">
        <v>1500525</v>
      </c>
    </row>
    <row r="10" customHeight="1" spans="2:8">
      <c r="B10" s="12">
        <v>254</v>
      </c>
      <c r="C10" s="8" t="s">
        <v>60</v>
      </c>
      <c r="D10" s="14">
        <v>45210</v>
      </c>
      <c r="E10" s="8">
        <v>-990</v>
      </c>
      <c r="F10" s="8">
        <v>0</v>
      </c>
      <c r="G10" s="8">
        <v>990</v>
      </c>
      <c r="H10" s="8">
        <v>4501575</v>
      </c>
    </row>
  </sheetData>
  <conditionalFormatting sqref="C5:H1048576">
    <cfRule type="expression" dxfId="0" priority="1">
      <formula>MOD(ROW(),2)=0</formula>
    </cfRule>
  </conditionalFormatting>
  <pageMargins left="0.75" right="0.75" top="1" bottom="1" header="0.5" footer="0.5"/>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I19"/>
  <sheetViews>
    <sheetView showGridLines="0" workbookViewId="0">
      <pane ySplit="4" topLeftCell="A5" activePane="bottomLeft" state="frozen"/>
      <selection/>
      <selection pane="bottomLeft" activeCell="K9" sqref="K9"/>
    </sheetView>
  </sheetViews>
  <sheetFormatPr defaultColWidth="9" defaultRowHeight="20" customHeight="1"/>
  <cols>
    <col min="1" max="1" width="4.5" style="12" customWidth="1"/>
    <col min="2" max="2" width="4.625" style="12" hidden="1" customWidth="1"/>
    <col min="3" max="8" width="12.625" style="8" customWidth="1"/>
    <col min="9" max="9" width="12.625" style="14" customWidth="1"/>
    <col min="10" max="16384" width="9" style="12"/>
  </cols>
  <sheetData>
    <row r="1" customFormat="1" ht="54.75" customHeight="1" spans="3:9">
      <c r="C1" s="12"/>
      <c r="D1" s="12"/>
      <c r="E1" s="12"/>
      <c r="F1" s="12"/>
      <c r="G1" s="12"/>
      <c r="H1" s="12"/>
      <c r="I1" s="16"/>
    </row>
    <row r="2" customFormat="1" ht="40" customHeight="1" spans="3:9">
      <c r="C2" s="4" t="s">
        <v>257</v>
      </c>
      <c r="D2" s="12"/>
      <c r="E2" s="12"/>
      <c r="F2" s="12"/>
      <c r="G2" s="12"/>
      <c r="H2" s="12"/>
      <c r="I2" s="16"/>
    </row>
    <row r="3" customFormat="1" ht="30" customHeight="1" spans="3:9">
      <c r="C3" s="12"/>
      <c r="D3" s="12"/>
      <c r="E3" s="12"/>
      <c r="F3" s="12"/>
      <c r="G3" s="12"/>
      <c r="H3" s="12"/>
      <c r="I3" s="16"/>
    </row>
    <row r="4" customFormat="1" ht="30" customHeight="1" spans="3:9">
      <c r="C4" s="17" t="s">
        <v>210</v>
      </c>
      <c r="D4" s="17" t="s">
        <v>255</v>
      </c>
      <c r="E4" s="17" t="s">
        <v>256</v>
      </c>
      <c r="F4" s="17" t="s">
        <v>258</v>
      </c>
      <c r="G4" s="17" t="s">
        <v>37</v>
      </c>
      <c r="H4" s="17" t="s">
        <v>259</v>
      </c>
      <c r="I4" s="19" t="s">
        <v>260</v>
      </c>
    </row>
    <row r="5" s="12" customFormat="1" customHeight="1" spans="2:9">
      <c r="B5" s="12">
        <v>21</v>
      </c>
      <c r="C5" s="8">
        <v>236270</v>
      </c>
      <c r="D5" s="8">
        <v>243270</v>
      </c>
      <c r="E5" s="8">
        <v>441855</v>
      </c>
      <c r="F5" s="8">
        <v>1</v>
      </c>
      <c r="G5" s="8">
        <v>25</v>
      </c>
      <c r="H5" s="8" t="s">
        <v>102</v>
      </c>
      <c r="I5" s="14">
        <v>45043</v>
      </c>
    </row>
    <row r="6" customHeight="1" spans="2:9">
      <c r="B6" s="12">
        <v>22</v>
      </c>
      <c r="C6" s="8">
        <v>3000</v>
      </c>
      <c r="D6" s="8">
        <v>0</v>
      </c>
      <c r="E6" s="8">
        <v>3000</v>
      </c>
      <c r="F6" s="8">
        <v>1</v>
      </c>
      <c r="G6" s="8">
        <v>25</v>
      </c>
      <c r="H6" s="8" t="s">
        <v>60</v>
      </c>
      <c r="I6" s="14">
        <v>45042</v>
      </c>
    </row>
    <row r="7" customHeight="1" spans="2:9">
      <c r="B7" s="12">
        <v>23</v>
      </c>
      <c r="C7" s="8">
        <v>3000</v>
      </c>
      <c r="D7" s="8">
        <v>100</v>
      </c>
      <c r="E7" s="8">
        <v>2900</v>
      </c>
      <c r="F7" s="8">
        <v>1</v>
      </c>
      <c r="G7" s="8">
        <v>22</v>
      </c>
      <c r="H7" s="8" t="s">
        <v>47</v>
      </c>
      <c r="I7" s="14">
        <v>45044</v>
      </c>
    </row>
    <row r="8" customHeight="1" spans="2:9">
      <c r="B8" s="12">
        <v>24</v>
      </c>
      <c r="C8" s="8">
        <v>6000</v>
      </c>
      <c r="D8" s="8">
        <v>200</v>
      </c>
      <c r="E8" s="8">
        <v>5800</v>
      </c>
      <c r="F8" s="8">
        <v>1</v>
      </c>
      <c r="G8" s="8">
        <v>22</v>
      </c>
      <c r="H8" s="8" t="s">
        <v>45</v>
      </c>
      <c r="I8" s="14">
        <v>45041</v>
      </c>
    </row>
    <row r="9" customHeight="1" spans="2:9">
      <c r="B9" s="12">
        <v>25</v>
      </c>
      <c r="C9" s="8">
        <v>10000</v>
      </c>
      <c r="D9" s="8">
        <v>0</v>
      </c>
      <c r="E9" s="8">
        <v>10000</v>
      </c>
      <c r="F9" s="8">
        <v>1</v>
      </c>
      <c r="G9" s="8">
        <v>21</v>
      </c>
      <c r="H9" s="8" t="s">
        <v>48</v>
      </c>
      <c r="I9" s="14">
        <v>45041</v>
      </c>
    </row>
    <row r="10" customHeight="1" spans="2:9">
      <c r="B10" s="12">
        <v>26</v>
      </c>
      <c r="C10" s="8">
        <v>8000</v>
      </c>
      <c r="D10" s="8">
        <v>30</v>
      </c>
      <c r="E10" s="8">
        <v>7970</v>
      </c>
      <c r="F10" s="8">
        <v>1</v>
      </c>
      <c r="G10" s="8">
        <v>22</v>
      </c>
      <c r="H10" s="8" t="s">
        <v>42</v>
      </c>
      <c r="I10" s="14">
        <v>45041</v>
      </c>
    </row>
    <row r="11" customHeight="1" spans="2:9">
      <c r="B11" s="12">
        <v>27</v>
      </c>
      <c r="C11" s="8">
        <v>7800</v>
      </c>
      <c r="D11" s="8">
        <v>300</v>
      </c>
      <c r="E11" s="8">
        <v>7500</v>
      </c>
      <c r="F11" s="8">
        <v>1</v>
      </c>
      <c r="G11" s="8">
        <v>22</v>
      </c>
      <c r="H11" s="8" t="s">
        <v>123</v>
      </c>
      <c r="I11" s="14">
        <v>45035</v>
      </c>
    </row>
    <row r="12" customHeight="1" spans="2:9">
      <c r="B12" s="12">
        <v>28</v>
      </c>
      <c r="C12" s="8">
        <v>6000</v>
      </c>
      <c r="D12" s="8">
        <v>70</v>
      </c>
      <c r="E12" s="8">
        <v>5930</v>
      </c>
      <c r="F12" s="8">
        <v>1</v>
      </c>
      <c r="G12" s="8">
        <v>22</v>
      </c>
      <c r="H12" s="8" t="s">
        <v>49</v>
      </c>
      <c r="I12" s="14">
        <v>45045</v>
      </c>
    </row>
    <row r="13" customHeight="1" spans="2:9">
      <c r="B13" s="12">
        <v>29</v>
      </c>
      <c r="C13" s="8">
        <v>7500</v>
      </c>
      <c r="D13" s="8">
        <v>500</v>
      </c>
      <c r="E13" s="8">
        <v>7000</v>
      </c>
      <c r="F13" s="8">
        <v>1</v>
      </c>
      <c r="G13" s="8">
        <v>22</v>
      </c>
      <c r="H13" s="8" t="s">
        <v>50</v>
      </c>
      <c r="I13" s="14">
        <v>45027</v>
      </c>
    </row>
    <row r="14" customHeight="1" spans="2:9">
      <c r="B14" s="12">
        <v>44</v>
      </c>
      <c r="C14" s="8">
        <v>284770</v>
      </c>
      <c r="D14" s="8">
        <v>250370</v>
      </c>
      <c r="E14" s="8">
        <v>468685</v>
      </c>
      <c r="F14" s="8">
        <v>8</v>
      </c>
      <c r="G14" s="8">
        <v>142</v>
      </c>
      <c r="H14" s="8" t="s">
        <v>102</v>
      </c>
      <c r="I14" s="14">
        <v>45211</v>
      </c>
    </row>
    <row r="15" customHeight="1" spans="2:9">
      <c r="B15" s="12">
        <v>46</v>
      </c>
      <c r="C15" s="8">
        <v>4473.2</v>
      </c>
      <c r="D15" s="8">
        <v>385</v>
      </c>
      <c r="E15" s="8">
        <v>682.5</v>
      </c>
      <c r="F15" s="8">
        <v>2</v>
      </c>
      <c r="G15" s="8">
        <v>30</v>
      </c>
      <c r="H15" s="8" t="s">
        <v>58</v>
      </c>
      <c r="I15" s="14">
        <v>45564</v>
      </c>
    </row>
    <row r="16" customHeight="1" spans="2:9">
      <c r="B16" s="12">
        <v>47</v>
      </c>
      <c r="C16" s="8">
        <v>2625.9</v>
      </c>
      <c r="D16" s="8">
        <v>5225</v>
      </c>
      <c r="E16" s="8">
        <v>15008662.5</v>
      </c>
      <c r="F16" s="8">
        <v>9</v>
      </c>
      <c r="G16" s="8">
        <v>172</v>
      </c>
      <c r="H16" s="8" t="s">
        <v>261</v>
      </c>
      <c r="I16" s="14">
        <v>45181</v>
      </c>
    </row>
    <row r="17" customHeight="1" spans="2:9">
      <c r="B17" s="12">
        <v>48</v>
      </c>
      <c r="C17" s="8">
        <v>1000</v>
      </c>
      <c r="D17" s="8">
        <v>550</v>
      </c>
      <c r="E17" s="8">
        <v>2500875</v>
      </c>
      <c r="F17" s="8">
        <v>1</v>
      </c>
      <c r="G17" s="8">
        <v>20</v>
      </c>
      <c r="H17" s="8" t="s">
        <v>58</v>
      </c>
      <c r="I17" s="14">
        <v>45564</v>
      </c>
    </row>
    <row r="18" customHeight="1" spans="2:9">
      <c r="B18" s="12">
        <v>49</v>
      </c>
      <c r="C18" s="8">
        <v>5590</v>
      </c>
      <c r="D18" s="8">
        <v>4950</v>
      </c>
      <c r="E18" s="8">
        <v>15008175</v>
      </c>
      <c r="F18" s="8">
        <v>8</v>
      </c>
      <c r="G18" s="8">
        <v>142</v>
      </c>
      <c r="H18" s="8" t="s">
        <v>58</v>
      </c>
      <c r="I18" s="14">
        <v>45565</v>
      </c>
    </row>
    <row r="19" customHeight="1" spans="2:9">
      <c r="B19" s="12">
        <v>50</v>
      </c>
      <c r="C19" s="8">
        <v>5590</v>
      </c>
      <c r="D19" s="8">
        <v>4950</v>
      </c>
      <c r="E19" s="8">
        <v>1.500817507</v>
      </c>
      <c r="F19" s="8">
        <v>13</v>
      </c>
      <c r="G19" s="8">
        <v>30</v>
      </c>
      <c r="H19" s="8" t="s">
        <v>102</v>
      </c>
      <c r="I19" s="14">
        <v>45596</v>
      </c>
    </row>
  </sheetData>
  <conditionalFormatting sqref="I8:I10">
    <cfRule type="expression" dxfId="0" priority="1">
      <formula>MOD(ROW(),2)=0</formula>
    </cfRule>
  </conditionalFormatting>
  <conditionalFormatting sqref="C5:H7 C11:H1048576">
    <cfRule type="expression" dxfId="0" priority="4">
      <formula>MOD(ROW(),2)=0</formula>
    </cfRule>
  </conditionalFormatting>
  <conditionalFormatting sqref="I5:I7 I11:I1048576">
    <cfRule type="expression" dxfId="0" priority="3">
      <formula>MOD(ROW(),2)=0</formula>
    </cfRule>
  </conditionalFormatting>
  <conditionalFormatting sqref="C8:H10">
    <cfRule type="expression" dxfId="0" priority="2">
      <formula>MOD(ROW(),2)=0</formula>
    </cfRule>
  </conditionalFormatting>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B1:K12"/>
  <sheetViews>
    <sheetView showGridLines="0" workbookViewId="0">
      <pane ySplit="4" topLeftCell="A5" activePane="bottomLeft" state="frozen"/>
      <selection/>
      <selection pane="bottomLeft" activeCell="F14" sqref="F14"/>
    </sheetView>
  </sheetViews>
  <sheetFormatPr defaultColWidth="9" defaultRowHeight="20" customHeight="1"/>
  <cols>
    <col min="1" max="1" width="4.625" customWidth="1"/>
    <col min="2" max="2" width="4.625" hidden="1" customWidth="1"/>
    <col min="3" max="3" width="12.625" style="8" customWidth="1"/>
    <col min="4" max="4" width="12.625" style="20" customWidth="1"/>
    <col min="5" max="5" width="22.875" style="10" customWidth="1"/>
    <col min="6" max="6" width="18" style="10" customWidth="1"/>
    <col min="7" max="8" width="12.625" style="8" customWidth="1"/>
    <col min="9" max="9" width="20" style="8" customWidth="1"/>
    <col min="10" max="11" width="12.625" style="8" customWidth="1"/>
  </cols>
  <sheetData>
    <row r="1" ht="54.75" customHeight="1" spans="3:11">
      <c r="C1" s="12"/>
      <c r="D1" s="21"/>
      <c r="E1" s="15"/>
      <c r="F1" s="15"/>
      <c r="G1" s="12"/>
      <c r="H1" s="12"/>
      <c r="I1" s="12"/>
      <c r="J1" s="12"/>
      <c r="K1" s="12"/>
    </row>
    <row r="2" ht="40" customHeight="1" spans="3:11">
      <c r="C2" s="4" t="s">
        <v>262</v>
      </c>
      <c r="D2" s="21"/>
      <c r="E2" s="15"/>
      <c r="F2" s="15"/>
      <c r="G2" s="12"/>
      <c r="H2" s="12"/>
      <c r="I2" s="12"/>
      <c r="J2" s="12"/>
      <c r="K2" s="12"/>
    </row>
    <row r="3" ht="30" customHeight="1" spans="3:11">
      <c r="C3" s="12"/>
      <c r="D3" s="21"/>
      <c r="E3" s="15"/>
      <c r="F3" s="15"/>
      <c r="G3" s="12"/>
      <c r="H3" s="12"/>
      <c r="I3" s="12"/>
      <c r="J3" s="12"/>
      <c r="K3" s="12"/>
    </row>
    <row r="4" ht="30" customHeight="1" spans="3:11">
      <c r="C4" s="17" t="s">
        <v>36</v>
      </c>
      <c r="D4" s="22" t="s">
        <v>263</v>
      </c>
      <c r="E4" s="18" t="s">
        <v>264</v>
      </c>
      <c r="F4" s="18" t="s">
        <v>234</v>
      </c>
      <c r="G4" s="17" t="s">
        <v>265</v>
      </c>
      <c r="H4" s="17" t="s">
        <v>266</v>
      </c>
      <c r="I4" s="17" t="s">
        <v>267</v>
      </c>
      <c r="J4" s="17" t="s">
        <v>268</v>
      </c>
      <c r="K4" s="17" t="s">
        <v>269</v>
      </c>
    </row>
    <row r="5" customHeight="1" spans="2:11">
      <c r="B5">
        <v>234</v>
      </c>
      <c r="C5" s="8" t="s">
        <v>60</v>
      </c>
      <c r="D5" s="20" t="s">
        <v>270</v>
      </c>
      <c r="E5" s="10" t="s">
        <v>93</v>
      </c>
      <c r="F5" s="10" t="s">
        <v>236</v>
      </c>
      <c r="G5" s="8">
        <v>9000</v>
      </c>
      <c r="H5" s="8">
        <v>441855</v>
      </c>
      <c r="I5" s="8">
        <v>117000</v>
      </c>
      <c r="J5" s="8">
        <v>36000</v>
      </c>
      <c r="K5" s="8">
        <v>6</v>
      </c>
    </row>
    <row r="6" customHeight="1" spans="2:11">
      <c r="B6">
        <v>235</v>
      </c>
      <c r="C6" s="8" t="s">
        <v>102</v>
      </c>
      <c r="D6" s="20" t="s">
        <v>270</v>
      </c>
      <c r="E6" s="10" t="s">
        <v>105</v>
      </c>
      <c r="F6" s="10" t="s">
        <v>236</v>
      </c>
      <c r="G6" s="8">
        <v>6000</v>
      </c>
      <c r="H6" s="8">
        <v>10000</v>
      </c>
      <c r="I6" s="8">
        <v>0</v>
      </c>
      <c r="J6" s="8">
        <v>400</v>
      </c>
      <c r="K6" s="8">
        <v>6</v>
      </c>
    </row>
    <row r="7" customHeight="1" spans="2:10">
      <c r="B7">
        <v>236</v>
      </c>
      <c r="C7" s="8" t="s">
        <v>45</v>
      </c>
      <c r="D7" s="20" t="s">
        <v>270</v>
      </c>
      <c r="E7" s="10" t="s">
        <v>111</v>
      </c>
      <c r="F7" s="10" t="s">
        <v>236</v>
      </c>
      <c r="G7" s="8">
        <v>5000</v>
      </c>
      <c r="H7" s="8">
        <v>9000</v>
      </c>
      <c r="I7" s="8">
        <v>0</v>
      </c>
      <c r="J7" s="8">
        <v>360</v>
      </c>
    </row>
    <row r="8" customHeight="1" spans="2:10">
      <c r="B8">
        <v>237</v>
      </c>
      <c r="C8" s="8" t="s">
        <v>42</v>
      </c>
      <c r="D8" s="20" t="s">
        <v>270</v>
      </c>
      <c r="E8" s="10" t="s">
        <v>117</v>
      </c>
      <c r="F8" s="10" t="s">
        <v>236</v>
      </c>
      <c r="G8" s="8">
        <v>3000</v>
      </c>
      <c r="H8" s="8">
        <v>8500</v>
      </c>
      <c r="I8" s="8">
        <v>0</v>
      </c>
      <c r="J8" s="8">
        <v>340</v>
      </c>
    </row>
    <row r="9" customHeight="1" spans="2:10">
      <c r="B9">
        <v>238</v>
      </c>
      <c r="C9" s="8" t="s">
        <v>123</v>
      </c>
      <c r="D9" s="20" t="s">
        <v>270</v>
      </c>
      <c r="E9" s="10" t="s">
        <v>125</v>
      </c>
      <c r="F9" s="10" t="s">
        <v>236</v>
      </c>
      <c r="G9" s="8">
        <v>5000</v>
      </c>
      <c r="H9" s="8">
        <v>9000</v>
      </c>
      <c r="I9" s="8">
        <v>0</v>
      </c>
      <c r="J9" s="8">
        <v>360</v>
      </c>
    </row>
    <row r="10" customHeight="1" spans="2:10">
      <c r="B10">
        <v>239</v>
      </c>
      <c r="C10" s="8" t="s">
        <v>47</v>
      </c>
      <c r="D10" s="20" t="s">
        <v>270</v>
      </c>
      <c r="E10" s="10" t="s">
        <v>237</v>
      </c>
      <c r="F10" s="10" t="s">
        <v>236</v>
      </c>
      <c r="G10" s="8">
        <v>5000</v>
      </c>
      <c r="H10" s="8">
        <v>5000</v>
      </c>
      <c r="I10" s="8">
        <v>0</v>
      </c>
      <c r="J10" s="8">
        <v>200</v>
      </c>
    </row>
    <row r="11" customHeight="1" spans="2:10">
      <c r="B11">
        <v>240</v>
      </c>
      <c r="C11" s="8" t="s">
        <v>48</v>
      </c>
      <c r="D11" s="20" t="s">
        <v>270</v>
      </c>
      <c r="E11" s="10" t="s">
        <v>136</v>
      </c>
      <c r="F11" s="10" t="s">
        <v>236</v>
      </c>
      <c r="G11" s="8">
        <v>3000</v>
      </c>
      <c r="H11" s="8">
        <v>7000</v>
      </c>
      <c r="I11" s="8">
        <v>1000</v>
      </c>
      <c r="J11" s="8">
        <v>280</v>
      </c>
    </row>
    <row r="12" customHeight="1" spans="2:11">
      <c r="B12">
        <v>254</v>
      </c>
      <c r="C12" s="8" t="s">
        <v>60</v>
      </c>
      <c r="D12" s="20" t="s">
        <v>270</v>
      </c>
      <c r="E12" s="10" t="s">
        <v>93</v>
      </c>
      <c r="F12" s="10" t="s">
        <v>239</v>
      </c>
      <c r="G12" s="8">
        <v>9000</v>
      </c>
      <c r="H12" s="8">
        <v>0</v>
      </c>
      <c r="I12" s="8">
        <v>0</v>
      </c>
      <c r="J12" s="8">
        <v>0</v>
      </c>
      <c r="K12" s="8">
        <v>240</v>
      </c>
    </row>
  </sheetData>
  <conditionalFormatting sqref="C5:K1048576">
    <cfRule type="expression" dxfId="0" priority="1">
      <formula>MOD(ROW(),2)=0</formula>
    </cfRule>
  </conditionalFormatting>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C1:AW6"/>
  <sheetViews>
    <sheetView showGridLines="0" workbookViewId="0">
      <pane ySplit="4" topLeftCell="A5" activePane="bottomLeft" state="frozen"/>
      <selection/>
      <selection pane="bottomLeft" activeCell="G4" sqref="G4"/>
    </sheetView>
  </sheetViews>
  <sheetFormatPr defaultColWidth="9" defaultRowHeight="20" customHeight="1" outlineLevelRow="5"/>
  <cols>
    <col min="1" max="1" width="4.625" style="12" customWidth="1"/>
    <col min="2" max="2" width="4.625" style="12" hidden="1" customWidth="1"/>
    <col min="3" max="49" width="12.625" style="8" customWidth="1"/>
    <col min="50" max="16384" width="9" style="12"/>
  </cols>
  <sheetData>
    <row r="1" s="12" customFormat="1" ht="54.75" customHeight="1"/>
    <row r="2" s="12" customFormat="1" ht="40" customHeight="1" spans="3:3">
      <c r="C2" s="4" t="s">
        <v>271</v>
      </c>
    </row>
    <row r="3" s="12" customFormat="1" ht="30" customHeight="1"/>
    <row r="4" s="12" customFormat="1" ht="30" customHeight="1" spans="3:49">
      <c r="C4" s="17" t="s">
        <v>63</v>
      </c>
      <c r="D4" s="17" t="s">
        <v>272</v>
      </c>
      <c r="E4" s="17" t="s">
        <v>75</v>
      </c>
      <c r="F4" s="17" t="s">
        <v>76</v>
      </c>
      <c r="G4" s="17" t="s">
        <v>172</v>
      </c>
      <c r="H4" s="17" t="s">
        <v>173</v>
      </c>
      <c r="I4" s="17" t="s">
        <v>174</v>
      </c>
      <c r="J4" s="17" t="s">
        <v>175</v>
      </c>
      <c r="K4" s="17" t="s">
        <v>176</v>
      </c>
      <c r="L4" s="17" t="s">
        <v>177</v>
      </c>
      <c r="M4" s="17" t="s">
        <v>178</v>
      </c>
      <c r="N4" s="17" t="s">
        <v>179</v>
      </c>
      <c r="O4" s="17" t="s">
        <v>180</v>
      </c>
      <c r="P4" s="17" t="s">
        <v>181</v>
      </c>
      <c r="Q4" s="17" t="s">
        <v>41</v>
      </c>
      <c r="R4" s="17" t="s">
        <v>182</v>
      </c>
      <c r="S4" s="17" t="s">
        <v>183</v>
      </c>
      <c r="T4" s="17" t="s">
        <v>184</v>
      </c>
      <c r="U4" s="17" t="s">
        <v>185</v>
      </c>
      <c r="V4" s="17" t="s">
        <v>186</v>
      </c>
      <c r="W4" s="17" t="s">
        <v>187</v>
      </c>
      <c r="X4" s="17" t="s">
        <v>188</v>
      </c>
      <c r="Y4" s="17" t="s">
        <v>189</v>
      </c>
      <c r="Z4" s="17" t="s">
        <v>190</v>
      </c>
      <c r="AA4" s="17" t="s">
        <v>191</v>
      </c>
      <c r="AB4" s="17" t="s">
        <v>192</v>
      </c>
      <c r="AC4" s="17" t="s">
        <v>193</v>
      </c>
      <c r="AD4" s="17" t="s">
        <v>194</v>
      </c>
      <c r="AE4" s="17" t="s">
        <v>195</v>
      </c>
      <c r="AF4" s="17" t="s">
        <v>196</v>
      </c>
      <c r="AG4" s="17" t="s">
        <v>197</v>
      </c>
      <c r="AH4" s="17" t="s">
        <v>198</v>
      </c>
      <c r="AI4" s="17" t="s">
        <v>199</v>
      </c>
      <c r="AJ4" s="17" t="s">
        <v>200</v>
      </c>
      <c r="AK4" s="17" t="s">
        <v>201</v>
      </c>
      <c r="AL4" s="17" t="s">
        <v>202</v>
      </c>
      <c r="AM4" s="17" t="s">
        <v>231</v>
      </c>
      <c r="AN4" s="17" t="s">
        <v>195</v>
      </c>
      <c r="AO4" s="17" t="s">
        <v>196</v>
      </c>
      <c r="AP4" s="17" t="s">
        <v>203</v>
      </c>
      <c r="AQ4" s="17" t="s">
        <v>204</v>
      </c>
      <c r="AR4" s="17" t="s">
        <v>205</v>
      </c>
      <c r="AS4" s="17" t="s">
        <v>206</v>
      </c>
      <c r="AT4" s="17" t="s">
        <v>207</v>
      </c>
      <c r="AU4" s="17" t="s">
        <v>208</v>
      </c>
      <c r="AV4" s="17" t="s">
        <v>209</v>
      </c>
      <c r="AW4" s="17" t="s">
        <v>210</v>
      </c>
    </row>
    <row r="5" customHeight="1" spans="3:49">
      <c r="C5" s="8" t="s">
        <v>115</v>
      </c>
      <c r="D5" s="8">
        <v>3</v>
      </c>
      <c r="E5" s="8">
        <v>11000</v>
      </c>
      <c r="F5" s="8">
        <v>5400</v>
      </c>
      <c r="G5" s="8">
        <v>20500</v>
      </c>
      <c r="H5" s="8">
        <v>93210</v>
      </c>
      <c r="I5" s="8">
        <v>0</v>
      </c>
      <c r="J5" s="8">
        <v>0</v>
      </c>
      <c r="K5" s="8">
        <v>71</v>
      </c>
      <c r="L5" s="8">
        <v>111</v>
      </c>
      <c r="M5" s="8">
        <v>47730</v>
      </c>
      <c r="N5" s="8">
        <v>20500</v>
      </c>
      <c r="O5" s="8">
        <v>0</v>
      </c>
      <c r="P5" s="8">
        <v>0</v>
      </c>
      <c r="Q5" s="8">
        <v>4</v>
      </c>
      <c r="R5" s="8">
        <v>400</v>
      </c>
      <c r="S5" s="8">
        <v>-1855</v>
      </c>
      <c r="T5" s="8">
        <v>0.9</v>
      </c>
      <c r="U5" s="8">
        <v>0</v>
      </c>
      <c r="V5" s="8">
        <v>1.5</v>
      </c>
      <c r="W5" s="8">
        <v>0</v>
      </c>
      <c r="X5" s="8">
        <v>220</v>
      </c>
      <c r="Y5" s="8">
        <v>220</v>
      </c>
      <c r="Z5" s="8">
        <v>825</v>
      </c>
      <c r="AA5" s="8">
        <v>220</v>
      </c>
      <c r="AB5" s="8">
        <v>220</v>
      </c>
      <c r="AC5" s="8">
        <v>220</v>
      </c>
      <c r="AD5" s="8">
        <v>5500000</v>
      </c>
      <c r="AE5" s="8">
        <v>0</v>
      </c>
      <c r="AF5" s="8">
        <v>0</v>
      </c>
      <c r="AG5" s="8">
        <v>5501925</v>
      </c>
      <c r="AH5" s="8">
        <v>220</v>
      </c>
      <c r="AI5" s="8">
        <v>220</v>
      </c>
      <c r="AJ5" s="8">
        <v>220</v>
      </c>
      <c r="AK5" s="8">
        <v>110</v>
      </c>
      <c r="AL5" s="8">
        <v>220</v>
      </c>
      <c r="AM5" s="8">
        <v>220</v>
      </c>
      <c r="AN5" s="8">
        <v>0</v>
      </c>
      <c r="AO5" s="8">
        <v>0</v>
      </c>
      <c r="AP5" s="8">
        <v>17610</v>
      </c>
      <c r="AQ5" s="8">
        <v>16400</v>
      </c>
      <c r="AR5" s="8">
        <v>15760</v>
      </c>
      <c r="AS5" s="8">
        <v>0.2</v>
      </c>
      <c r="AT5" s="8">
        <v>0</v>
      </c>
      <c r="AU5" s="8">
        <v>640</v>
      </c>
      <c r="AV5" s="8">
        <v>60</v>
      </c>
      <c r="AW5" s="8">
        <v>-1850</v>
      </c>
    </row>
    <row r="6" customHeight="1" spans="3:49">
      <c r="C6" s="8" t="s">
        <v>90</v>
      </c>
      <c r="D6" s="8">
        <v>4</v>
      </c>
      <c r="E6" s="8">
        <v>34000</v>
      </c>
      <c r="F6" s="8">
        <v>8450</v>
      </c>
      <c r="G6" s="8">
        <v>33000</v>
      </c>
      <c r="H6" s="8">
        <v>70460</v>
      </c>
      <c r="I6" s="8">
        <v>394</v>
      </c>
      <c r="J6" s="8">
        <v>338</v>
      </c>
      <c r="K6" s="8">
        <v>71</v>
      </c>
      <c r="L6" s="8">
        <v>140</v>
      </c>
      <c r="M6" s="8">
        <v>37400</v>
      </c>
      <c r="N6" s="8">
        <v>37000</v>
      </c>
      <c r="O6" s="8">
        <v>2</v>
      </c>
      <c r="P6" s="8">
        <v>600</v>
      </c>
      <c r="Q6" s="8">
        <v>0</v>
      </c>
      <c r="R6" s="8">
        <v>0</v>
      </c>
      <c r="S6" s="8">
        <v>-3740</v>
      </c>
      <c r="T6" s="8">
        <v>1.4</v>
      </c>
      <c r="U6" s="8">
        <v>156</v>
      </c>
      <c r="V6" s="8">
        <v>2.02</v>
      </c>
      <c r="W6" s="8">
        <v>234</v>
      </c>
      <c r="X6" s="8">
        <v>680</v>
      </c>
      <c r="Y6" s="8">
        <v>680</v>
      </c>
      <c r="Z6" s="8">
        <v>2550</v>
      </c>
      <c r="AA6" s="8">
        <v>680</v>
      </c>
      <c r="AB6" s="8">
        <v>680</v>
      </c>
      <c r="AC6" s="8">
        <v>680</v>
      </c>
      <c r="AD6" s="8">
        <v>9500300</v>
      </c>
      <c r="AE6" s="8">
        <v>252</v>
      </c>
      <c r="AF6" s="8">
        <v>16.03</v>
      </c>
      <c r="AG6" s="8">
        <v>9506250</v>
      </c>
      <c r="AH6" s="8">
        <v>680</v>
      </c>
      <c r="AI6" s="8">
        <v>680</v>
      </c>
      <c r="AJ6" s="8">
        <v>680</v>
      </c>
      <c r="AK6" s="8">
        <v>340</v>
      </c>
      <c r="AL6" s="8">
        <v>680</v>
      </c>
      <c r="AM6" s="8">
        <v>680</v>
      </c>
      <c r="AN6" s="8">
        <v>252</v>
      </c>
      <c r="AO6" s="8">
        <v>16.03</v>
      </c>
      <c r="AP6" s="8">
        <v>46190</v>
      </c>
      <c r="AQ6" s="8">
        <v>42450</v>
      </c>
      <c r="AR6" s="8">
        <v>42450</v>
      </c>
      <c r="AS6" s="8">
        <v>0</v>
      </c>
      <c r="AT6" s="8">
        <v>10</v>
      </c>
      <c r="AU6" s="8">
        <v>0</v>
      </c>
      <c r="AV6" s="8">
        <v>447</v>
      </c>
      <c r="AW6" s="8">
        <v>-3740</v>
      </c>
    </row>
  </sheetData>
  <conditionalFormatting sqref="I5:I1048576">
    <cfRule type="expression" dxfId="0" priority="41">
      <formula>MOD(ROW(),2)=0</formula>
    </cfRule>
  </conditionalFormatting>
  <conditionalFormatting sqref="J5:J1048576">
    <cfRule type="expression" dxfId="0" priority="40">
      <formula>MOD(ROW(),2)=0</formula>
    </cfRule>
  </conditionalFormatting>
  <conditionalFormatting sqref="K5:K1048576">
    <cfRule type="expression" dxfId="0" priority="39">
      <formula>MOD(ROW(),2)=0</formula>
    </cfRule>
  </conditionalFormatting>
  <conditionalFormatting sqref="L5:L1048576">
    <cfRule type="expression" dxfId="0" priority="38">
      <formula>MOD(ROW(),2)=0</formula>
    </cfRule>
  </conditionalFormatting>
  <conditionalFormatting sqref="M5:M1048576">
    <cfRule type="expression" dxfId="0" priority="37">
      <formula>MOD(ROW(),2)=0</formula>
    </cfRule>
  </conditionalFormatting>
  <conditionalFormatting sqref="N5:N1048576">
    <cfRule type="expression" dxfId="0" priority="36">
      <formula>MOD(ROW(),2)=0</formula>
    </cfRule>
  </conditionalFormatting>
  <conditionalFormatting sqref="O5:O1048576">
    <cfRule type="expression" dxfId="0" priority="35">
      <formula>MOD(ROW(),2)=0</formula>
    </cfRule>
  </conditionalFormatting>
  <conditionalFormatting sqref="P5:P1048576">
    <cfRule type="expression" dxfId="0" priority="34">
      <formula>MOD(ROW(),2)=0</formula>
    </cfRule>
  </conditionalFormatting>
  <conditionalFormatting sqref="Q5:Q1048576">
    <cfRule type="expression" dxfId="0" priority="33">
      <formula>MOD(ROW(),2)=0</formula>
    </cfRule>
  </conditionalFormatting>
  <conditionalFormatting sqref="R5:R1048576">
    <cfRule type="expression" dxfId="0" priority="32">
      <formula>MOD(ROW(),2)=0</formula>
    </cfRule>
  </conditionalFormatting>
  <conditionalFormatting sqref="S5:S1048576">
    <cfRule type="expression" dxfId="0" priority="31">
      <formula>MOD(ROW(),2)=0</formula>
    </cfRule>
  </conditionalFormatting>
  <conditionalFormatting sqref="T5:T1048576">
    <cfRule type="expression" dxfId="0" priority="30">
      <formula>MOD(ROW(),2)=0</formula>
    </cfRule>
  </conditionalFormatting>
  <conditionalFormatting sqref="U5:U1048576">
    <cfRule type="expression" dxfId="0" priority="29">
      <formula>MOD(ROW(),2)=0</formula>
    </cfRule>
  </conditionalFormatting>
  <conditionalFormatting sqref="V5:V1048576">
    <cfRule type="expression" dxfId="0" priority="28">
      <formula>MOD(ROW(),2)=0</formula>
    </cfRule>
  </conditionalFormatting>
  <conditionalFormatting sqref="W5:W1048576">
    <cfRule type="expression" dxfId="0" priority="27">
      <formula>MOD(ROW(),2)=0</formula>
    </cfRule>
  </conditionalFormatting>
  <conditionalFormatting sqref="X5:X1048576">
    <cfRule type="expression" dxfId="0" priority="26">
      <formula>MOD(ROW(),2)=0</formula>
    </cfRule>
  </conditionalFormatting>
  <conditionalFormatting sqref="Y5:Y1048576">
    <cfRule type="expression" dxfId="0" priority="25">
      <formula>MOD(ROW(),2)=0</formula>
    </cfRule>
  </conditionalFormatting>
  <conditionalFormatting sqref="Z5:Z1048576">
    <cfRule type="expression" dxfId="0" priority="24">
      <formula>MOD(ROW(),2)=0</formula>
    </cfRule>
  </conditionalFormatting>
  <conditionalFormatting sqref="AA5:AA1048576">
    <cfRule type="expression" dxfId="0" priority="23">
      <formula>MOD(ROW(),2)=0</formula>
    </cfRule>
  </conditionalFormatting>
  <conditionalFormatting sqref="AB5:AB1048576">
    <cfRule type="expression" dxfId="0" priority="22">
      <formula>MOD(ROW(),2)=0</formula>
    </cfRule>
  </conditionalFormatting>
  <conditionalFormatting sqref="AC5:AC1048576">
    <cfRule type="expression" dxfId="0" priority="21">
      <formula>MOD(ROW(),2)=0</formula>
    </cfRule>
  </conditionalFormatting>
  <conditionalFormatting sqref="AD5:AD1048576">
    <cfRule type="expression" dxfId="0" priority="20">
      <formula>MOD(ROW(),2)=0</formula>
    </cfRule>
  </conditionalFormatting>
  <conditionalFormatting sqref="AE5:AE1048576">
    <cfRule type="expression" dxfId="0" priority="19">
      <formula>MOD(ROW(),2)=0</formula>
    </cfRule>
  </conditionalFormatting>
  <conditionalFormatting sqref="AF5:AF1048576">
    <cfRule type="expression" dxfId="0" priority="18">
      <formula>MOD(ROW(),2)=0</formula>
    </cfRule>
  </conditionalFormatting>
  <conditionalFormatting sqref="AG5:AG1048576">
    <cfRule type="expression" dxfId="0" priority="17">
      <formula>MOD(ROW(),2)=0</formula>
    </cfRule>
  </conditionalFormatting>
  <conditionalFormatting sqref="AH5:AH1048576">
    <cfRule type="expression" dxfId="0" priority="16">
      <formula>MOD(ROW(),2)=0</formula>
    </cfRule>
  </conditionalFormatting>
  <conditionalFormatting sqref="AI5:AI1048576">
    <cfRule type="expression" dxfId="0" priority="15">
      <formula>MOD(ROW(),2)=0</formula>
    </cfRule>
  </conditionalFormatting>
  <conditionalFormatting sqref="AJ5:AJ1048576">
    <cfRule type="expression" dxfId="0" priority="14">
      <formula>MOD(ROW(),2)=0</formula>
    </cfRule>
  </conditionalFormatting>
  <conditionalFormatting sqref="AK5:AK1048576">
    <cfRule type="expression" dxfId="0" priority="13">
      <formula>MOD(ROW(),2)=0</formula>
    </cfRule>
  </conditionalFormatting>
  <conditionalFormatting sqref="AL5:AL1048576">
    <cfRule type="expression" dxfId="0" priority="12">
      <formula>MOD(ROW(),2)=0</formula>
    </cfRule>
  </conditionalFormatting>
  <conditionalFormatting sqref="AM5:AM1048576">
    <cfRule type="expression" dxfId="0" priority="11">
      <formula>MOD(ROW(),2)=0</formula>
    </cfRule>
  </conditionalFormatting>
  <conditionalFormatting sqref="AN5:AN1048576">
    <cfRule type="expression" dxfId="0" priority="10">
      <formula>MOD(ROW(),2)=0</formula>
    </cfRule>
  </conditionalFormatting>
  <conditionalFormatting sqref="AO5:AO1048576">
    <cfRule type="expression" dxfId="0" priority="9">
      <formula>MOD(ROW(),2)=0</formula>
    </cfRule>
  </conditionalFormatting>
  <conditionalFormatting sqref="AP5:AP1048576">
    <cfRule type="expression" dxfId="0" priority="8">
      <formula>MOD(ROW(),2)=0</formula>
    </cfRule>
  </conditionalFormatting>
  <conditionalFormatting sqref="AQ5:AQ1048576">
    <cfRule type="expression" dxfId="0" priority="7">
      <formula>MOD(ROW(),2)=0</formula>
    </cfRule>
  </conditionalFormatting>
  <conditionalFormatting sqref="AR5:AR1048576">
    <cfRule type="expression" dxfId="0" priority="6">
      <formula>MOD(ROW(),2)=0</formula>
    </cfRule>
  </conditionalFormatting>
  <conditionalFormatting sqref="AS5:AS1048576">
    <cfRule type="expression" dxfId="0" priority="5">
      <formula>MOD(ROW(),2)=0</formula>
    </cfRule>
  </conditionalFormatting>
  <conditionalFormatting sqref="AT5:AT1048576">
    <cfRule type="expression" dxfId="0" priority="4">
      <formula>MOD(ROW(),2)=0</formula>
    </cfRule>
  </conditionalFormatting>
  <conditionalFormatting sqref="AU5:AU1048576">
    <cfRule type="expression" dxfId="0" priority="3">
      <formula>MOD(ROW(),2)=0</formula>
    </cfRule>
  </conditionalFormatting>
  <conditionalFormatting sqref="AV5:AV1048576">
    <cfRule type="expression" dxfId="0" priority="2">
      <formula>MOD(ROW(),2)=0</formula>
    </cfRule>
  </conditionalFormatting>
  <conditionalFormatting sqref="AW5:AW1048576">
    <cfRule type="expression" dxfId="0" priority="1">
      <formula>MOD(ROW(),2)=0</formula>
    </cfRule>
  </conditionalFormatting>
  <conditionalFormatting sqref="C5:H1048576">
    <cfRule type="expression" dxfId="0" priority="42">
      <formula>MOD(ROW(),2)=0</formula>
    </cfRule>
  </conditionalFormatting>
  <pageMargins left="0.75" right="0.75" top="1" bottom="1" header="0.5" footer="0.5"/>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C1:M8"/>
  <sheetViews>
    <sheetView showGridLines="0" workbookViewId="0">
      <pane ySplit="4" topLeftCell="A5" activePane="bottomLeft" state="frozen"/>
      <selection/>
      <selection pane="bottomLeft" activeCell="F11" sqref="F11"/>
    </sheetView>
  </sheetViews>
  <sheetFormatPr defaultColWidth="9" defaultRowHeight="20" customHeight="1" outlineLevelRow="7"/>
  <cols>
    <col min="1" max="1" width="4.625" style="12" customWidth="1"/>
    <col min="2" max="2" width="4.625" style="12" hidden="1" customWidth="1"/>
    <col min="3" max="13" width="12.625" style="8" customWidth="1"/>
    <col min="14" max="16384" width="9" style="12"/>
  </cols>
  <sheetData>
    <row r="1" s="12" customFormat="1" ht="54.75" customHeight="1"/>
    <row r="2" s="12" customFormat="1" ht="40" customHeight="1" spans="3:3">
      <c r="C2" s="4" t="s">
        <v>273</v>
      </c>
    </row>
    <row r="3" s="12" customFormat="1" ht="30" customHeight="1"/>
    <row r="4" s="12" customFormat="1" ht="30" customHeight="1" spans="3:13">
      <c r="C4" s="17" t="s">
        <v>63</v>
      </c>
      <c r="D4" s="17" t="s">
        <v>188</v>
      </c>
      <c r="E4" s="17" t="s">
        <v>198</v>
      </c>
      <c r="F4" s="17" t="s">
        <v>212</v>
      </c>
      <c r="G4" s="17" t="s">
        <v>189</v>
      </c>
      <c r="H4" s="17" t="s">
        <v>199</v>
      </c>
      <c r="I4" s="17" t="s">
        <v>213</v>
      </c>
      <c r="J4" s="17" t="s">
        <v>191</v>
      </c>
      <c r="K4" s="17" t="s">
        <v>192</v>
      </c>
      <c r="L4" s="17" t="s">
        <v>214</v>
      </c>
      <c r="M4" s="17" t="s">
        <v>215</v>
      </c>
    </row>
    <row r="5" s="12" customFormat="1" customHeight="1" spans="3:13">
      <c r="C5" s="8" t="s">
        <v>115</v>
      </c>
      <c r="D5" s="8">
        <v>1100</v>
      </c>
      <c r="E5" s="8">
        <v>210</v>
      </c>
      <c r="F5" s="8">
        <v>1310</v>
      </c>
      <c r="G5" s="8">
        <v>20</v>
      </c>
      <c r="H5" s="8">
        <v>1000</v>
      </c>
      <c r="I5" s="8">
        <v>1020</v>
      </c>
      <c r="J5" s="8">
        <v>200</v>
      </c>
      <c r="K5" s="8">
        <v>200</v>
      </c>
      <c r="L5" s="8">
        <v>1520</v>
      </c>
      <c r="M5" s="8">
        <v>1210</v>
      </c>
    </row>
    <row r="6" s="12" customFormat="1" customHeight="1" spans="3:13">
      <c r="C6" s="8" t="s">
        <v>90</v>
      </c>
      <c r="D6" s="8">
        <v>90900</v>
      </c>
      <c r="E6" s="8">
        <v>81400</v>
      </c>
      <c r="F6" s="8">
        <v>172300</v>
      </c>
      <c r="G6" s="8">
        <v>126000</v>
      </c>
      <c r="H6" s="8">
        <v>117000</v>
      </c>
      <c r="I6" s="8">
        <v>243000</v>
      </c>
      <c r="J6" s="8">
        <v>162000</v>
      </c>
      <c r="K6" s="8">
        <v>780</v>
      </c>
      <c r="L6" s="8">
        <v>379680</v>
      </c>
      <c r="M6" s="8">
        <v>198400</v>
      </c>
    </row>
    <row r="7" s="12" customFormat="1" customHeight="1" spans="3:13">
      <c r="C7" s="8"/>
      <c r="D7" s="8"/>
      <c r="E7" s="8"/>
      <c r="F7" s="8"/>
      <c r="G7" s="8"/>
      <c r="H7" s="8"/>
      <c r="I7" s="8"/>
      <c r="J7" s="8"/>
      <c r="K7" s="8"/>
      <c r="L7" s="8"/>
      <c r="M7" s="8"/>
    </row>
    <row r="8" s="12" customFormat="1" customHeight="1" spans="3:13">
      <c r="C8" s="8"/>
      <c r="D8" s="8"/>
      <c r="E8" s="8"/>
      <c r="F8" s="8"/>
      <c r="G8" s="8"/>
      <c r="H8" s="8"/>
      <c r="I8" s="8"/>
      <c r="J8" s="8"/>
      <c r="K8" s="8"/>
      <c r="L8" s="8"/>
      <c r="M8" s="8"/>
    </row>
  </sheetData>
  <conditionalFormatting sqref="I5:I1048576">
    <cfRule type="expression" dxfId="0" priority="41">
      <formula>MOD(ROW(),2)=0</formula>
    </cfRule>
  </conditionalFormatting>
  <conditionalFormatting sqref="J5:J1048576">
    <cfRule type="expression" dxfId="0" priority="40">
      <formula>MOD(ROW(),2)=0</formula>
    </cfRule>
  </conditionalFormatting>
  <conditionalFormatting sqref="K5:K1048576">
    <cfRule type="expression" dxfId="0" priority="39">
      <formula>MOD(ROW(),2)=0</formula>
    </cfRule>
  </conditionalFormatting>
  <conditionalFormatting sqref="L5:L1048576">
    <cfRule type="expression" dxfId="0" priority="38">
      <formula>MOD(ROW(),2)=0</formula>
    </cfRule>
  </conditionalFormatting>
  <conditionalFormatting sqref="M5:M1048576">
    <cfRule type="expression" dxfId="0" priority="37">
      <formula>MOD(ROW(),2)=0</formula>
    </cfRule>
  </conditionalFormatting>
  <conditionalFormatting sqref="C5:H1048576">
    <cfRule type="expression" dxfId="0" priority="42">
      <formula>MOD(ROW(),2)=0</formula>
    </cfRule>
  </conditionalFormatting>
  <pageMargins left="0.75" right="0.75" top="1" bottom="1" header="0.5" footer="0.5"/>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C1:AB15"/>
  <sheetViews>
    <sheetView showGridLines="0" workbookViewId="0">
      <pane ySplit="4" topLeftCell="A5" activePane="bottomLeft" state="frozen"/>
      <selection/>
      <selection pane="bottomLeft" activeCell="F12" sqref="F12"/>
    </sheetView>
  </sheetViews>
  <sheetFormatPr defaultColWidth="9" defaultRowHeight="20" customHeight="1"/>
  <cols>
    <col min="1" max="1" width="4.625" style="12" customWidth="1"/>
    <col min="2" max="2" width="4.625" style="12" hidden="1" customWidth="1"/>
    <col min="3" max="5" width="12.625" style="8" customWidth="1"/>
    <col min="6" max="6" width="12.625" style="10" customWidth="1"/>
    <col min="7" max="7" width="12.625" style="8" customWidth="1"/>
    <col min="8" max="8" width="12.625" style="10" customWidth="1"/>
    <col min="9" max="12" width="12.625" style="8" customWidth="1"/>
    <col min="13" max="13" width="12.625" style="10" customWidth="1"/>
    <col min="14" max="28" width="12.625" style="8" customWidth="1"/>
    <col min="29" max="16384" width="9" style="12"/>
  </cols>
  <sheetData>
    <row r="1" s="12" customFormat="1" ht="54.75" customHeight="1" spans="6:13">
      <c r="F1" s="15"/>
      <c r="H1" s="15"/>
      <c r="M1" s="15"/>
    </row>
    <row r="2" s="12" customFormat="1" ht="40" customHeight="1" spans="3:13">
      <c r="C2" s="4" t="s">
        <v>274</v>
      </c>
      <c r="F2" s="15"/>
      <c r="H2" s="15"/>
      <c r="M2" s="15"/>
    </row>
    <row r="3" s="12" customFormat="1" ht="30" customHeight="1" spans="6:13">
      <c r="F3" s="15"/>
      <c r="H3" s="15"/>
      <c r="M3" s="15"/>
    </row>
    <row r="4" s="12" customFormat="1" ht="30" customHeight="1" spans="3:28">
      <c r="C4" s="17" t="s">
        <v>36</v>
      </c>
      <c r="D4" s="17" t="s">
        <v>63</v>
      </c>
      <c r="E4" s="17" t="s">
        <v>64</v>
      </c>
      <c r="F4" s="18" t="s">
        <v>67</v>
      </c>
      <c r="G4" s="17" t="s">
        <v>75</v>
      </c>
      <c r="H4" s="18" t="s">
        <v>77</v>
      </c>
      <c r="I4" s="17" t="s">
        <v>78</v>
      </c>
      <c r="J4" s="17" t="s">
        <v>79</v>
      </c>
      <c r="K4" s="17" t="s">
        <v>68</v>
      </c>
      <c r="L4" s="17" t="s">
        <v>69</v>
      </c>
      <c r="M4" s="18" t="s">
        <v>70</v>
      </c>
      <c r="N4" s="17" t="s">
        <v>71</v>
      </c>
      <c r="O4" s="17" t="s">
        <v>72</v>
      </c>
      <c r="P4" s="17" t="s">
        <v>73</v>
      </c>
      <c r="Q4" s="17" t="s">
        <v>74</v>
      </c>
      <c r="R4" s="17" t="s">
        <v>76</v>
      </c>
      <c r="S4" s="17" t="s">
        <v>89</v>
      </c>
      <c r="T4" s="17" t="s">
        <v>80</v>
      </c>
      <c r="U4" s="17" t="s">
        <v>81</v>
      </c>
      <c r="V4" s="17" t="s">
        <v>82</v>
      </c>
      <c r="W4" s="17" t="s">
        <v>83</v>
      </c>
      <c r="X4" s="17" t="s">
        <v>84</v>
      </c>
      <c r="Y4" s="17" t="s">
        <v>85</v>
      </c>
      <c r="Z4" s="17" t="s">
        <v>86</v>
      </c>
      <c r="AA4" s="17" t="s">
        <v>87</v>
      </c>
      <c r="AB4" s="17" t="s">
        <v>88</v>
      </c>
    </row>
    <row r="5" s="12" customFormat="1" customHeight="1" spans="3:28">
      <c r="C5" s="8" t="s">
        <v>60</v>
      </c>
      <c r="D5" s="8" t="s">
        <v>90</v>
      </c>
      <c r="E5" s="8" t="s">
        <v>91</v>
      </c>
      <c r="F5" s="10" t="s">
        <v>93</v>
      </c>
      <c r="G5" s="8">
        <v>9000</v>
      </c>
      <c r="H5" s="10" t="s">
        <v>100</v>
      </c>
      <c r="I5" s="9">
        <v>43922</v>
      </c>
      <c r="J5" s="8">
        <v>3</v>
      </c>
      <c r="K5" s="8" t="s">
        <v>94</v>
      </c>
      <c r="L5" s="8" t="s">
        <v>95</v>
      </c>
      <c r="M5" s="10" t="s">
        <v>96</v>
      </c>
      <c r="N5" s="9" t="s">
        <v>97</v>
      </c>
      <c r="O5" s="9">
        <v>45097</v>
      </c>
      <c r="P5" s="8" t="s">
        <v>98</v>
      </c>
      <c r="Q5" s="8" t="s">
        <v>99</v>
      </c>
      <c r="R5" s="8">
        <v>2000</v>
      </c>
      <c r="S5" s="8" t="s">
        <v>275</v>
      </c>
      <c r="T5" s="8"/>
      <c r="U5" s="8"/>
      <c r="V5" s="8"/>
      <c r="W5" s="8"/>
      <c r="X5" s="8"/>
      <c r="Y5" s="8"/>
      <c r="Z5" s="8"/>
      <c r="AA5" s="8"/>
      <c r="AB5" s="8"/>
    </row>
    <row r="6" s="12" customFormat="1" customHeight="1" spans="3:28">
      <c r="C6" s="8" t="s">
        <v>102</v>
      </c>
      <c r="D6" s="8" t="s">
        <v>90</v>
      </c>
      <c r="E6" s="8" t="s">
        <v>103</v>
      </c>
      <c r="F6" s="10" t="s">
        <v>105</v>
      </c>
      <c r="G6" s="8">
        <v>6000</v>
      </c>
      <c r="H6" s="10" t="s">
        <v>107</v>
      </c>
      <c r="I6" s="9">
        <v>43908</v>
      </c>
      <c r="J6" s="8">
        <v>3</v>
      </c>
      <c r="K6" s="8" t="s">
        <v>94</v>
      </c>
      <c r="L6" s="8" t="s">
        <v>95</v>
      </c>
      <c r="M6" s="10" t="s">
        <v>106</v>
      </c>
      <c r="N6" s="9" t="s">
        <v>97</v>
      </c>
      <c r="O6" s="9">
        <v>36047</v>
      </c>
      <c r="P6" s="8" t="s">
        <v>98</v>
      </c>
      <c r="Q6" s="8" t="s">
        <v>99</v>
      </c>
      <c r="R6" s="8">
        <v>2000</v>
      </c>
      <c r="S6" s="8" t="s">
        <v>276</v>
      </c>
      <c r="T6" s="8"/>
      <c r="U6" s="8"/>
      <c r="V6" s="8"/>
      <c r="W6" s="8"/>
      <c r="X6" s="8"/>
      <c r="Y6" s="8"/>
      <c r="Z6" s="8"/>
      <c r="AA6" s="8"/>
      <c r="AB6" s="8"/>
    </row>
    <row r="7" s="12" customFormat="1" customHeight="1" spans="3:28">
      <c r="C7" s="8" t="s">
        <v>45</v>
      </c>
      <c r="D7" s="8" t="s">
        <v>90</v>
      </c>
      <c r="E7" s="8" t="s">
        <v>109</v>
      </c>
      <c r="F7" s="10" t="s">
        <v>111</v>
      </c>
      <c r="G7" s="8">
        <v>5000</v>
      </c>
      <c r="H7" s="10" t="s">
        <v>113</v>
      </c>
      <c r="I7" s="9">
        <v>44378</v>
      </c>
      <c r="J7" s="8">
        <v>2</v>
      </c>
      <c r="K7" s="8" t="s">
        <v>94</v>
      </c>
      <c r="L7" s="8" t="s">
        <v>95</v>
      </c>
      <c r="M7" s="10" t="s">
        <v>112</v>
      </c>
      <c r="N7" s="9" t="s">
        <v>97</v>
      </c>
      <c r="O7" s="9">
        <v>34859</v>
      </c>
      <c r="P7" s="8" t="s">
        <v>98</v>
      </c>
      <c r="Q7" s="8" t="s">
        <v>99</v>
      </c>
      <c r="R7" s="8">
        <v>2000</v>
      </c>
      <c r="S7" s="8" t="s">
        <v>277</v>
      </c>
      <c r="T7" s="8"/>
      <c r="U7" s="8"/>
      <c r="V7" s="8"/>
      <c r="W7" s="8"/>
      <c r="X7" s="8"/>
      <c r="Y7" s="8"/>
      <c r="Z7" s="8"/>
      <c r="AA7" s="8"/>
      <c r="AB7" s="8"/>
    </row>
    <row r="8" s="12" customFormat="1" customHeight="1" spans="3:28">
      <c r="C8" s="8" t="s">
        <v>42</v>
      </c>
      <c r="D8" s="8" t="s">
        <v>115</v>
      </c>
      <c r="E8" s="8" t="s">
        <v>91</v>
      </c>
      <c r="F8" s="10" t="s">
        <v>117</v>
      </c>
      <c r="G8" s="8">
        <v>3000</v>
      </c>
      <c r="H8" s="10" t="s">
        <v>121</v>
      </c>
      <c r="I8" s="9">
        <v>45017</v>
      </c>
      <c r="J8" s="8">
        <v>1</v>
      </c>
      <c r="K8" s="8" t="s">
        <v>94</v>
      </c>
      <c r="L8" s="8" t="s">
        <v>118</v>
      </c>
      <c r="M8" s="10" t="s">
        <v>119</v>
      </c>
      <c r="N8" s="9" t="s">
        <v>120</v>
      </c>
      <c r="O8" s="9">
        <v>38204</v>
      </c>
      <c r="P8" s="8" t="s">
        <v>98</v>
      </c>
      <c r="Q8" s="8" t="s">
        <v>99</v>
      </c>
      <c r="R8" s="8">
        <v>200</v>
      </c>
      <c r="S8" s="9" t="s">
        <v>278</v>
      </c>
      <c r="T8" s="8"/>
      <c r="U8" s="8"/>
      <c r="V8" s="8"/>
      <c r="W8" s="8"/>
      <c r="X8" s="8"/>
      <c r="Y8" s="8"/>
      <c r="Z8" s="8"/>
      <c r="AA8" s="8"/>
      <c r="AB8" s="8"/>
    </row>
    <row r="9" customHeight="1" spans="3:19">
      <c r="C9" s="8" t="s">
        <v>123</v>
      </c>
      <c r="D9" s="8" t="s">
        <v>90</v>
      </c>
      <c r="E9" s="8" t="s">
        <v>91</v>
      </c>
      <c r="F9" s="10" t="s">
        <v>125</v>
      </c>
      <c r="G9" s="8">
        <v>5000</v>
      </c>
      <c r="H9" s="10" t="s">
        <v>121</v>
      </c>
      <c r="I9" s="9">
        <v>43020</v>
      </c>
      <c r="J9" s="8">
        <v>6</v>
      </c>
      <c r="K9" s="8" t="s">
        <v>94</v>
      </c>
      <c r="L9" s="8" t="s">
        <v>118</v>
      </c>
      <c r="M9" s="10" t="s">
        <v>126</v>
      </c>
      <c r="N9" s="9" t="s">
        <v>97</v>
      </c>
      <c r="O9" s="9">
        <v>32998</v>
      </c>
      <c r="P9" s="8" t="s">
        <v>127</v>
      </c>
      <c r="Q9" s="8" t="s">
        <v>99</v>
      </c>
      <c r="R9" s="8">
        <v>450</v>
      </c>
      <c r="S9" s="8" t="s">
        <v>279</v>
      </c>
    </row>
    <row r="10" customHeight="1" spans="3:19">
      <c r="C10" s="8" t="s">
        <v>129</v>
      </c>
      <c r="D10" s="8" t="s">
        <v>115</v>
      </c>
      <c r="E10" s="8" t="s">
        <v>103</v>
      </c>
      <c r="F10" s="10" t="s">
        <v>131</v>
      </c>
      <c r="G10" s="8">
        <v>3000</v>
      </c>
      <c r="H10" s="10" t="s">
        <v>134</v>
      </c>
      <c r="I10" s="9">
        <v>43922</v>
      </c>
      <c r="J10" s="8">
        <v>3</v>
      </c>
      <c r="K10" s="8" t="s">
        <v>132</v>
      </c>
      <c r="L10" s="8" t="s">
        <v>118</v>
      </c>
      <c r="M10" s="10" t="s">
        <v>133</v>
      </c>
      <c r="N10" s="9" t="s">
        <v>120</v>
      </c>
      <c r="O10" s="9">
        <v>36915</v>
      </c>
      <c r="P10" s="8" t="s">
        <v>98</v>
      </c>
      <c r="Q10" s="8" t="s">
        <v>99</v>
      </c>
      <c r="R10" s="8">
        <v>200</v>
      </c>
      <c r="S10" s="9">
        <v>43922</v>
      </c>
    </row>
    <row r="11" customHeight="1" spans="3:19">
      <c r="C11" s="8" t="s">
        <v>48</v>
      </c>
      <c r="D11" s="8" t="s">
        <v>115</v>
      </c>
      <c r="E11" s="8" t="s">
        <v>91</v>
      </c>
      <c r="F11" s="10" t="s">
        <v>136</v>
      </c>
      <c r="G11" s="8">
        <v>3000</v>
      </c>
      <c r="H11" s="10" t="s">
        <v>138</v>
      </c>
      <c r="I11" s="9">
        <v>43922</v>
      </c>
      <c r="J11" s="8">
        <v>3</v>
      </c>
      <c r="K11" s="8" t="s">
        <v>94</v>
      </c>
      <c r="L11" s="8" t="s">
        <v>95</v>
      </c>
      <c r="M11" s="10" t="s">
        <v>137</v>
      </c>
      <c r="N11" s="9" t="s">
        <v>120</v>
      </c>
      <c r="O11" s="9">
        <v>36894</v>
      </c>
      <c r="P11" s="8" t="s">
        <v>98</v>
      </c>
      <c r="Q11" s="8" t="s">
        <v>99</v>
      </c>
      <c r="R11" s="8">
        <v>200</v>
      </c>
      <c r="S11" s="8" t="s">
        <v>280</v>
      </c>
    </row>
    <row r="12" customHeight="1" spans="3:28">
      <c r="C12" s="8" t="s">
        <v>49</v>
      </c>
      <c r="D12" s="8" t="s">
        <v>140</v>
      </c>
      <c r="E12" s="8" t="s">
        <v>91</v>
      </c>
      <c r="F12" s="10" t="s">
        <v>142</v>
      </c>
      <c r="G12" s="8">
        <v>5000</v>
      </c>
      <c r="H12" s="10" t="s">
        <v>144</v>
      </c>
      <c r="I12" s="9">
        <v>45006</v>
      </c>
      <c r="J12" s="8">
        <v>1</v>
      </c>
      <c r="K12" s="8" t="s">
        <v>94</v>
      </c>
      <c r="L12" s="8" t="s">
        <v>118</v>
      </c>
      <c r="M12" s="10" t="s">
        <v>143</v>
      </c>
      <c r="N12" s="9" t="s">
        <v>120</v>
      </c>
      <c r="O12" s="9">
        <v>34235</v>
      </c>
      <c r="P12" s="8" t="s">
        <v>98</v>
      </c>
      <c r="Q12" s="8" t="s">
        <v>99</v>
      </c>
      <c r="R12" s="8">
        <v>200</v>
      </c>
      <c r="S12" s="8" t="s">
        <v>145</v>
      </c>
      <c r="T12" s="8">
        <v>1</v>
      </c>
      <c r="U12" s="8">
        <v>2</v>
      </c>
      <c r="V12" s="8">
        <v>3</v>
      </c>
      <c r="W12" s="8">
        <v>4</v>
      </c>
      <c r="X12" s="8">
        <v>5</v>
      </c>
      <c r="Y12" s="8">
        <v>6</v>
      </c>
      <c r="Z12" s="8">
        <v>7</v>
      </c>
      <c r="AA12" s="8">
        <v>8</v>
      </c>
      <c r="AB12" s="8">
        <v>9</v>
      </c>
    </row>
    <row r="13" customHeight="1" spans="3:20">
      <c r="C13" s="8" t="s">
        <v>50</v>
      </c>
      <c r="D13" s="8" t="s">
        <v>146</v>
      </c>
      <c r="E13" s="8" t="s">
        <v>91</v>
      </c>
      <c r="F13" s="10" t="s">
        <v>148</v>
      </c>
      <c r="G13" s="8">
        <v>3000</v>
      </c>
      <c r="H13" s="10" t="s">
        <v>150</v>
      </c>
      <c r="I13" s="9">
        <v>45017</v>
      </c>
      <c r="J13" s="8">
        <v>1</v>
      </c>
      <c r="K13" s="8" t="s">
        <v>94</v>
      </c>
      <c r="L13" s="8" t="s">
        <v>118</v>
      </c>
      <c r="M13" s="10" t="s">
        <v>149</v>
      </c>
      <c r="N13" s="9" t="s">
        <v>120</v>
      </c>
      <c r="O13" s="9">
        <v>36872</v>
      </c>
      <c r="P13" s="8" t="s">
        <v>98</v>
      </c>
      <c r="Q13" s="8" t="s">
        <v>99</v>
      </c>
      <c r="R13" s="8">
        <v>300</v>
      </c>
      <c r="S13" s="8" t="s">
        <v>152</v>
      </c>
      <c r="T13" s="8" t="s">
        <v>151</v>
      </c>
    </row>
    <row r="14" customHeight="1" spans="9:15">
      <c r="I14" s="9"/>
      <c r="N14" s="9"/>
      <c r="O14" s="9"/>
    </row>
    <row r="15" customHeight="1" spans="9:15">
      <c r="I15" s="9"/>
      <c r="O15" s="9"/>
    </row>
  </sheetData>
  <conditionalFormatting sqref="I5:I1048576">
    <cfRule type="expression" dxfId="0" priority="41">
      <formula>MOD(ROW(),2)=0</formula>
    </cfRule>
  </conditionalFormatting>
  <conditionalFormatting sqref="J5:J1048576">
    <cfRule type="expression" dxfId="0" priority="40">
      <formula>MOD(ROW(),2)=0</formula>
    </cfRule>
  </conditionalFormatting>
  <conditionalFormatting sqref="K5:K1048576">
    <cfRule type="expression" dxfId="0" priority="39">
      <formula>MOD(ROW(),2)=0</formula>
    </cfRule>
  </conditionalFormatting>
  <conditionalFormatting sqref="L5:L1048576">
    <cfRule type="expression" dxfId="0" priority="38">
      <formula>MOD(ROW(),2)=0</formula>
    </cfRule>
  </conditionalFormatting>
  <conditionalFormatting sqref="M5:M1048576">
    <cfRule type="expression" dxfId="0" priority="37">
      <formula>MOD(ROW(),2)=0</formula>
    </cfRule>
  </conditionalFormatting>
  <conditionalFormatting sqref="N5:N1048576">
    <cfRule type="expression" dxfId="0" priority="36">
      <formula>MOD(ROW(),2)=0</formula>
    </cfRule>
  </conditionalFormatting>
  <conditionalFormatting sqref="O5:O1048576">
    <cfRule type="expression" dxfId="0" priority="35">
      <formula>MOD(ROW(),2)=0</formula>
    </cfRule>
  </conditionalFormatting>
  <conditionalFormatting sqref="P5:P1048576">
    <cfRule type="expression" dxfId="0" priority="34">
      <formula>MOD(ROW(),2)=0</formula>
    </cfRule>
  </conditionalFormatting>
  <conditionalFormatting sqref="Q5:Q1048576">
    <cfRule type="expression" dxfId="0" priority="33">
      <formula>MOD(ROW(),2)=0</formula>
    </cfRule>
  </conditionalFormatting>
  <conditionalFormatting sqref="R5:R1048576">
    <cfRule type="expression" dxfId="0" priority="32">
      <formula>MOD(ROW(),2)=0</formula>
    </cfRule>
  </conditionalFormatting>
  <conditionalFormatting sqref="S5:S1048576">
    <cfRule type="expression" dxfId="0" priority="31">
      <formula>MOD(ROW(),2)=0</formula>
    </cfRule>
  </conditionalFormatting>
  <conditionalFormatting sqref="T5:T1048576">
    <cfRule type="expression" dxfId="0" priority="30">
      <formula>MOD(ROW(),2)=0</formula>
    </cfRule>
  </conditionalFormatting>
  <conditionalFormatting sqref="U5:U1048576">
    <cfRule type="expression" dxfId="0" priority="29">
      <formula>MOD(ROW(),2)=0</formula>
    </cfRule>
  </conditionalFormatting>
  <conditionalFormatting sqref="V5:V1048576">
    <cfRule type="expression" dxfId="0" priority="28">
      <formula>MOD(ROW(),2)=0</formula>
    </cfRule>
  </conditionalFormatting>
  <conditionalFormatting sqref="W5:W1048576">
    <cfRule type="expression" dxfId="0" priority="27">
      <formula>MOD(ROW(),2)=0</formula>
    </cfRule>
  </conditionalFormatting>
  <conditionalFormatting sqref="X5:X1048576">
    <cfRule type="expression" dxfId="0" priority="26">
      <formula>MOD(ROW(),2)=0</formula>
    </cfRule>
  </conditionalFormatting>
  <conditionalFormatting sqref="Y5:Y1048576">
    <cfRule type="expression" dxfId="0" priority="25">
      <formula>MOD(ROW(),2)=0</formula>
    </cfRule>
  </conditionalFormatting>
  <conditionalFormatting sqref="Z5:Z1048576">
    <cfRule type="expression" dxfId="0" priority="24">
      <formula>MOD(ROW(),2)=0</formula>
    </cfRule>
  </conditionalFormatting>
  <conditionalFormatting sqref="AA5:AA1048576">
    <cfRule type="expression" dxfId="0" priority="23">
      <formula>MOD(ROW(),2)=0</formula>
    </cfRule>
  </conditionalFormatting>
  <conditionalFormatting sqref="AB5:AB1048576">
    <cfRule type="expression" dxfId="0" priority="22">
      <formula>MOD(ROW(),2)=0</formula>
    </cfRule>
  </conditionalFormatting>
  <conditionalFormatting sqref="C5:H1048576">
    <cfRule type="expression" dxfId="0" priority="42">
      <formula>MOD(ROW(),2)=0</formula>
    </cfRule>
  </conditionalFormatting>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C1:F14"/>
  <sheetViews>
    <sheetView showGridLines="0" workbookViewId="0">
      <pane ySplit="4" topLeftCell="A5" activePane="bottomLeft" state="frozen"/>
      <selection/>
      <selection pane="bottomLeft" activeCell="E4" sqref="E4"/>
    </sheetView>
  </sheetViews>
  <sheetFormatPr defaultColWidth="9" defaultRowHeight="20" customHeight="1" outlineLevelCol="5"/>
  <cols>
    <col min="1" max="1" width="4.625" style="12" customWidth="1"/>
    <col min="2" max="2" width="4.625" style="12" hidden="1" customWidth="1"/>
    <col min="3" max="5" width="12.625" style="8" customWidth="1"/>
    <col min="6" max="6" width="15.25" style="8" customWidth="1"/>
    <col min="7" max="16384" width="9" style="12"/>
  </cols>
  <sheetData>
    <row r="1" s="12" customFormat="1" ht="54.75" customHeight="1" spans="6:6">
      <c r="F1" s="15"/>
    </row>
    <row r="2" s="12" customFormat="1" ht="40" customHeight="1" spans="3:6">
      <c r="C2" s="4" t="s">
        <v>281</v>
      </c>
      <c r="F2" s="15"/>
    </row>
    <row r="3" s="12" customFormat="1" ht="30" customHeight="1" spans="6:6">
      <c r="F3" s="15"/>
    </row>
    <row r="4" s="12" customFormat="1" ht="30" customHeight="1" spans="3:6">
      <c r="C4" s="17" t="s">
        <v>206</v>
      </c>
      <c r="D4" s="17" t="s">
        <v>282</v>
      </c>
      <c r="E4" s="17" t="s">
        <v>283</v>
      </c>
      <c r="F4" s="18" t="s">
        <v>226</v>
      </c>
    </row>
    <row r="5" s="12" customFormat="1" customHeight="1" spans="3:6">
      <c r="C5" s="8">
        <v>0</v>
      </c>
      <c r="D5" s="8">
        <v>0</v>
      </c>
      <c r="E5" s="8">
        <v>7</v>
      </c>
      <c r="F5" s="8">
        <v>0</v>
      </c>
    </row>
    <row r="6" s="12" customFormat="1" customHeight="1" spans="3:6">
      <c r="C6" s="8" t="s">
        <v>284</v>
      </c>
      <c r="D6" s="8">
        <f>SUM(D5:D5)</f>
        <v>0</v>
      </c>
      <c r="E6" s="8">
        <f>SUM(E5:E5)</f>
        <v>7</v>
      </c>
      <c r="F6" s="8">
        <f>SUM(F5:F5)</f>
        <v>0</v>
      </c>
    </row>
    <row r="7" s="12" customFormat="1" customHeight="1" spans="3:6">
      <c r="C7" s="8"/>
      <c r="D7" s="8"/>
      <c r="E7" s="8"/>
      <c r="F7" s="8"/>
    </row>
    <row r="8" s="12" customFormat="1" customHeight="1" spans="3:6">
      <c r="C8" s="8"/>
      <c r="D8" s="8"/>
      <c r="E8" s="8"/>
      <c r="F8" s="8"/>
    </row>
    <row r="9" s="12" customFormat="1" customHeight="1" spans="3:6">
      <c r="C9" s="8"/>
      <c r="D9" s="8"/>
      <c r="E9" s="8"/>
      <c r="F9" s="8"/>
    </row>
    <row r="10" s="12" customFormat="1" customHeight="1" spans="3:6">
      <c r="C10" s="8"/>
      <c r="D10" s="8"/>
      <c r="E10" s="8"/>
      <c r="F10" s="8"/>
    </row>
    <row r="11" s="12" customFormat="1" customHeight="1" spans="3:6">
      <c r="C11" s="8"/>
      <c r="D11" s="8"/>
      <c r="E11" s="8"/>
      <c r="F11" s="8"/>
    </row>
    <row r="12" s="12" customFormat="1" customHeight="1" spans="3:6">
      <c r="C12" s="8"/>
      <c r="D12" s="8"/>
      <c r="E12" s="8"/>
      <c r="F12" s="8"/>
    </row>
    <row r="13" s="12" customFormat="1" customHeight="1" spans="3:6">
      <c r="C13" s="8"/>
      <c r="D13" s="8"/>
      <c r="E13" s="8"/>
      <c r="F13" s="8"/>
    </row>
    <row r="14" s="12" customFormat="1" customHeight="1" spans="3:6">
      <c r="C14" s="8"/>
      <c r="D14" s="8"/>
      <c r="E14" s="8"/>
      <c r="F14" s="8"/>
    </row>
  </sheetData>
  <conditionalFormatting sqref="C5:F1048576">
    <cfRule type="expression" dxfId="0" priority="21">
      <formula>MOD(ROW(),2)=0</formula>
    </cfRule>
  </conditionalFormatting>
  <pageMargins left="0.75" right="0.75" top="1" bottom="1" header="0.5" footer="0.5"/>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dimension ref="C1:BA10"/>
  <sheetViews>
    <sheetView showGridLines="0" workbookViewId="0">
      <pane ySplit="4" topLeftCell="A5" activePane="bottomLeft" state="frozen"/>
      <selection/>
      <selection pane="bottomLeft" activeCell="L7" sqref="L7"/>
    </sheetView>
  </sheetViews>
  <sheetFormatPr defaultColWidth="9" defaultRowHeight="20" customHeight="1"/>
  <cols>
    <col min="1" max="1" width="4.625" style="12" customWidth="1"/>
    <col min="2" max="2" width="4.625" style="12" hidden="1" customWidth="1"/>
    <col min="3" max="5" width="12.625" style="8" customWidth="1"/>
    <col min="6" max="6" width="23.375" style="10" customWidth="1"/>
    <col min="7" max="7" width="15.25" style="14" customWidth="1"/>
    <col min="8" max="53" width="15.25" style="8" customWidth="1"/>
    <col min="54" max="16384" width="9" style="12"/>
  </cols>
  <sheetData>
    <row r="1" ht="54.75" customHeight="1" spans="3:53">
      <c r="C1" s="15"/>
      <c r="D1" s="15"/>
      <c r="E1" s="15"/>
      <c r="F1" s="15"/>
      <c r="G1" s="16"/>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row>
    <row r="2" ht="40" customHeight="1" spans="3:53">
      <c r="C2" s="4" t="s">
        <v>285</v>
      </c>
      <c r="D2" s="15"/>
      <c r="E2" s="15"/>
      <c r="F2" s="15"/>
      <c r="G2" s="16"/>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row>
    <row r="3" ht="30" customHeight="1" spans="3:53">
      <c r="C3" s="15"/>
      <c r="D3" s="15"/>
      <c r="E3" s="15"/>
      <c r="F3" s="15"/>
      <c r="G3" s="16"/>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row>
    <row r="4" ht="30" customHeight="1" spans="3:53">
      <c r="C4" s="17" t="s">
        <v>36</v>
      </c>
      <c r="D4" s="17" t="s">
        <v>63</v>
      </c>
      <c r="E4" s="17" t="s">
        <v>169</v>
      </c>
      <c r="F4" s="18" t="s">
        <v>67</v>
      </c>
      <c r="G4" s="19" t="s">
        <v>78</v>
      </c>
      <c r="H4" s="17" t="s">
        <v>75</v>
      </c>
      <c r="I4" s="17" t="s">
        <v>76</v>
      </c>
      <c r="J4" s="17" t="s">
        <v>172</v>
      </c>
      <c r="K4" s="17" t="s">
        <v>286</v>
      </c>
      <c r="L4" s="17" t="s">
        <v>174</v>
      </c>
      <c r="M4" s="17" t="s">
        <v>175</v>
      </c>
      <c r="N4" s="17" t="s">
        <v>176</v>
      </c>
      <c r="O4" s="17" t="s">
        <v>177</v>
      </c>
      <c r="P4" s="17" t="s">
        <v>178</v>
      </c>
      <c r="Q4" s="17" t="s">
        <v>179</v>
      </c>
      <c r="R4" s="17" t="s">
        <v>180</v>
      </c>
      <c r="S4" s="17" t="s">
        <v>181</v>
      </c>
      <c r="T4" s="17" t="s">
        <v>41</v>
      </c>
      <c r="U4" s="17" t="s">
        <v>182</v>
      </c>
      <c r="V4" s="17" t="s">
        <v>183</v>
      </c>
      <c r="W4" s="17" t="s">
        <v>184</v>
      </c>
      <c r="X4" s="17" t="s">
        <v>185</v>
      </c>
      <c r="Y4" s="17" t="s">
        <v>186</v>
      </c>
      <c r="Z4" s="17" t="s">
        <v>187</v>
      </c>
      <c r="AA4" s="17" t="s">
        <v>188</v>
      </c>
      <c r="AB4" s="17" t="s">
        <v>189</v>
      </c>
      <c r="AC4" s="17" t="s">
        <v>190</v>
      </c>
      <c r="AD4" s="17" t="s">
        <v>191</v>
      </c>
      <c r="AE4" s="17" t="s">
        <v>192</v>
      </c>
      <c r="AF4" s="17" t="s">
        <v>193</v>
      </c>
      <c r="AG4" s="17" t="s">
        <v>194</v>
      </c>
      <c r="AH4" s="17" t="s">
        <v>195</v>
      </c>
      <c r="AI4" s="17" t="s">
        <v>196</v>
      </c>
      <c r="AJ4" s="17" t="s">
        <v>197</v>
      </c>
      <c r="AK4" s="17" t="s">
        <v>198</v>
      </c>
      <c r="AL4" s="17" t="s">
        <v>199</v>
      </c>
      <c r="AM4" s="17" t="s">
        <v>200</v>
      </c>
      <c r="AN4" s="17" t="s">
        <v>230</v>
      </c>
      <c r="AO4" s="17" t="s">
        <v>202</v>
      </c>
      <c r="AP4" s="17" t="s">
        <v>231</v>
      </c>
      <c r="AQ4" s="17" t="s">
        <v>195</v>
      </c>
      <c r="AR4" s="17" t="s">
        <v>196</v>
      </c>
      <c r="AS4" s="17" t="s">
        <v>203</v>
      </c>
      <c r="AT4" s="17" t="s">
        <v>204</v>
      </c>
      <c r="AU4" s="17" t="s">
        <v>205</v>
      </c>
      <c r="AV4" s="17" t="s">
        <v>206</v>
      </c>
      <c r="AW4" s="17" t="s">
        <v>207</v>
      </c>
      <c r="AX4" s="17" t="s">
        <v>208</v>
      </c>
      <c r="AY4" s="17" t="s">
        <v>232</v>
      </c>
      <c r="AZ4" s="17" t="s">
        <v>210</v>
      </c>
      <c r="BA4" s="17" t="s">
        <v>233</v>
      </c>
    </row>
    <row r="5" customHeight="1" spans="3:53">
      <c r="C5" s="8" t="s">
        <v>60</v>
      </c>
      <c r="D5" s="8" t="s">
        <v>90</v>
      </c>
      <c r="E5" s="8" t="s">
        <v>91</v>
      </c>
      <c r="F5" s="10" t="s">
        <v>93</v>
      </c>
      <c r="G5" s="14">
        <v>44684</v>
      </c>
      <c r="H5" s="8">
        <v>9000</v>
      </c>
      <c r="I5" s="8">
        <v>2000</v>
      </c>
      <c r="J5" s="8">
        <v>5000</v>
      </c>
      <c r="K5" s="8">
        <v>2010</v>
      </c>
      <c r="L5" s="8">
        <v>17</v>
      </c>
      <c r="M5" s="8">
        <v>19</v>
      </c>
      <c r="N5" s="8">
        <v>25</v>
      </c>
      <c r="O5" s="8">
        <v>30</v>
      </c>
      <c r="P5" s="8">
        <v>1500</v>
      </c>
      <c r="Q5" s="8">
        <v>8000</v>
      </c>
      <c r="R5" s="8">
        <v>0</v>
      </c>
      <c r="S5" s="8">
        <v>0</v>
      </c>
      <c r="T5" s="8">
        <v>0</v>
      </c>
      <c r="U5" s="8">
        <v>0</v>
      </c>
      <c r="V5" s="8">
        <v>-990</v>
      </c>
      <c r="W5" s="8">
        <v>0.3</v>
      </c>
      <c r="X5" s="8">
        <v>3</v>
      </c>
      <c r="Y5" s="8">
        <v>0.5</v>
      </c>
      <c r="Z5" s="8">
        <v>7</v>
      </c>
      <c r="AA5" s="8">
        <v>180</v>
      </c>
      <c r="AB5" s="8">
        <v>180</v>
      </c>
      <c r="AC5" s="8">
        <v>675</v>
      </c>
      <c r="AD5" s="8">
        <v>180</v>
      </c>
      <c r="AE5" s="8">
        <v>180</v>
      </c>
      <c r="AF5" s="8">
        <v>180</v>
      </c>
      <c r="AG5" s="8">
        <v>180</v>
      </c>
      <c r="AH5" s="8">
        <v>6</v>
      </c>
      <c r="AI5" s="8">
        <v>8</v>
      </c>
      <c r="AJ5" s="8">
        <v>1755</v>
      </c>
      <c r="AK5" s="8">
        <v>180</v>
      </c>
      <c r="AL5" s="8">
        <v>180</v>
      </c>
      <c r="AM5" s="8">
        <v>180</v>
      </c>
      <c r="AN5" s="8">
        <v>90</v>
      </c>
      <c r="AO5" s="8">
        <v>180</v>
      </c>
      <c r="AP5" s="8">
        <v>180</v>
      </c>
      <c r="AQ5" s="8">
        <v>6</v>
      </c>
      <c r="AR5" s="8">
        <v>8</v>
      </c>
      <c r="AS5" s="8">
        <v>11990</v>
      </c>
      <c r="AT5" s="8">
        <v>11000</v>
      </c>
      <c r="AU5" s="8">
        <v>11000</v>
      </c>
      <c r="AV5" s="8">
        <v>0</v>
      </c>
      <c r="AW5" s="8">
        <v>10</v>
      </c>
      <c r="AX5" s="8">
        <v>0</v>
      </c>
      <c r="AY5" s="8">
        <v>20</v>
      </c>
      <c r="AZ5" s="8">
        <v>-990</v>
      </c>
      <c r="BA5" s="8">
        <v>22</v>
      </c>
    </row>
    <row r="6" customHeight="1" spans="3:53">
      <c r="C6" s="8" t="s">
        <v>45</v>
      </c>
      <c r="D6" s="8" t="s">
        <v>90</v>
      </c>
      <c r="E6" s="8" t="s">
        <v>109</v>
      </c>
      <c r="F6" s="10" t="s">
        <v>111</v>
      </c>
      <c r="G6" s="14">
        <v>44562</v>
      </c>
      <c r="H6" s="8">
        <v>5000</v>
      </c>
      <c r="I6" s="8">
        <v>2000</v>
      </c>
      <c r="J6" s="8">
        <v>9000</v>
      </c>
      <c r="K6" s="8">
        <v>33850</v>
      </c>
      <c r="L6" s="8">
        <v>0</v>
      </c>
      <c r="M6" s="8">
        <v>0</v>
      </c>
      <c r="N6" s="8">
        <v>0</v>
      </c>
      <c r="O6" s="8">
        <v>40</v>
      </c>
      <c r="P6" s="8">
        <v>17200</v>
      </c>
      <c r="Q6" s="8">
        <v>9500</v>
      </c>
      <c r="R6" s="8">
        <v>0</v>
      </c>
      <c r="S6" s="8">
        <v>0</v>
      </c>
      <c r="T6" s="8">
        <v>0</v>
      </c>
      <c r="U6" s="8">
        <v>0</v>
      </c>
      <c r="V6" s="8">
        <v>-550</v>
      </c>
      <c r="W6" s="8">
        <v>0.3</v>
      </c>
      <c r="X6" s="8">
        <v>0</v>
      </c>
      <c r="Y6" s="8">
        <v>0.5</v>
      </c>
      <c r="Z6" s="8">
        <v>0</v>
      </c>
      <c r="AA6" s="8">
        <v>100</v>
      </c>
      <c r="AB6" s="8">
        <v>100</v>
      </c>
      <c r="AC6" s="8">
        <v>375</v>
      </c>
      <c r="AD6" s="8">
        <v>100</v>
      </c>
      <c r="AE6" s="8">
        <v>100</v>
      </c>
      <c r="AF6" s="8">
        <v>100</v>
      </c>
      <c r="AG6" s="8">
        <v>2500000</v>
      </c>
      <c r="AH6" s="8">
        <v>0</v>
      </c>
      <c r="AI6" s="8">
        <v>0</v>
      </c>
      <c r="AJ6" s="8">
        <v>2500875</v>
      </c>
      <c r="AK6" s="8">
        <v>100</v>
      </c>
      <c r="AL6" s="8">
        <v>100</v>
      </c>
      <c r="AM6" s="8">
        <v>100</v>
      </c>
      <c r="AN6" s="8">
        <v>50</v>
      </c>
      <c r="AO6" s="8">
        <v>100</v>
      </c>
      <c r="AP6" s="8">
        <v>100</v>
      </c>
      <c r="AQ6" s="8">
        <v>0</v>
      </c>
      <c r="AR6" s="8">
        <v>0</v>
      </c>
      <c r="AS6" s="8">
        <v>7550</v>
      </c>
      <c r="AT6" s="8">
        <v>7000</v>
      </c>
      <c r="AU6" s="8">
        <v>7000</v>
      </c>
      <c r="AV6" s="8">
        <v>0</v>
      </c>
      <c r="AW6" s="8">
        <v>0</v>
      </c>
      <c r="AX6" s="8">
        <v>0</v>
      </c>
      <c r="AY6" s="8">
        <v>20</v>
      </c>
      <c r="AZ6" s="8">
        <v>-550</v>
      </c>
      <c r="BA6" s="8">
        <v>20</v>
      </c>
    </row>
    <row r="7" customHeight="1" spans="3:53">
      <c r="C7" s="8" t="s">
        <v>123</v>
      </c>
      <c r="D7" s="8" t="s">
        <v>90</v>
      </c>
      <c r="E7" s="8" t="s">
        <v>91</v>
      </c>
      <c r="F7" s="10" t="s">
        <v>125</v>
      </c>
      <c r="G7" s="14">
        <v>43020</v>
      </c>
      <c r="H7" s="8">
        <v>5000</v>
      </c>
      <c r="I7" s="8">
        <v>450</v>
      </c>
      <c r="J7" s="8">
        <v>9000</v>
      </c>
      <c r="K7" s="8">
        <v>33250</v>
      </c>
      <c r="L7" s="8">
        <v>0</v>
      </c>
      <c r="M7" s="8">
        <v>0</v>
      </c>
      <c r="N7" s="8">
        <v>20</v>
      </c>
      <c r="O7" s="8">
        <v>40</v>
      </c>
      <c r="P7" s="8">
        <v>17200</v>
      </c>
      <c r="Q7" s="8">
        <v>9500</v>
      </c>
      <c r="R7" s="8">
        <v>2</v>
      </c>
      <c r="S7" s="8">
        <v>600</v>
      </c>
      <c r="T7" s="8">
        <v>0</v>
      </c>
      <c r="U7" s="8">
        <v>0</v>
      </c>
      <c r="V7" s="8">
        <v>-550</v>
      </c>
      <c r="W7" s="8">
        <v>0.3</v>
      </c>
      <c r="X7" s="8">
        <v>0</v>
      </c>
      <c r="Y7" s="8">
        <v>0.5</v>
      </c>
      <c r="Z7" s="8">
        <v>0</v>
      </c>
      <c r="AA7" s="8">
        <v>100</v>
      </c>
      <c r="AB7" s="8">
        <v>100</v>
      </c>
      <c r="AC7" s="8">
        <v>375</v>
      </c>
      <c r="AD7" s="8">
        <v>100</v>
      </c>
      <c r="AE7" s="8">
        <v>100</v>
      </c>
      <c r="AF7" s="8">
        <v>100</v>
      </c>
      <c r="AG7" s="8">
        <v>2500000</v>
      </c>
      <c r="AH7" s="8">
        <v>0</v>
      </c>
      <c r="AI7" s="8">
        <v>0</v>
      </c>
      <c r="AJ7" s="8">
        <v>2500875</v>
      </c>
      <c r="AK7" s="8">
        <v>100</v>
      </c>
      <c r="AL7" s="8">
        <v>100</v>
      </c>
      <c r="AM7" s="8">
        <v>100</v>
      </c>
      <c r="AN7" s="8">
        <v>50</v>
      </c>
      <c r="AO7" s="8">
        <v>100</v>
      </c>
      <c r="AP7" s="8">
        <v>100</v>
      </c>
      <c r="AQ7" s="8">
        <v>0</v>
      </c>
      <c r="AR7" s="8">
        <v>0</v>
      </c>
      <c r="AS7" s="8">
        <v>6000</v>
      </c>
      <c r="AT7" s="8">
        <v>5450</v>
      </c>
      <c r="AU7" s="8">
        <v>5450</v>
      </c>
      <c r="AV7" s="8">
        <v>0</v>
      </c>
      <c r="AW7" s="8">
        <v>0</v>
      </c>
      <c r="AX7" s="8">
        <v>0</v>
      </c>
      <c r="AY7" s="8">
        <v>20</v>
      </c>
      <c r="AZ7" s="8">
        <v>-550</v>
      </c>
      <c r="BA7" s="8">
        <v>20</v>
      </c>
    </row>
    <row r="8" customHeight="1" spans="3:53">
      <c r="C8" s="8" t="s">
        <v>47</v>
      </c>
      <c r="D8" s="8" t="s">
        <v>115</v>
      </c>
      <c r="E8" s="8" t="s">
        <v>217</v>
      </c>
      <c r="F8" s="10" t="s">
        <v>237</v>
      </c>
      <c r="G8" s="14">
        <v>43154</v>
      </c>
      <c r="H8" s="8">
        <v>5000</v>
      </c>
      <c r="I8" s="8">
        <v>5000</v>
      </c>
      <c r="J8" s="8">
        <v>5000</v>
      </c>
      <c r="K8" s="8">
        <v>16450</v>
      </c>
      <c r="L8" s="8">
        <v>0</v>
      </c>
      <c r="M8" s="8">
        <v>0</v>
      </c>
      <c r="N8" s="8">
        <v>23</v>
      </c>
      <c r="O8" s="8">
        <v>20</v>
      </c>
      <c r="P8" s="8">
        <v>8600</v>
      </c>
      <c r="Q8" s="8">
        <v>5000</v>
      </c>
      <c r="R8" s="8">
        <v>0</v>
      </c>
      <c r="S8" s="8">
        <v>0</v>
      </c>
      <c r="T8" s="8">
        <v>2</v>
      </c>
      <c r="U8" s="8">
        <v>200</v>
      </c>
      <c r="V8" s="8">
        <v>-550</v>
      </c>
      <c r="W8" s="8">
        <v>0.3</v>
      </c>
      <c r="X8" s="8">
        <v>0</v>
      </c>
      <c r="Y8" s="8">
        <v>0.5</v>
      </c>
      <c r="Z8" s="8">
        <v>0</v>
      </c>
      <c r="AA8" s="8">
        <v>100</v>
      </c>
      <c r="AB8" s="8">
        <v>100</v>
      </c>
      <c r="AC8" s="8">
        <v>375</v>
      </c>
      <c r="AD8" s="8">
        <v>100</v>
      </c>
      <c r="AE8" s="8">
        <v>100</v>
      </c>
      <c r="AF8" s="8">
        <v>100</v>
      </c>
      <c r="AG8" s="8">
        <v>2500000</v>
      </c>
      <c r="AH8" s="8">
        <v>0</v>
      </c>
      <c r="AI8" s="8">
        <v>0</v>
      </c>
      <c r="AJ8" s="8">
        <v>2500875</v>
      </c>
      <c r="AK8" s="8">
        <v>100</v>
      </c>
      <c r="AL8" s="8">
        <v>100</v>
      </c>
      <c r="AM8" s="8">
        <v>100</v>
      </c>
      <c r="AN8" s="8">
        <v>50</v>
      </c>
      <c r="AO8" s="8">
        <v>100</v>
      </c>
      <c r="AP8" s="8">
        <v>100</v>
      </c>
      <c r="AQ8" s="8">
        <v>0</v>
      </c>
      <c r="AR8" s="8">
        <v>0</v>
      </c>
      <c r="AS8" s="8">
        <v>10550</v>
      </c>
      <c r="AT8" s="8">
        <v>10000</v>
      </c>
      <c r="AU8" s="8">
        <v>10000</v>
      </c>
      <c r="AV8" s="8">
        <v>0</v>
      </c>
      <c r="AW8" s="8">
        <v>0</v>
      </c>
      <c r="AX8" s="8">
        <v>0</v>
      </c>
      <c r="AY8" s="8">
        <v>20</v>
      </c>
      <c r="AZ8" s="8">
        <v>-550</v>
      </c>
      <c r="BA8" s="8">
        <v>20</v>
      </c>
    </row>
    <row r="9" customHeight="1" spans="3:53">
      <c r="C9" s="8" t="s">
        <v>48</v>
      </c>
      <c r="D9" s="8" t="s">
        <v>115</v>
      </c>
      <c r="E9" s="8" t="s">
        <v>91</v>
      </c>
      <c r="F9" s="10" t="s">
        <v>136</v>
      </c>
      <c r="G9" s="14">
        <v>44412</v>
      </c>
      <c r="H9" s="8">
        <v>3000</v>
      </c>
      <c r="I9" s="8">
        <v>200</v>
      </c>
      <c r="J9" s="8">
        <v>7000</v>
      </c>
      <c r="K9" s="8">
        <v>42150</v>
      </c>
      <c r="L9" s="8">
        <v>0</v>
      </c>
      <c r="M9" s="8">
        <v>0</v>
      </c>
      <c r="N9" s="8">
        <v>23</v>
      </c>
      <c r="O9" s="8">
        <v>50</v>
      </c>
      <c r="P9" s="8">
        <v>21500</v>
      </c>
      <c r="Q9" s="8">
        <v>7000</v>
      </c>
      <c r="R9" s="8">
        <v>0</v>
      </c>
      <c r="S9" s="8">
        <v>0</v>
      </c>
      <c r="T9" s="8">
        <v>2</v>
      </c>
      <c r="U9" s="8">
        <v>200</v>
      </c>
      <c r="V9" s="8">
        <v>-655</v>
      </c>
      <c r="W9" s="8">
        <v>0.3</v>
      </c>
      <c r="X9" s="8">
        <v>0</v>
      </c>
      <c r="Y9" s="8">
        <v>0.5</v>
      </c>
      <c r="Z9" s="8">
        <v>0</v>
      </c>
      <c r="AA9" s="8">
        <v>60</v>
      </c>
      <c r="AB9" s="8">
        <v>60</v>
      </c>
      <c r="AC9" s="8">
        <v>225</v>
      </c>
      <c r="AD9" s="8">
        <v>60</v>
      </c>
      <c r="AE9" s="8">
        <v>60</v>
      </c>
      <c r="AF9" s="8">
        <v>60</v>
      </c>
      <c r="AG9" s="8">
        <v>1500000</v>
      </c>
      <c r="AH9" s="8">
        <v>0</v>
      </c>
      <c r="AI9" s="8">
        <v>0</v>
      </c>
      <c r="AJ9" s="8">
        <v>1500525</v>
      </c>
      <c r="AK9" s="8">
        <v>60</v>
      </c>
      <c r="AL9" s="8">
        <v>60</v>
      </c>
      <c r="AM9" s="8">
        <v>60</v>
      </c>
      <c r="AN9" s="8">
        <v>30</v>
      </c>
      <c r="AO9" s="8">
        <v>60</v>
      </c>
      <c r="AP9" s="8">
        <v>60</v>
      </c>
      <c r="AQ9" s="8">
        <v>0</v>
      </c>
      <c r="AR9" s="8">
        <v>0</v>
      </c>
      <c r="AS9" s="8">
        <v>3530</v>
      </c>
      <c r="AT9" s="8">
        <v>3200</v>
      </c>
      <c r="AU9" s="8">
        <v>2880</v>
      </c>
      <c r="AV9" s="8">
        <v>0.1</v>
      </c>
      <c r="AW9" s="8">
        <v>0</v>
      </c>
      <c r="AX9" s="8">
        <v>320</v>
      </c>
      <c r="AY9" s="8">
        <v>20</v>
      </c>
      <c r="AZ9" s="8">
        <v>-650</v>
      </c>
      <c r="BA9" s="8">
        <v>20</v>
      </c>
    </row>
    <row r="10" customHeight="1" spans="3:53">
      <c r="C10" s="8" t="s">
        <v>60</v>
      </c>
      <c r="D10" s="8" t="s">
        <v>90</v>
      </c>
      <c r="E10" s="8" t="s">
        <v>91</v>
      </c>
      <c r="F10" s="10" t="s">
        <v>93</v>
      </c>
      <c r="G10" s="14">
        <v>44412</v>
      </c>
      <c r="H10" s="8">
        <v>9000</v>
      </c>
      <c r="I10" s="8">
        <v>2000</v>
      </c>
      <c r="J10" s="8">
        <v>0</v>
      </c>
      <c r="K10" s="8">
        <v>-990</v>
      </c>
      <c r="L10" s="8">
        <v>360</v>
      </c>
      <c r="M10" s="8">
        <v>300</v>
      </c>
      <c r="N10" s="8">
        <v>0</v>
      </c>
      <c r="O10" s="8">
        <v>0</v>
      </c>
      <c r="P10" s="8">
        <v>0</v>
      </c>
      <c r="Q10" s="8">
        <v>0</v>
      </c>
      <c r="R10" s="8">
        <v>0</v>
      </c>
      <c r="S10" s="8">
        <v>0</v>
      </c>
      <c r="T10" s="8">
        <v>0</v>
      </c>
      <c r="U10" s="8">
        <v>0</v>
      </c>
      <c r="V10" s="8">
        <v>-990</v>
      </c>
      <c r="W10" s="8">
        <v>0.2</v>
      </c>
      <c r="X10" s="8">
        <v>150</v>
      </c>
      <c r="Y10" s="8">
        <v>0.02</v>
      </c>
      <c r="Z10" s="8">
        <v>220</v>
      </c>
      <c r="AA10" s="8">
        <v>180</v>
      </c>
      <c r="AB10" s="8">
        <v>180</v>
      </c>
      <c r="AC10" s="8">
        <v>675</v>
      </c>
      <c r="AD10" s="8">
        <v>180</v>
      </c>
      <c r="AE10" s="8">
        <v>180</v>
      </c>
      <c r="AF10" s="8">
        <v>180</v>
      </c>
      <c r="AG10" s="8">
        <v>4500000</v>
      </c>
      <c r="AH10" s="8">
        <v>240</v>
      </c>
      <c r="AI10" s="8">
        <v>0.03</v>
      </c>
      <c r="AJ10" s="8">
        <v>4501575</v>
      </c>
      <c r="AK10" s="8">
        <v>180</v>
      </c>
      <c r="AL10" s="8">
        <v>180</v>
      </c>
      <c r="AM10" s="8">
        <v>180</v>
      </c>
      <c r="AN10" s="8">
        <v>90</v>
      </c>
      <c r="AO10" s="8">
        <v>180</v>
      </c>
      <c r="AP10" s="8">
        <v>180</v>
      </c>
      <c r="AQ10" s="8">
        <v>240</v>
      </c>
      <c r="AR10" s="8">
        <v>0.03</v>
      </c>
      <c r="AS10" s="8">
        <v>11990</v>
      </c>
      <c r="AT10" s="8">
        <v>11000</v>
      </c>
      <c r="AU10" s="8">
        <v>11000</v>
      </c>
      <c r="AV10" s="8">
        <v>0</v>
      </c>
      <c r="AW10" s="8">
        <v>0</v>
      </c>
      <c r="AX10" s="8">
        <v>0</v>
      </c>
      <c r="AY10" s="8">
        <v>367</v>
      </c>
      <c r="AZ10" s="8">
        <v>-990</v>
      </c>
      <c r="BA10" s="8">
        <v>1</v>
      </c>
    </row>
  </sheetData>
  <conditionalFormatting sqref="G5:G1048576">
    <cfRule type="expression" dxfId="0" priority="47">
      <formula>MOD(ROW(),2)=0</formula>
    </cfRule>
  </conditionalFormatting>
  <conditionalFormatting sqref="H5:H1048576">
    <cfRule type="expression" dxfId="0" priority="46">
      <formula>MOD(ROW(),2)=0</formula>
    </cfRule>
  </conditionalFormatting>
  <conditionalFormatting sqref="I5:I1048576">
    <cfRule type="expression" dxfId="0" priority="45">
      <formula>MOD(ROW(),2)=0</formula>
    </cfRule>
  </conditionalFormatting>
  <conditionalFormatting sqref="J5:J1048576">
    <cfRule type="expression" dxfId="0" priority="44">
      <formula>MOD(ROW(),2)=0</formula>
    </cfRule>
  </conditionalFormatting>
  <conditionalFormatting sqref="K5:K1048576">
    <cfRule type="expression" dxfId="0" priority="43">
      <formula>MOD(ROW(),2)=0</formula>
    </cfRule>
  </conditionalFormatting>
  <conditionalFormatting sqref="L5:L1048576">
    <cfRule type="expression" dxfId="0" priority="42">
      <formula>MOD(ROW(),2)=0</formula>
    </cfRule>
  </conditionalFormatting>
  <conditionalFormatting sqref="M5:M1048576">
    <cfRule type="expression" dxfId="0" priority="41">
      <formula>MOD(ROW(),2)=0</formula>
    </cfRule>
  </conditionalFormatting>
  <conditionalFormatting sqref="N5:N1048576">
    <cfRule type="expression" dxfId="0" priority="40">
      <formula>MOD(ROW(),2)=0</formula>
    </cfRule>
  </conditionalFormatting>
  <conditionalFormatting sqref="O5:O1048576">
    <cfRule type="expression" dxfId="0" priority="39">
      <formula>MOD(ROW(),2)=0</formula>
    </cfRule>
  </conditionalFormatting>
  <conditionalFormatting sqref="P5:P1048576">
    <cfRule type="expression" dxfId="0" priority="38">
      <formula>MOD(ROW(),2)=0</formula>
    </cfRule>
  </conditionalFormatting>
  <conditionalFormatting sqref="Q5:Q1048576">
    <cfRule type="expression" dxfId="0" priority="37">
      <formula>MOD(ROW(),2)=0</formula>
    </cfRule>
  </conditionalFormatting>
  <conditionalFormatting sqref="R5:R1048576">
    <cfRule type="expression" dxfId="0" priority="36">
      <formula>MOD(ROW(),2)=0</formula>
    </cfRule>
  </conditionalFormatting>
  <conditionalFormatting sqref="S5:S1048576">
    <cfRule type="expression" dxfId="0" priority="35">
      <formula>MOD(ROW(),2)=0</formula>
    </cfRule>
  </conditionalFormatting>
  <conditionalFormatting sqref="T5:T1048576">
    <cfRule type="expression" dxfId="0" priority="34">
      <formula>MOD(ROW(),2)=0</formula>
    </cfRule>
  </conditionalFormatting>
  <conditionalFormatting sqref="U5:U1048576">
    <cfRule type="expression" dxfId="0" priority="33">
      <formula>MOD(ROW(),2)=0</formula>
    </cfRule>
  </conditionalFormatting>
  <conditionalFormatting sqref="V5:V1048576">
    <cfRule type="expression" dxfId="0" priority="32">
      <formula>MOD(ROW(),2)=0</formula>
    </cfRule>
  </conditionalFormatting>
  <conditionalFormatting sqref="W5:W1048576">
    <cfRule type="expression" dxfId="0" priority="31">
      <formula>MOD(ROW(),2)=0</formula>
    </cfRule>
  </conditionalFormatting>
  <conditionalFormatting sqref="X5:X1048576">
    <cfRule type="expression" dxfId="0" priority="30">
      <formula>MOD(ROW(),2)=0</formula>
    </cfRule>
  </conditionalFormatting>
  <conditionalFormatting sqref="Y5:Y1048576">
    <cfRule type="expression" dxfId="0" priority="29">
      <formula>MOD(ROW(),2)=0</formula>
    </cfRule>
  </conditionalFormatting>
  <conditionalFormatting sqref="Z5:Z1048576">
    <cfRule type="expression" dxfId="0" priority="28">
      <formula>MOD(ROW(),2)=0</formula>
    </cfRule>
  </conditionalFormatting>
  <conditionalFormatting sqref="AA5:AA1048576">
    <cfRule type="expression" dxfId="0" priority="27">
      <formula>MOD(ROW(),2)=0</formula>
    </cfRule>
  </conditionalFormatting>
  <conditionalFormatting sqref="AB5:AB1048576">
    <cfRule type="expression" dxfId="0" priority="26">
      <formula>MOD(ROW(),2)=0</formula>
    </cfRule>
  </conditionalFormatting>
  <conditionalFormatting sqref="AC5:AC1048576">
    <cfRule type="expression" dxfId="0" priority="25">
      <formula>MOD(ROW(),2)=0</formula>
    </cfRule>
  </conditionalFormatting>
  <conditionalFormatting sqref="AD5:AD1048576">
    <cfRule type="expression" dxfId="0" priority="24">
      <formula>MOD(ROW(),2)=0</formula>
    </cfRule>
  </conditionalFormatting>
  <conditionalFormatting sqref="AE5:AE1048576">
    <cfRule type="expression" dxfId="0" priority="23">
      <formula>MOD(ROW(),2)=0</formula>
    </cfRule>
  </conditionalFormatting>
  <conditionalFormatting sqref="AF5:AF1048576">
    <cfRule type="expression" dxfId="0" priority="22">
      <formula>MOD(ROW(),2)=0</formula>
    </cfRule>
  </conditionalFormatting>
  <conditionalFormatting sqref="AG5:AG1048576">
    <cfRule type="expression" dxfId="0" priority="21">
      <formula>MOD(ROW(),2)=0</formula>
    </cfRule>
  </conditionalFormatting>
  <conditionalFormatting sqref="AH5:AH1048576">
    <cfRule type="expression" dxfId="0" priority="20">
      <formula>MOD(ROW(),2)=0</formula>
    </cfRule>
  </conditionalFormatting>
  <conditionalFormatting sqref="AI5:AI1048576">
    <cfRule type="expression" dxfId="0" priority="19">
      <formula>MOD(ROW(),2)=0</formula>
    </cfRule>
  </conditionalFormatting>
  <conditionalFormatting sqref="AJ5:AJ1048576">
    <cfRule type="expression" dxfId="0" priority="18">
      <formula>MOD(ROW(),2)=0</formula>
    </cfRule>
  </conditionalFormatting>
  <conditionalFormatting sqref="AK5:AK1048576">
    <cfRule type="expression" dxfId="0" priority="17">
      <formula>MOD(ROW(),2)=0</formula>
    </cfRule>
  </conditionalFormatting>
  <conditionalFormatting sqref="AL5:AL1048576">
    <cfRule type="expression" dxfId="0" priority="16">
      <formula>MOD(ROW(),2)=0</formula>
    </cfRule>
  </conditionalFormatting>
  <conditionalFormatting sqref="AM5:AM1048576">
    <cfRule type="expression" dxfId="0" priority="15">
      <formula>MOD(ROW(),2)=0</formula>
    </cfRule>
  </conditionalFormatting>
  <conditionalFormatting sqref="AN5:AN1048576">
    <cfRule type="expression" dxfId="0" priority="14">
      <formula>MOD(ROW(),2)=0</formula>
    </cfRule>
  </conditionalFormatting>
  <conditionalFormatting sqref="AO5:AO1048576">
    <cfRule type="expression" dxfId="0" priority="13">
      <formula>MOD(ROW(),2)=0</formula>
    </cfRule>
  </conditionalFormatting>
  <conditionalFormatting sqref="AP5:AP1048576">
    <cfRule type="expression" dxfId="0" priority="12">
      <formula>MOD(ROW(),2)=0</formula>
    </cfRule>
  </conditionalFormatting>
  <conditionalFormatting sqref="AQ5:AQ1048576">
    <cfRule type="expression" dxfId="0" priority="11">
      <formula>MOD(ROW(),2)=0</formula>
    </cfRule>
  </conditionalFormatting>
  <conditionalFormatting sqref="AR5:AR1048576">
    <cfRule type="expression" dxfId="0" priority="10">
      <formula>MOD(ROW(),2)=0</formula>
    </cfRule>
  </conditionalFormatting>
  <conditionalFormatting sqref="AS5:AS1048576">
    <cfRule type="expression" dxfId="0" priority="9">
      <formula>MOD(ROW(),2)=0</formula>
    </cfRule>
  </conditionalFormatting>
  <conditionalFormatting sqref="AT5:AT1048576">
    <cfRule type="expression" dxfId="0" priority="8">
      <formula>MOD(ROW(),2)=0</formula>
    </cfRule>
  </conditionalFormatting>
  <conditionalFormatting sqref="AU5:AU1048576">
    <cfRule type="expression" dxfId="0" priority="7">
      <formula>MOD(ROW(),2)=0</formula>
    </cfRule>
  </conditionalFormatting>
  <conditionalFormatting sqref="AV5:AV1048576">
    <cfRule type="expression" dxfId="0" priority="6">
      <formula>MOD(ROW(),2)=0</formula>
    </cfRule>
  </conditionalFormatting>
  <conditionalFormatting sqref="AW5:AW1048576">
    <cfRule type="expression" dxfId="0" priority="5">
      <formula>MOD(ROW(),2)=0</formula>
    </cfRule>
  </conditionalFormatting>
  <conditionalFormatting sqref="AX5:AX1048576">
    <cfRule type="expression" dxfId="0" priority="4">
      <formula>MOD(ROW(),2)=0</formula>
    </cfRule>
  </conditionalFormatting>
  <conditionalFormatting sqref="AY5:AY1048576">
    <cfRule type="expression" dxfId="0" priority="3">
      <formula>MOD(ROW(),2)=0</formula>
    </cfRule>
  </conditionalFormatting>
  <conditionalFormatting sqref="AZ5:AZ1048576">
    <cfRule type="expression" dxfId="0" priority="2">
      <formula>MOD(ROW(),2)=0</formula>
    </cfRule>
  </conditionalFormatting>
  <conditionalFormatting sqref="BA5:BA1048576">
    <cfRule type="expression" dxfId="0" priority="1">
      <formula>MOD(ROW(),2)=0</formula>
    </cfRule>
  </conditionalFormatting>
  <conditionalFormatting sqref="C5:F1048576">
    <cfRule type="expression" dxfId="0" priority="48">
      <formula>MOD(ROW(),2)=0</formula>
    </cfRule>
  </conditionalFormatting>
  <pageMargins left="0.75" right="0.75" top="1" bottom="1" header="0.5" footer="0.5"/>
  <pageSetup paperSize="9" orientation="landscape"/>
  <headerFooter/>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B1:L17"/>
  <sheetViews>
    <sheetView showGridLines="0" workbookViewId="0">
      <pane ySplit="4" topLeftCell="A5" activePane="bottomLeft" state="frozen"/>
      <selection/>
      <selection pane="bottomLeft" activeCell="I5" sqref="I5"/>
    </sheetView>
  </sheetViews>
  <sheetFormatPr defaultColWidth="9" defaultRowHeight="20" customHeight="1"/>
  <cols>
    <col min="1" max="1" width="4.625" customWidth="1"/>
    <col min="2" max="2" width="12.5" hidden="1" customWidth="1"/>
    <col min="3" max="9" width="12.625" customWidth="1"/>
    <col min="11" max="12" width="11.5" hidden="1" customWidth="1"/>
  </cols>
  <sheetData>
    <row r="1" ht="54.75" customHeight="1" spans="2:5">
      <c r="B1" s="1">
        <f ca="1">TODAY()</f>
        <v>45596</v>
      </c>
      <c r="C1" s="2">
        <v>45566</v>
      </c>
      <c r="D1" s="3">
        <f>WEEKDAY(C1)</f>
        <v>3</v>
      </c>
      <c r="E1" s="1"/>
    </row>
    <row r="2" ht="40" customHeight="1" spans="3:3">
      <c r="C2" s="4" t="s">
        <v>287</v>
      </c>
    </row>
    <row r="3" ht="30" customHeight="1"/>
    <row r="4" ht="30" customHeight="1" spans="3:9">
      <c r="C4" s="5" t="s">
        <v>288</v>
      </c>
      <c r="D4" s="5" t="s">
        <v>289</v>
      </c>
      <c r="E4" s="5" t="s">
        <v>290</v>
      </c>
      <c r="F4" s="6" t="s">
        <v>291</v>
      </c>
      <c r="G4" s="7" t="s">
        <v>292</v>
      </c>
      <c r="H4" s="5" t="s">
        <v>293</v>
      </c>
      <c r="I4" s="5" t="s">
        <v>294</v>
      </c>
    </row>
    <row r="5" customHeight="1" spans="3:12">
      <c r="C5" s="8"/>
      <c r="D5" s="8"/>
      <c r="E5" s="8"/>
      <c r="F5" s="8"/>
      <c r="G5" s="8"/>
      <c r="H5" s="8"/>
      <c r="I5" s="8"/>
      <c r="K5" s="13" t="s">
        <v>129</v>
      </c>
      <c r="L5" s="13">
        <v>36915</v>
      </c>
    </row>
    <row r="6" customHeight="1" spans="3:12">
      <c r="C6" s="8"/>
      <c r="D6" s="8"/>
      <c r="E6" s="9"/>
      <c r="F6" s="8"/>
      <c r="G6" s="8"/>
      <c r="H6" s="8"/>
      <c r="I6" s="8"/>
      <c r="K6" s="13" t="s">
        <v>48</v>
      </c>
      <c r="L6" s="13">
        <v>36894</v>
      </c>
    </row>
    <row r="7" customHeight="1" spans="3:12">
      <c r="C7" s="8">
        <v>1</v>
      </c>
      <c r="D7" s="8">
        <v>2</v>
      </c>
      <c r="E7" s="8">
        <v>3</v>
      </c>
      <c r="F7" s="8">
        <v>4</v>
      </c>
      <c r="G7" s="8">
        <v>5</v>
      </c>
      <c r="H7" s="8">
        <v>6</v>
      </c>
      <c r="I7" s="8">
        <v>7</v>
      </c>
      <c r="K7" t="s">
        <v>295</v>
      </c>
      <c r="L7" s="13"/>
    </row>
    <row r="8" customHeight="1" spans="3:9">
      <c r="C8" s="8"/>
      <c r="D8" s="8"/>
      <c r="E8" s="8"/>
      <c r="F8" s="8"/>
      <c r="G8" s="8"/>
      <c r="H8" s="8"/>
      <c r="I8" s="8"/>
    </row>
    <row r="9" customHeight="1" spans="3:9">
      <c r="C9" s="8">
        <v>8</v>
      </c>
      <c r="D9" s="8">
        <v>9</v>
      </c>
      <c r="E9" s="8">
        <v>10</v>
      </c>
      <c r="F9" s="8">
        <v>11</v>
      </c>
      <c r="G9" s="8">
        <v>12</v>
      </c>
      <c r="H9" s="8">
        <v>13</v>
      </c>
      <c r="I9" s="8">
        <v>14</v>
      </c>
    </row>
    <row r="10" customHeight="1" spans="3:9">
      <c r="C10" s="8"/>
      <c r="D10" s="8"/>
      <c r="E10" s="8"/>
      <c r="F10" s="8"/>
      <c r="G10" s="8"/>
      <c r="H10" s="8"/>
      <c r="I10" s="8"/>
    </row>
    <row r="11" customHeight="1" spans="3:9">
      <c r="C11" s="8">
        <v>15</v>
      </c>
      <c r="D11" s="8">
        <v>16</v>
      </c>
      <c r="E11" s="8">
        <v>17</v>
      </c>
      <c r="F11" s="8">
        <v>18</v>
      </c>
      <c r="G11" s="8">
        <v>19</v>
      </c>
      <c r="H11" s="8">
        <v>20</v>
      </c>
      <c r="I11" s="8">
        <v>21</v>
      </c>
    </row>
    <row r="12" customHeight="1" spans="3:9">
      <c r="C12" s="8"/>
      <c r="D12" s="8"/>
      <c r="E12" s="8"/>
      <c r="F12" s="8"/>
      <c r="G12" s="8"/>
      <c r="H12" s="8"/>
      <c r="I12" s="8"/>
    </row>
    <row r="13" customHeight="1" spans="3:9">
      <c r="C13" s="8">
        <v>22</v>
      </c>
      <c r="D13" s="8">
        <v>23</v>
      </c>
      <c r="E13" s="8">
        <v>24</v>
      </c>
      <c r="F13" s="8">
        <v>25</v>
      </c>
      <c r="G13" s="8">
        <v>26</v>
      </c>
      <c r="H13" s="8">
        <v>27</v>
      </c>
      <c r="I13" s="8">
        <v>28</v>
      </c>
    </row>
    <row r="14" customHeight="1" spans="3:9">
      <c r="C14" s="8"/>
      <c r="D14" s="8"/>
      <c r="E14" s="8"/>
      <c r="F14" s="8"/>
      <c r="G14" s="8"/>
      <c r="H14" s="8"/>
      <c r="I14" s="8"/>
    </row>
    <row r="15" customHeight="1" spans="3:9">
      <c r="C15" s="8">
        <v>29</v>
      </c>
      <c r="D15" s="8">
        <v>30</v>
      </c>
      <c r="E15" s="8">
        <v>31</v>
      </c>
      <c r="F15" s="10"/>
      <c r="G15" s="8"/>
      <c r="H15" s="8"/>
      <c r="I15" s="10"/>
    </row>
    <row r="16" customHeight="1" spans="3:9">
      <c r="C16" s="8"/>
      <c r="D16" s="8"/>
      <c r="E16" s="8"/>
      <c r="F16" s="10"/>
      <c r="G16" s="8"/>
      <c r="H16" s="8"/>
      <c r="I16" s="10"/>
    </row>
    <row r="17" customHeight="1" spans="3:9">
      <c r="C17" s="11"/>
      <c r="D17" s="11"/>
      <c r="E17" s="12"/>
      <c r="F17" s="12"/>
      <c r="G17" s="12"/>
      <c r="H17" s="12"/>
      <c r="I17" s="12"/>
    </row>
  </sheetData>
  <conditionalFormatting sqref="G5:G6">
    <cfRule type="expression" dxfId="0" priority="7">
      <formula>MOD(ROW(),2)=0</formula>
    </cfRule>
  </conditionalFormatting>
  <conditionalFormatting sqref="G7:G14">
    <cfRule type="expression" dxfId="0" priority="9">
      <formula>MOD(ROW(),2)=0</formula>
    </cfRule>
  </conditionalFormatting>
  <conditionalFormatting sqref="H5:H6">
    <cfRule type="expression" dxfId="0" priority="4">
      <formula>MOD(ROW(),2)=0</formula>
    </cfRule>
  </conditionalFormatting>
  <conditionalFormatting sqref="H7:H14">
    <cfRule type="expression" dxfId="0" priority="6">
      <formula>MOD(ROW(),2)=0</formula>
    </cfRule>
  </conditionalFormatting>
  <conditionalFormatting sqref="I5:I6">
    <cfRule type="expression" dxfId="0" priority="3">
      <formula>MOD(ROW(),2)=0</formula>
    </cfRule>
  </conditionalFormatting>
  <conditionalFormatting sqref="I7:I14">
    <cfRule type="expression" dxfId="0" priority="5">
      <formula>MOD(ROW(),2)=0</formula>
    </cfRule>
  </conditionalFormatting>
  <conditionalFormatting sqref="C5:F6">
    <cfRule type="expression" dxfId="0" priority="8">
      <formula>MOD(ROW(),2)=0</formula>
    </cfRule>
  </conditionalFormatting>
  <conditionalFormatting sqref="C7:F14">
    <cfRule type="expression" dxfId="0" priority="10">
      <formula>MOD(ROW(),2)=0</formula>
    </cfRule>
  </conditionalFormatting>
  <conditionalFormatting sqref="C15:F16">
    <cfRule type="expression" dxfId="0" priority="2">
      <formula>MOD(ROW(),2)=0</formula>
    </cfRule>
  </conditionalFormatting>
  <conditionalFormatting sqref="G15:I16">
    <cfRule type="expression" dxfId="0" priority="1">
      <formula>MOD(ROW(),2)=0</formula>
    </cfRule>
  </conditionalFormatting>
  <pageMargins left="0.75" right="0.75" top="1" bottom="1" header="0.5" footer="0.5"/>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3" master="" otherUserPermission="visible"/>
  <rangeList sheetStid="7" master="" otherUserPermission="visible"/>
  <rangeList sheetStid="4" master="" otherUserPermission="visible"/>
  <rangeList sheetStid="5" master="" otherUserPermission="visible"/>
  <rangeList sheetStid="10" master="" otherUserPermission="visible"/>
  <rangeList sheetStid="8" master="" otherUserPermission="visible"/>
  <rangeList sheetStid="6" master="" otherUserPermission="visible"/>
  <rangeList sheetStid="11" master="" otherUserPermission="visible"/>
  <rangeList sheetStid="12" master="" otherUserPermission="visible"/>
  <rangeList sheetStid="9" master="" otherUserPermission="visible"/>
  <rangeList sheetStid="13" master="" otherUserPermission="visible"/>
  <rangeList sheetStid="14" master="" otherUserPermission="visible"/>
  <rangeList sheetStid="15" master="" otherUserPermission="visible"/>
  <rangeList sheetStid="16" master="" otherUserPermission="visible"/>
  <rangeList sheetStid="17" master="" otherUserPermission="visible"/>
  <rangeList sheetStid="18"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18</vt:i4>
      </vt:variant>
    </vt:vector>
  </HeadingPairs>
  <TitlesOfParts>
    <vt:vector size="18" baseType="lpstr">
      <vt:lpstr>首页</vt:lpstr>
      <vt:lpstr>说明书</vt:lpstr>
      <vt:lpstr>Sheet3</vt:lpstr>
      <vt:lpstr>考勤</vt:lpstr>
      <vt:lpstr>人员信息管理</vt:lpstr>
      <vt:lpstr>数据暂存</vt:lpstr>
      <vt:lpstr>工资明细</vt:lpstr>
      <vt:lpstr>考勤记录</vt:lpstr>
      <vt:lpstr>配置表</vt:lpstr>
      <vt:lpstr>报盘</vt:lpstr>
      <vt:lpstr>审批记录</vt:lpstr>
      <vt:lpstr>报税</vt:lpstr>
      <vt:lpstr>部门汇总</vt:lpstr>
      <vt:lpstr>社保</vt:lpstr>
      <vt:lpstr>员工档案</vt:lpstr>
      <vt:lpstr>个人所得税</vt:lpstr>
      <vt:lpstr>工资条</vt:lpstr>
      <vt:lpstr>生日提醒</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YH309</cp:lastModifiedBy>
  <dcterms:created xsi:type="dcterms:W3CDTF">2021-02-01T06:30:00Z</dcterms:created>
  <dcterms:modified xsi:type="dcterms:W3CDTF">2024-10-31T03:51:00Z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2052-12.1.0.18608</vt:lpwstr>
  </property>
  <property fmtid="{D5CDD505-2E9C-101B-9397-08002B2CF9AE}" pid="3" name="ICV">
    <vt:lpwstr>D586D31C2308468FA5F8BA2204D0454C</vt:lpwstr>
  </property>
  <property fmtid="{D5CDD505-2E9C-101B-9397-08002B2CF9AE}" pid="4" name="commondata">
    <vt:lpwstr>eyJoZGlkIjoiMTU1YjNjYWNhMmUzYzJkNmRkNGFmNGY3MTU2ZTE1ZDcifQ==</vt:lpwstr>
  </property>
</Properties>
</file>