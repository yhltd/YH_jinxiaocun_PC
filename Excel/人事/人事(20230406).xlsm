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s>
  <definedNames>
    <definedName name="_xlnm.Print_Area" localSheetId="16">工资条!$C$4:$BA$14</definedName>
  </definedNames>
  <calcPr calcId="144525"/>
</workbook>
</file>

<file path=xl/comments1.xml><?xml version="1.0" encoding="utf-8"?>
<comments xmlns="http://schemas.openxmlformats.org/spreadsheetml/2006/main">
  <authors>
    <author>Administrator</author>
  </authors>
  <commentList>
    <comment ref="I4" authorId="0">
      <text>
        <r>
          <rPr>
            <sz val="9"/>
            <rFont val="宋体"/>
            <charset val="134"/>
          </rPr>
          <t>双击角标单元格查看信息</t>
        </r>
      </text>
    </comment>
    <comment ref="P4" authorId="0">
      <text>
        <r>
          <rPr>
            <b/>
            <sz val="9"/>
            <rFont val="宋体"/>
            <charset val="134"/>
          </rPr>
          <t>Administrator:</t>
        </r>
        <r>
          <rPr>
            <sz val="9"/>
            <rFont val="宋体"/>
            <charset val="134"/>
          </rPr>
          <t xml:space="preserve">
</t>
        </r>
      </text>
    </comment>
    <comment ref="S4" authorId="0">
      <text>
        <r>
          <rPr>
            <b/>
            <sz val="9"/>
            <rFont val="宋体"/>
            <charset val="134"/>
          </rPr>
          <t>Administrator:</t>
        </r>
        <r>
          <rPr>
            <sz val="9"/>
            <rFont val="宋体"/>
            <charset val="134"/>
          </rPr>
          <t xml:space="preserve">
</t>
        </r>
      </text>
    </comment>
    <comment ref="U4" authorId="0">
      <text>
        <r>
          <rPr>
            <b/>
            <sz val="9"/>
            <rFont val="宋体"/>
            <charset val="134"/>
          </rPr>
          <t>Administrator:</t>
        </r>
        <r>
          <rPr>
            <sz val="9"/>
            <rFont val="宋体"/>
            <charset val="134"/>
          </rPr>
          <t xml:space="preserve">
</t>
        </r>
      </text>
    </comment>
    <comment ref="V4" authorId="0">
      <text>
        <r>
          <rPr>
            <b/>
            <sz val="9"/>
            <rFont val="宋体"/>
            <charset val="134"/>
          </rPr>
          <t>Administrator:</t>
        </r>
        <r>
          <rPr>
            <sz val="9"/>
            <rFont val="宋体"/>
            <charset val="134"/>
          </rPr>
          <t xml:space="preserve">
</t>
        </r>
      </text>
    </comment>
    <comment ref="AA4" authorId="0">
      <text>
        <r>
          <rPr>
            <b/>
            <sz val="9"/>
            <rFont val="宋体"/>
            <charset val="134"/>
          </rPr>
          <t>Administrator:</t>
        </r>
        <r>
          <rPr>
            <sz val="9"/>
            <rFont val="宋体"/>
            <charset val="134"/>
          </rPr>
          <t xml:space="preserve">
</t>
        </r>
      </text>
    </comment>
    <comment ref="AB4" authorId="0">
      <text>
        <r>
          <rPr>
            <b/>
            <sz val="9"/>
            <rFont val="宋体"/>
            <charset val="134"/>
          </rPr>
          <t>Administrator:</t>
        </r>
        <r>
          <rPr>
            <sz val="9"/>
            <rFont val="宋体"/>
            <charset val="134"/>
          </rPr>
          <t xml:space="preserve">
</t>
        </r>
      </text>
    </comment>
    <comment ref="AC4" authorId="0">
      <text>
        <r>
          <rPr>
            <b/>
            <sz val="9"/>
            <rFont val="宋体"/>
            <charset val="134"/>
          </rPr>
          <t>Administrator:</t>
        </r>
        <r>
          <rPr>
            <sz val="9"/>
            <rFont val="宋体"/>
            <charset val="134"/>
          </rPr>
          <t xml:space="preserve">
</t>
        </r>
      </text>
    </comment>
    <comment ref="AD4" authorId="0">
      <text>
        <r>
          <rPr>
            <b/>
            <sz val="9"/>
            <rFont val="宋体"/>
            <charset val="134"/>
          </rPr>
          <t>Administrator:</t>
        </r>
        <r>
          <rPr>
            <sz val="9"/>
            <rFont val="宋体"/>
            <charset val="134"/>
          </rPr>
          <t xml:space="preserve">
</t>
        </r>
      </text>
    </comment>
    <comment ref="AE4" authorId="0">
      <text>
        <r>
          <rPr>
            <b/>
            <sz val="9"/>
            <rFont val="宋体"/>
            <charset val="134"/>
          </rPr>
          <t>Administrator:</t>
        </r>
        <r>
          <rPr>
            <sz val="9"/>
            <rFont val="宋体"/>
            <charset val="134"/>
          </rPr>
          <t xml:space="preserve">
</t>
        </r>
      </text>
    </comment>
    <comment ref="AF4" authorId="0">
      <text>
        <r>
          <rPr>
            <b/>
            <sz val="9"/>
            <rFont val="宋体"/>
            <charset val="134"/>
          </rPr>
          <t>Administrator:</t>
        </r>
        <r>
          <rPr>
            <sz val="9"/>
            <rFont val="宋体"/>
            <charset val="134"/>
          </rPr>
          <t xml:space="preserve">
</t>
        </r>
      </text>
    </comment>
    <comment ref="AG4" authorId="0">
      <text>
        <r>
          <rPr>
            <b/>
            <sz val="9"/>
            <rFont val="宋体"/>
            <charset val="134"/>
          </rPr>
          <t>Administrator:</t>
        </r>
        <r>
          <rPr>
            <sz val="9"/>
            <rFont val="宋体"/>
            <charset val="134"/>
          </rPr>
          <t xml:space="preserve">
</t>
        </r>
      </text>
    </comment>
    <comment ref="AJ4" authorId="0">
      <text>
        <r>
          <rPr>
            <b/>
            <sz val="9"/>
            <rFont val="宋体"/>
            <charset val="134"/>
          </rPr>
          <t>Administrator:</t>
        </r>
        <r>
          <rPr>
            <sz val="9"/>
            <rFont val="宋体"/>
            <charset val="134"/>
          </rPr>
          <t xml:space="preserve">
</t>
        </r>
      </text>
    </comment>
    <comment ref="AK4" authorId="0">
      <text>
        <r>
          <rPr>
            <b/>
            <sz val="9"/>
            <rFont val="宋体"/>
            <charset val="134"/>
          </rPr>
          <t>Administrator:</t>
        </r>
        <r>
          <rPr>
            <sz val="9"/>
            <rFont val="宋体"/>
            <charset val="134"/>
          </rPr>
          <t xml:space="preserve">
</t>
        </r>
      </text>
    </comment>
    <comment ref="AL4" authorId="0">
      <text>
        <r>
          <rPr>
            <b/>
            <sz val="9"/>
            <rFont val="宋体"/>
            <charset val="134"/>
          </rPr>
          <t>Administrator:</t>
        </r>
        <r>
          <rPr>
            <sz val="9"/>
            <rFont val="宋体"/>
            <charset val="134"/>
          </rPr>
          <t xml:space="preserve">
</t>
        </r>
      </text>
    </comment>
    <comment ref="AM4" authorId="0">
      <text>
        <r>
          <rPr>
            <b/>
            <sz val="9"/>
            <rFont val="宋体"/>
            <charset val="134"/>
          </rPr>
          <t>Administrator:</t>
        </r>
        <r>
          <rPr>
            <sz val="9"/>
            <rFont val="宋体"/>
            <charset val="134"/>
          </rPr>
          <t xml:space="preserve">
</t>
        </r>
      </text>
    </comment>
    <comment ref="AN4" authorId="0">
      <text>
        <r>
          <rPr>
            <b/>
            <sz val="9"/>
            <rFont val="宋体"/>
            <charset val="134"/>
          </rPr>
          <t>Administrator:</t>
        </r>
        <r>
          <rPr>
            <sz val="9"/>
            <rFont val="宋体"/>
            <charset val="134"/>
          </rPr>
          <t xml:space="preserve">
</t>
        </r>
      </text>
    </comment>
    <comment ref="AO4" authorId="0">
      <text>
        <r>
          <rPr>
            <b/>
            <sz val="9"/>
            <rFont val="宋体"/>
            <charset val="134"/>
          </rPr>
          <t>Administrator:</t>
        </r>
        <r>
          <rPr>
            <sz val="9"/>
            <rFont val="宋体"/>
            <charset val="134"/>
          </rPr>
          <t xml:space="preserve">
</t>
        </r>
      </text>
    </comment>
    <comment ref="AS4" authorId="0">
      <text>
        <r>
          <rPr>
            <b/>
            <sz val="9"/>
            <rFont val="宋体"/>
            <charset val="134"/>
          </rPr>
          <t>Administrator:</t>
        </r>
        <r>
          <rPr>
            <sz val="9"/>
            <rFont val="宋体"/>
            <charset val="134"/>
          </rPr>
          <t xml:space="preserve">
</t>
        </r>
      </text>
    </comment>
    <comment ref="AT4" authorId="0">
      <text>
        <r>
          <rPr>
            <b/>
            <sz val="9"/>
            <rFont val="宋体"/>
            <charset val="134"/>
          </rPr>
          <t>Administrator:</t>
        </r>
        <r>
          <rPr>
            <sz val="9"/>
            <rFont val="宋体"/>
            <charset val="134"/>
          </rPr>
          <t xml:space="preserve">
</t>
        </r>
      </text>
    </comment>
    <comment ref="AU4" authorId="0">
      <text>
        <r>
          <rPr>
            <b/>
            <sz val="9"/>
            <rFont val="宋体"/>
            <charset val="134"/>
          </rPr>
          <t>Administrator:</t>
        </r>
        <r>
          <rPr>
            <sz val="9"/>
            <rFont val="宋体"/>
            <charset val="134"/>
          </rPr>
          <t xml:space="preserve">
</t>
        </r>
      </text>
    </comment>
    <comment ref="AV4" authorId="0">
      <text>
        <r>
          <rPr>
            <b/>
            <sz val="9"/>
            <rFont val="宋体"/>
            <charset val="134"/>
          </rPr>
          <t>Administrator:</t>
        </r>
        <r>
          <rPr>
            <sz val="9"/>
            <rFont val="宋体"/>
            <charset val="134"/>
          </rPr>
          <t xml:space="preserve">
</t>
        </r>
      </text>
    </comment>
    <comment ref="AX4" authorId="0">
      <text>
        <r>
          <rPr>
            <b/>
            <sz val="9"/>
            <rFont val="宋体"/>
            <charset val="134"/>
          </rPr>
          <t>Administrator:</t>
        </r>
        <r>
          <rPr>
            <sz val="9"/>
            <rFont val="宋体"/>
            <charset val="134"/>
          </rPr>
          <t xml:space="preserve">
</t>
        </r>
      </text>
    </comment>
    <comment ref="AZ4" authorId="0">
      <text>
        <r>
          <rPr>
            <b/>
            <sz val="9"/>
            <rFont val="宋体"/>
            <charset val="134"/>
          </rPr>
          <t>Administrator:</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O4" authorId="0">
      <text>
        <r>
          <rPr>
            <b/>
            <sz val="9"/>
            <rFont val="宋体"/>
            <charset val="134"/>
          </rPr>
          <t>Administrator:</t>
        </r>
        <r>
          <rPr>
            <sz val="9"/>
            <rFont val="宋体"/>
            <charset val="134"/>
          </rPr>
          <t xml:space="preserve">
</t>
        </r>
      </text>
    </comment>
  </commentList>
</comments>
</file>

<file path=xl/comments3.xml><?xml version="1.0" encoding="utf-8"?>
<comments xmlns="http://schemas.openxmlformats.org/spreadsheetml/2006/main">
  <authors>
    <author>Administrator</author>
  </authors>
  <commentList>
    <comment ref="G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F4" authorId="0">
      <text>
        <r>
          <rPr>
            <sz val="9"/>
            <rFont val="宋体"/>
            <charset val="134"/>
          </rPr>
          <t>双击此处有提示</t>
        </r>
      </text>
    </comment>
  </commentList>
</comments>
</file>

<file path=xl/comments5.xml><?xml version="1.0" encoding="utf-8"?>
<comments xmlns="http://schemas.openxmlformats.org/spreadsheetml/2006/main">
  <authors>
    <author>Administrator</author>
  </authors>
  <commentList>
    <comment ref="D4" authorId="0">
      <text>
        <r>
          <rPr>
            <sz val="9"/>
            <rFont val="宋体"/>
            <charset val="134"/>
          </rPr>
          <t>双击红角标处有提示</t>
        </r>
      </text>
    </comment>
    <comment ref="E4" authorId="0">
      <text>
        <r>
          <rPr>
            <b/>
            <sz val="9"/>
            <rFont val="宋体"/>
            <charset val="134"/>
          </rPr>
          <t>Administrator:</t>
        </r>
        <r>
          <rPr>
            <sz val="9"/>
            <rFont val="宋体"/>
            <charset val="134"/>
          </rPr>
          <t xml:space="preserve">
</t>
        </r>
      </text>
    </comment>
    <comment ref="F4" authorId="0">
      <text>
        <r>
          <rPr>
            <b/>
            <sz val="9"/>
            <rFont val="宋体"/>
            <charset val="134"/>
          </rPr>
          <t>Administrator:</t>
        </r>
        <r>
          <rPr>
            <sz val="9"/>
            <rFont val="宋体"/>
            <charset val="134"/>
          </rPr>
          <t xml:space="preserve">
</t>
        </r>
      </text>
    </comment>
  </commentList>
</comments>
</file>

<file path=xl/sharedStrings.xml><?xml version="1.0" encoding="utf-8"?>
<sst xmlns="http://schemas.openxmlformats.org/spreadsheetml/2006/main" count="1053" uniqueCount="299">
  <si>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</si>
  <si>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</si>
  <si>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</si>
  <si>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</si>
  <si>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</si>
  <si>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</si>
  <si>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</si>
  <si>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</si>
  <si>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</si>
  <si>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</si>
  <si>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</si>
  <si>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</si>
  <si>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</si>
  <si>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</si>
  <si>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</si>
  <si>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</si>
  <si>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</si>
  <si>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</si>
  <si>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</si>
  <si>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</si>
  <si>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</si>
  <si>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</si>
  <si>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</si>
  <si>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</si>
  <si>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</si>
  <si>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</si>
  <si>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</si>
  <si>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</si>
  <si>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</si>
  <si>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</si>
  <si>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</si>
  <si>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</si>
  <si>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  考勤</t>
  </si>
  <si>
    <t>年</t>
  </si>
  <si>
    <t>月</t>
  </si>
  <si>
    <t>姓名</t>
  </si>
  <si>
    <t>全勤天数</t>
  </si>
  <si>
    <t>实际天数</t>
  </si>
  <si>
    <t>请假/小时</t>
  </si>
  <si>
    <t>加班/小时</t>
  </si>
  <si>
    <t>迟到天数</t>
  </si>
  <si>
    <t>刘鑫</t>
  </si>
  <si>
    <t>请假</t>
  </si>
  <si>
    <t>出勤</t>
  </si>
  <si>
    <t>迟到</t>
  </si>
  <si>
    <t>早退</t>
  </si>
  <si>
    <t>李玉生</t>
  </si>
  <si>
    <t>古玉琴</t>
  </si>
  <si>
    <t>王丹翠</t>
  </si>
  <si>
    <t>林昆宇</t>
  </si>
  <si>
    <t>林至阳</t>
  </si>
  <si>
    <t>测试时</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</si>
  <si>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</si>
  <si>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</si>
  <si>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</si>
  <si>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</si>
  <si>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</si>
  <si>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</si>
  <si>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</si>
  <si>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</si>
  <si>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</si>
  <si>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</si>
  <si>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</si>
  <si>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</si>
  <si>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</si>
  <si>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</si>
  <si>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</si>
  <si>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</si>
  <si>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</si>
  <si>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</si>
  <si>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</si>
  <si>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</si>
  <si>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</si>
  <si>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</si>
  <si>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</si>
  <si>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</si>
  <si>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</si>
  <si>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</si>
  <si>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</si>
  <si>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</si>
  <si>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赵海生</t>
  </si>
  <si>
    <t>人事部</t>
  </si>
  <si>
    <t>部员</t>
  </si>
  <si>
    <t>zhs3986</t>
  </si>
  <si>
    <t>21028220000101231X</t>
  </si>
  <si>
    <t>汉</t>
  </si>
  <si>
    <t>辽宁</t>
  </si>
  <si>
    <t>14855829402</t>
  </si>
  <si>
    <t>本科</t>
  </si>
  <si>
    <t>未婚</t>
  </si>
  <si>
    <t>在职</t>
  </si>
  <si>
    <t>1849537258492836</t>
  </si>
  <si>
    <t>2022/11/1;2023-04-12</t>
  </si>
  <si>
    <t>刘信</t>
  </si>
  <si>
    <t>经理</t>
  </si>
  <si>
    <t>yhltd</t>
  </si>
  <si>
    <t>211233199809092121</t>
  </si>
  <si>
    <t>15837693579</t>
  </si>
  <si>
    <t>185927385482038</t>
  </si>
  <si>
    <t>2022/11/1;2023-04-13</t>
  </si>
  <si>
    <t>副部长</t>
  </si>
  <si>
    <t>lys333</t>
  </si>
  <si>
    <t>210282199506092311</t>
  </si>
  <si>
    <t>14782958375</t>
  </si>
  <si>
    <t>1895283749587393</t>
  </si>
  <si>
    <t>2023-05-01;2023-04-04</t>
  </si>
  <si>
    <t>测试部</t>
  </si>
  <si>
    <t>lx6666</t>
  </si>
  <si>
    <t>210282200408052311</t>
  </si>
  <si>
    <t>中国</t>
  </si>
  <si>
    <t>15241838935</t>
  </si>
  <si>
    <t>大专</t>
  </si>
  <si>
    <t>1952750192743925</t>
  </si>
  <si>
    <t>2023-05-01;2023-04-18</t>
  </si>
  <si>
    <t>刘聪</t>
  </si>
  <si>
    <t>lc888</t>
  </si>
  <si>
    <t>21028219900505231X</t>
  </si>
  <si>
    <t>15673849329</t>
  </si>
  <si>
    <t>已婚</t>
  </si>
  <si>
    <t>2023-05-01;2023-04-03</t>
  </si>
  <si>
    <t>谷玉琴</t>
  </si>
  <si>
    <t>gyq</t>
  </si>
  <si>
    <t>210222200101242311</t>
  </si>
  <si>
    <t>藏</t>
  </si>
  <si>
    <t>15845983945</t>
  </si>
  <si>
    <t>1847295747623482</t>
  </si>
  <si>
    <t>wdc</t>
  </si>
  <si>
    <t>210282200101032311</t>
  </si>
  <si>
    <t>15847389873</t>
  </si>
  <si>
    <t>184729575384927</t>
  </si>
  <si>
    <t>2020/4/1;2023-04-01</t>
  </si>
  <si>
    <t>管理部</t>
  </si>
  <si>
    <t>lky</t>
  </si>
  <si>
    <t>210282199309232311</t>
  </si>
  <si>
    <t>15286384958</t>
  </si>
  <si>
    <t>1867584967584738</t>
  </si>
  <si>
    <t>2023/3/21;2023-04-18</t>
  </si>
  <si>
    <t>工程部</t>
  </si>
  <si>
    <t>lzy</t>
  </si>
  <si>
    <t>21028220001212231X</t>
  </si>
  <si>
    <t>15241844735</t>
  </si>
  <si>
    <t>1437563847583957</t>
  </si>
  <si>
    <t>2023-04-01;2023-04-13</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</si>
  <si>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</si>
  <si>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</si>
  <si>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</si>
  <si>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</si>
  <si>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</si>
  <si>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</si>
  <si>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</si>
  <si>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</si>
  <si>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</si>
  <si>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</si>
  <si>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</si>
  <si>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</si>
  <si>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</si>
  <si>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</si>
  <si>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</si>
  <si>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</si>
  <si>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</si>
  <si>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</si>
  <si>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</si>
  <si>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</si>
  <si>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</si>
  <si>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</si>
  <si>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</si>
  <si>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</si>
  <si>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</si>
  <si>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</si>
  <si>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</si>
  <si>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</si>
  <si>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</si>
  <si>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</si>
  <si>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</si>
  <si>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</si>
  <si>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</si>
  <si>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</si>
  <si>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</si>
  <si>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</si>
  <si>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</si>
  <si>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</si>
  <si>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</si>
  <si>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</si>
  <si>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</si>
  <si>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</si>
  <si>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</si>
  <si>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</si>
  <si>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</si>
  <si>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</si>
  <si>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</si>
  <si>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</si>
  <si>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</si>
  <si>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</si>
  <si>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</si>
  <si>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</si>
  <si>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</si>
  <si>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</si>
  <si>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</si>
  <si>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</si>
  <si>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上海恒晨人力资源有限公司_hr</t>
  </si>
  <si>
    <t>齐铭</t>
  </si>
  <si>
    <t>财务部</t>
  </si>
  <si>
    <t>123123123123123123</t>
  </si>
  <si>
    <t>646454844535343</t>
  </si>
  <si>
    <t>王红</t>
  </si>
  <si>
    <t>人员信息管理</t>
  </si>
  <si>
    <t>123123213213211111</t>
  </si>
  <si>
    <t>6464548442342</t>
  </si>
  <si>
    <t>报盘</t>
  </si>
  <si>
    <t>刘嘉裕</t>
  </si>
  <si>
    <t>行政部</t>
  </si>
  <si>
    <t>副经理</t>
  </si>
  <si>
    <t>6464548423213</t>
  </si>
  <si>
    <t>配置表</t>
  </si>
  <si>
    <t>21312312312123</t>
  </si>
  <si>
    <t>12312312423423</t>
  </si>
  <si>
    <t>工资明细</t>
  </si>
  <si>
    <t>运营</t>
  </si>
  <si>
    <t>363176387163</t>
  </si>
  <si>
    <t>36178361872381</t>
  </si>
  <si>
    <t>报税</t>
  </si>
  <si>
    <t>人事</t>
  </si>
  <si>
    <t>222222222221212121</t>
  </si>
  <si>
    <t>324521456765465643</t>
  </si>
  <si>
    <t>考勤记录</t>
  </si>
  <si>
    <t>210402199612233227</t>
  </si>
  <si>
    <t>659805695826958</t>
  </si>
  <si>
    <t>部门汇总</t>
  </si>
  <si>
    <t>张三</t>
  </si>
  <si>
    <t>职员</t>
  </si>
  <si>
    <t>111111111111111111</t>
  </si>
  <si>
    <t>77777777777</t>
  </si>
  <si>
    <t>社保</t>
  </si>
  <si>
    <t>李四</t>
  </si>
  <si>
    <t>1231231232131</t>
  </si>
  <si>
    <t>123123123</t>
  </si>
  <si>
    <t>员工档案</t>
  </si>
  <si>
    <t>ddd</t>
  </si>
  <si>
    <t>123456789</t>
  </si>
  <si>
    <t>个人所得税</t>
  </si>
  <si>
    <t>工资条</t>
  </si>
  <si>
    <t>▌  工资明细</t>
  </si>
  <si>
    <t>当月工资合计</t>
  </si>
  <si>
    <t>个人生育</t>
  </si>
  <si>
    <t>个人年金4%</t>
  </si>
  <si>
    <t>年金1%</t>
  </si>
  <si>
    <t>验算公式</t>
  </si>
  <si>
    <t>22</t>
  </si>
  <si>
    <t>员工</t>
  </si>
  <si>
    <t>210282200103042311</t>
  </si>
  <si>
    <t>1</t>
  </si>
  <si>
    <t>▌  考勤记录</t>
  </si>
  <si>
    <t>应到</t>
  </si>
  <si>
    <t>实到</t>
  </si>
  <si>
    <t>加班</t>
  </si>
  <si>
    <t>▌  配置表</t>
  </si>
  <si>
    <t>部门配置</t>
  </si>
  <si>
    <t>职务配置</t>
  </si>
  <si>
    <t>个人年金</t>
  </si>
  <si>
    <t>工资</t>
  </si>
  <si>
    <t>0-5000</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</si>
  <si>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</si>
  <si>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</si>
  <si>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</si>
  <si>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</si>
  <si>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</si>
  <si>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</si>
  <si>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</si>
  <si>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</si>
  <si>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</si>
  <si>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</si>
  <si>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</si>
  <si>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</si>
  <si>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</si>
  <si>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</si>
  <si>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</si>
  <si>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</si>
  <si>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</si>
  <si>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</si>
  <si>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</si>
  <si>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</si>
  <si>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</si>
  <si>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</si>
  <si>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</si>
  <si>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</si>
  <si>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</si>
  <si>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</si>
  <si>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</si>
  <si>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</si>
  <si>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</si>
  <si>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</si>
  <si>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</si>
  <si>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</si>
  <si>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</si>
  <si>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</si>
  <si>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</si>
  <si>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</si>
  <si>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李玉生,</t>
  </si>
  <si>
    <t>赵海生,</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</si>
</sst>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quot;年&quot;m&quot;月&quot;d&quot;日&quot;;@"/>
    <numFmt numFmtId="178" formatCode="[$-804]aaaa;@"/>
    <numFmt numFmtId="179" formatCode="yyyy\-mm\-dd"/>
    <numFmt numFmtId="180" formatCode="00"/>
    <numFmt numFmtId="181" formatCode="yyyy/mm/dd"/>
  </numFmts>
  <fonts count="42">
    <font>
      <sz val="12"/>
      <name val="宋体"/>
      <charset val="134"/>
    </font>
    <font>
      <sz val="18"/>
      <name val="宋体"/>
      <charset val="134"/>
    </font>
    <font>
      <b/>
      <sz val="11"/>
      <color theme="0"/>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
      <b/>
      <sz val="9"/>
      <name val="宋体"/>
      <charset val="134"/>
    </font>
  </fonts>
  <fills count="41">
    <fill>
      <patternFill patternType="none"/>
    </fill>
    <fill>
      <patternFill patternType="gray125"/>
    </fill>
    <fill>
      <patternFill patternType="solid">
        <fgColor rgb="FF002060"/>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medium">
        <color theme="0"/>
      </left>
      <right style="medium">
        <color theme="0"/>
      </right>
      <top style="medium">
        <color theme="0"/>
      </top>
      <bottom/>
      <diagonal/>
    </border>
    <border>
      <left style="medium">
        <color theme="0"/>
      </left>
      <right style="medium">
        <color theme="0"/>
      </right>
      <top style="medium">
        <color theme="0"/>
      </top>
      <bottom style="medium">
        <color theme="0"/>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3"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4" fillId="0" borderId="0" applyFont="0" applyFill="0" applyBorder="0" applyAlignment="0" applyProtection="0">
      <alignment vertical="center"/>
    </xf>
    <xf numFmtId="0" fontId="23" fillId="14" borderId="0" applyNumberFormat="0" applyBorder="0" applyAlignment="0" applyProtection="0">
      <alignment vertical="center"/>
    </xf>
    <xf numFmtId="0" fontId="24" fillId="0" borderId="0" applyNumberFormat="0" applyFill="0" applyBorder="0" applyAlignment="0" applyProtection="0">
      <alignment vertical="center"/>
    </xf>
    <xf numFmtId="9" fontId="4" fillId="0" borderId="0" applyFont="0" applyFill="0" applyBorder="0" applyAlignment="0" applyProtection="0">
      <alignment vertical="center"/>
    </xf>
    <xf numFmtId="0" fontId="25" fillId="0" borderId="0" applyNumberFormat="0" applyFill="0" applyBorder="0" applyAlignment="0" applyProtection="0">
      <alignment vertical="center"/>
    </xf>
    <xf numFmtId="0" fontId="4" fillId="15" borderId="4" applyNumberFormat="0" applyFont="0" applyAlignment="0" applyProtection="0">
      <alignment vertical="center"/>
    </xf>
    <xf numFmtId="0" fontId="23" fillId="16"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5" applyNumberFormat="0" applyFill="0" applyAlignment="0" applyProtection="0">
      <alignment vertical="center"/>
    </xf>
    <xf numFmtId="0" fontId="31" fillId="0" borderId="5" applyNumberFormat="0" applyFill="0" applyAlignment="0" applyProtection="0">
      <alignment vertical="center"/>
    </xf>
    <xf numFmtId="0" fontId="23" fillId="17" borderId="0" applyNumberFormat="0" applyBorder="0" applyAlignment="0" applyProtection="0">
      <alignment vertical="center"/>
    </xf>
    <xf numFmtId="0" fontId="26" fillId="0" borderId="6" applyNumberFormat="0" applyFill="0" applyAlignment="0" applyProtection="0">
      <alignment vertical="center"/>
    </xf>
    <xf numFmtId="0" fontId="23" fillId="18" borderId="0" applyNumberFormat="0" applyBorder="0" applyAlignment="0" applyProtection="0">
      <alignment vertical="center"/>
    </xf>
    <xf numFmtId="0" fontId="32" fillId="19" borderId="7" applyNumberFormat="0" applyAlignment="0" applyProtection="0">
      <alignment vertical="center"/>
    </xf>
    <xf numFmtId="0" fontId="33" fillId="19" borderId="3" applyNumberFormat="0" applyAlignment="0" applyProtection="0">
      <alignment vertical="center"/>
    </xf>
    <xf numFmtId="0" fontId="34" fillId="20" borderId="8"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5" fillId="0" borderId="9" applyNumberFormat="0" applyFill="0" applyAlignment="0" applyProtection="0">
      <alignment vertical="center"/>
    </xf>
    <xf numFmtId="0" fontId="36" fillId="0" borderId="10" applyNumberFormat="0" applyFill="0" applyAlignment="0" applyProtection="0">
      <alignment vertical="center"/>
    </xf>
    <xf numFmtId="0" fontId="37" fillId="23" borderId="0" applyNumberFormat="0" applyBorder="0" applyAlignment="0" applyProtection="0">
      <alignment vertical="center"/>
    </xf>
    <xf numFmtId="0" fontId="38"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5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1" fillId="0" borderId="0" xfId="0" applyFont="1" applyBorder="1" applyAlignment="1">
      <alignment horizontal="left" vertical="center"/>
    </xf>
    <xf numFmtId="0" fontId="2" fillId="2" borderId="1"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179" fontId="2" fillId="2" borderId="1" xfId="0" applyNumberFormat="1" applyFont="1" applyFill="1" applyBorder="1" applyAlignment="1">
      <alignment horizontal="center" vertical="center" wrapText="1"/>
    </xf>
    <xf numFmtId="0"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49" fontId="0" fillId="3" borderId="2" xfId="0" applyNumberFormat="1" applyFill="1" applyBorder="1" applyAlignment="1">
      <alignment horizontal="center" vertical="center"/>
    </xf>
    <xf numFmtId="0" fontId="0" fillId="0" borderId="2" xfId="0" applyNumberFormat="1" applyBorder="1">
      <alignment vertical="center"/>
    </xf>
    <xf numFmtId="0" fontId="0" fillId="0" borderId="0" xfId="0" applyNumberFormat="1">
      <alignment vertical="center"/>
    </xf>
    <xf numFmtId="14" fontId="0" fillId="0" borderId="0" xfId="0" applyNumberFormat="1">
      <alignment vertical="center"/>
    </xf>
    <xf numFmtId="179" fontId="0" fillId="3" borderId="2" xfId="0" applyNumberFormat="1" applyFill="1" applyBorder="1" applyAlignment="1">
      <alignment horizontal="center" vertical="center"/>
    </xf>
    <xf numFmtId="49" fontId="0" fillId="0" borderId="0" xfId="0" applyNumberFormat="1">
      <alignment vertical="center"/>
    </xf>
    <xf numFmtId="179" fontId="0" fillId="0" borderId="0" xfId="0" applyNumberFormat="1">
      <alignment vertical="center"/>
    </xf>
    <xf numFmtId="0" fontId="2" fillId="2" borderId="2" xfId="0" applyNumberFormat="1" applyFont="1" applyFill="1" applyBorder="1" applyAlignment="1">
      <alignment horizontal="center" vertical="center" wrapText="1"/>
    </xf>
    <xf numFmtId="49" fontId="2" fillId="2" borderId="2" xfId="0" applyNumberFormat="1" applyFont="1" applyFill="1" applyBorder="1" applyAlignment="1">
      <alignment horizontal="center" vertical="center" wrapText="1"/>
    </xf>
    <xf numFmtId="179" fontId="2" fillId="2" borderId="2" xfId="0" applyNumberFormat="1" applyFont="1" applyFill="1" applyBorder="1" applyAlignment="1">
      <alignment horizontal="center" vertical="center" wrapText="1"/>
    </xf>
    <xf numFmtId="180" fontId="0" fillId="3" borderId="2" xfId="0" applyNumberFormat="1" applyFill="1" applyBorder="1" applyAlignment="1">
      <alignment horizontal="center" vertical="center"/>
    </xf>
    <xf numFmtId="180" fontId="0" fillId="0" borderId="0" xfId="0" applyNumberFormat="1">
      <alignment vertical="center"/>
    </xf>
    <xf numFmtId="180" fontId="2" fillId="2" borderId="2" xfId="0" applyNumberFormat="1" applyFont="1" applyFill="1" applyBorder="1" applyAlignment="1">
      <alignment horizontal="center" vertical="center" wrapText="1"/>
    </xf>
    <xf numFmtId="11" fontId="0" fillId="3" borderId="2" xfId="0" applyNumberFormat="1" applyFill="1" applyBorder="1" applyAlignment="1">
      <alignment horizontal="center" vertical="center"/>
    </xf>
    <xf numFmtId="0" fontId="0" fillId="3" borderId="2" xfId="0" applyFill="1" applyBorder="1" applyAlignment="1">
      <alignment horizontal="center" vertical="center"/>
    </xf>
    <xf numFmtId="0" fontId="2" fillId="2" borderId="2" xfId="0" applyFont="1" applyFill="1" applyBorder="1" applyAlignment="1">
      <alignment horizontal="center" vertical="center" wrapText="1"/>
    </xf>
    <xf numFmtId="14" fontId="2" fillId="2" borderId="2" xfId="0" applyNumberFormat="1" applyFont="1" applyFill="1" applyBorder="1" applyAlignment="1">
      <alignment horizontal="center" vertical="center" wrapText="1"/>
    </xf>
    <xf numFmtId="181" fontId="0" fillId="0" borderId="0" xfId="0" applyNumberFormat="1">
      <alignment vertical="center"/>
    </xf>
    <xf numFmtId="0" fontId="3" fillId="4" borderId="0" xfId="0" applyFont="1" applyFill="1" applyAlignment="1" applyProtection="1">
      <alignment horizontal="left" vertical="center"/>
    </xf>
    <xf numFmtId="0" fontId="4" fillId="5" borderId="0" xfId="0" applyFont="1" applyFill="1" applyAlignment="1" applyProtection="1">
      <alignment vertical="center"/>
    </xf>
    <xf numFmtId="0" fontId="5" fillId="5" borderId="0" xfId="0" applyFont="1" applyFill="1" applyAlignment="1" applyProtection="1">
      <alignment horizontal="left" vertical="center"/>
    </xf>
    <xf numFmtId="0" fontId="5" fillId="6" borderId="0" xfId="0" applyFont="1" applyFill="1" applyAlignment="1" applyProtection="1">
      <alignment horizontal="left" vertical="center"/>
    </xf>
    <xf numFmtId="49" fontId="6" fillId="6" borderId="0" xfId="0" applyNumberFormat="1" applyFont="1" applyFill="1" applyAlignment="1" applyProtection="1">
      <alignment horizontal="right" vertical="center"/>
    </xf>
    <xf numFmtId="0" fontId="7" fillId="6" borderId="0" xfId="0" applyFont="1" applyFill="1" applyAlignment="1" applyProtection="1">
      <alignment horizontal="left" vertical="center"/>
    </xf>
    <xf numFmtId="0" fontId="8" fillId="4" borderId="0" xfId="0" applyFont="1" applyFill="1" applyAlignment="1" applyProtection="1">
      <alignment horizontal="center" vertical="center"/>
    </xf>
    <xf numFmtId="49" fontId="9" fillId="4" borderId="0" xfId="0" applyNumberFormat="1" applyFont="1" applyFill="1" applyAlignment="1" applyProtection="1">
      <alignment horizontal="left" vertical="center"/>
    </xf>
    <xf numFmtId="49" fontId="10" fillId="5" borderId="0" xfId="0" applyNumberFormat="1" applyFont="1" applyFill="1" applyAlignment="1" applyProtection="1">
      <alignment horizontal="right" vertical="center"/>
    </xf>
    <xf numFmtId="49" fontId="10" fillId="6" borderId="0" xfId="0" applyNumberFormat="1" applyFont="1" applyFill="1" applyAlignment="1" applyProtection="1">
      <alignment horizontal="center" vertical="center"/>
    </xf>
    <xf numFmtId="49" fontId="11" fillId="7" borderId="0" xfId="0" applyNumberFormat="1" applyFont="1" applyFill="1" applyAlignment="1" applyProtection="1">
      <alignment horizontal="center" vertical="center" wrapText="1"/>
    </xf>
    <xf numFmtId="0" fontId="12" fillId="7" borderId="0" xfId="0" applyFont="1" applyFill="1" applyAlignment="1" applyProtection="1">
      <alignment horizontal="center" vertical="center" wrapText="1"/>
    </xf>
    <xf numFmtId="180" fontId="13" fillId="7" borderId="0" xfId="0" applyNumberFormat="1" applyFont="1" applyFill="1" applyAlignment="1" applyProtection="1">
      <alignment horizontal="right" vertical="center" indent="1"/>
    </xf>
    <xf numFmtId="0" fontId="14" fillId="7" borderId="0" xfId="0" applyFont="1" applyFill="1" applyAlignment="1" applyProtection="1">
      <alignment horizontal="center" vertical="center" wrapText="1"/>
    </xf>
    <xf numFmtId="49" fontId="12" fillId="7" borderId="0" xfId="0" applyNumberFormat="1" applyFont="1" applyFill="1" applyAlignment="1" applyProtection="1">
      <alignment horizontal="center" vertical="center" wrapText="1"/>
    </xf>
    <xf numFmtId="0" fontId="14" fillId="7" borderId="0" xfId="0" applyFont="1" applyFill="1" applyAlignment="1" applyProtection="1">
      <alignment vertical="center" wrapText="1"/>
    </xf>
    <xf numFmtId="49" fontId="6" fillId="8" borderId="0" xfId="0" applyNumberFormat="1" applyFont="1" applyFill="1" applyAlignment="1" applyProtection="1">
      <alignment horizontal="center" vertical="center" wrapText="1"/>
    </xf>
    <xf numFmtId="0" fontId="15" fillId="8" borderId="0" xfId="0" applyFont="1" applyFill="1" applyAlignment="1" applyProtection="1">
      <alignment horizontal="center" vertical="center" wrapText="1"/>
    </xf>
    <xf numFmtId="0" fontId="7" fillId="8" borderId="0" xfId="0" applyFont="1" applyFill="1" applyAlignment="1" applyProtection="1">
      <alignment horizontal="left" vertical="center"/>
    </xf>
    <xf numFmtId="49" fontId="3" fillId="4" borderId="0" xfId="0" applyNumberFormat="1" applyFont="1" applyFill="1" applyAlignment="1" applyProtection="1">
      <alignment horizontal="left" vertical="center"/>
    </xf>
    <xf numFmtId="0" fontId="16"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6"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81280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6</xdr:col>
      <xdr:colOff>88265</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6</xdr:col>
      <xdr:colOff>369570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443230</xdr:colOff>
      <xdr:row>0</xdr:row>
      <xdr:rowOff>266700</xdr:rowOff>
    </xdr:from>
    <xdr:to>
      <xdr:col>7</xdr:col>
      <xdr:colOff>349250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422910</xdr:colOff>
      <xdr:row>0</xdr:row>
      <xdr:rowOff>266700</xdr:rowOff>
    </xdr:from>
    <xdr:to>
      <xdr:col>7</xdr:col>
      <xdr:colOff>1290955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782320</xdr:colOff>
      <xdr:row>0</xdr:row>
      <xdr:rowOff>266700</xdr:rowOff>
    </xdr:from>
    <xdr:to>
      <xdr:col>9</xdr:col>
      <xdr:colOff>688340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1364615</xdr:colOff>
      <xdr:row>0</xdr:row>
      <xdr:rowOff>266700</xdr:rowOff>
    </xdr:from>
    <xdr:to>
      <xdr:col>8</xdr:col>
      <xdr:colOff>708660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762000</xdr:colOff>
      <xdr:row>0</xdr:row>
      <xdr:rowOff>266700</xdr:rowOff>
    </xdr:from>
    <xdr:to>
      <xdr:col>10</xdr:col>
      <xdr:colOff>668020</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520700</xdr:colOff>
      <xdr:row>2</xdr:row>
      <xdr:rowOff>0</xdr:rowOff>
    </xdr:from>
    <xdr:to>
      <xdr:col>7</xdr:col>
      <xdr:colOff>427990</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comments" Target="../comments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P28" sqref="P28"/>
    </sheetView>
  </sheetViews>
  <sheetFormatPr defaultColWidth="3.625" defaultRowHeight="17.1" customHeight="1"/>
  <cols>
    <col min="1" max="1" width="3.625" style="48" customWidth="1"/>
    <col min="2" max="16384" width="3.625" style="48"/>
  </cols>
  <sheetData>
    <row r="4" customHeight="1" spans="1:42">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row>
    <row r="5" customHeight="1" spans="1:42">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row>
    <row r="6" customHeight="1" spans="1:42">
      <c r="A6" s="50"/>
      <c r="B6" s="50"/>
      <c r="C6" s="50"/>
      <c r="D6" s="50"/>
      <c r="E6" s="50"/>
      <c r="F6" s="50"/>
      <c r="G6" s="50"/>
      <c r="H6" s="51"/>
      <c r="I6" s="51"/>
      <c r="J6" s="51"/>
      <c r="K6" s="51"/>
      <c r="L6" s="51"/>
      <c r="M6" s="51"/>
      <c r="N6" s="51"/>
      <c r="O6" s="51"/>
      <c r="P6" s="51"/>
      <c r="Q6" s="51"/>
      <c r="R6" s="50"/>
      <c r="S6" s="50"/>
      <c r="T6" s="50"/>
      <c r="U6" s="50"/>
      <c r="V6" s="50"/>
      <c r="W6" s="50"/>
      <c r="X6" s="50"/>
      <c r="Y6" s="50"/>
      <c r="Z6" s="50"/>
      <c r="AA6" s="50"/>
      <c r="AB6" s="50"/>
      <c r="AC6" s="50"/>
      <c r="AD6" s="50"/>
      <c r="AE6" s="50"/>
      <c r="AF6" s="50"/>
      <c r="AG6" s="50"/>
      <c r="AH6" s="50"/>
      <c r="AI6" s="50"/>
      <c r="AJ6" s="50"/>
      <c r="AK6" s="50"/>
      <c r="AL6" s="50"/>
      <c r="AM6" s="50"/>
      <c r="AN6" s="50"/>
      <c r="AO6" s="50"/>
      <c r="AP6" s="50"/>
    </row>
    <row r="7" customHeight="1" spans="5:23">
      <c r="E7" s="52"/>
      <c r="F7" s="52"/>
      <c r="G7" s="52"/>
      <c r="H7" s="53"/>
      <c r="I7" s="53"/>
      <c r="J7" s="53"/>
      <c r="K7" s="53"/>
      <c r="L7" s="53"/>
      <c r="M7" s="53"/>
      <c r="N7" s="54"/>
      <c r="O7" s="54"/>
      <c r="P7" s="54"/>
      <c r="Q7" s="54"/>
      <c r="T7" s="54"/>
      <c r="U7" s="54"/>
      <c r="V7" s="54"/>
      <c r="W7" s="54"/>
    </row>
    <row r="8" customHeight="1" spans="8:23">
      <c r="H8" s="54"/>
      <c r="I8" s="54"/>
      <c r="J8" s="54"/>
      <c r="K8" s="54"/>
      <c r="L8" s="54"/>
      <c r="M8" s="54"/>
      <c r="N8" s="54"/>
      <c r="O8" s="54"/>
      <c r="P8" s="54"/>
      <c r="Q8" s="54"/>
      <c r="T8" s="54"/>
      <c r="U8" s="54"/>
      <c r="V8" s="54"/>
      <c r="W8" s="54"/>
    </row>
    <row r="9" customHeight="1" spans="8:23">
      <c r="H9" s="54"/>
      <c r="I9" s="54"/>
      <c r="J9" s="54"/>
      <c r="K9" s="54"/>
      <c r="L9" s="54"/>
      <c r="M9" s="54"/>
      <c r="N9" s="54"/>
      <c r="O9" s="54"/>
      <c r="P9" s="54"/>
      <c r="Q9" s="54"/>
      <c r="R9" s="54"/>
      <c r="S9" s="54"/>
      <c r="T9" s="54"/>
      <c r="U9" s="54"/>
      <c r="V9" s="54"/>
      <c r="W9" s="54"/>
    </row>
    <row r="10" customHeight="1" spans="17:23">
      <c r="Q10" s="54"/>
      <c r="R10" s="54"/>
      <c r="S10" s="54"/>
      <c r="T10" s="54"/>
      <c r="U10" s="54"/>
      <c r="V10" s="54"/>
      <c r="W10" s="54"/>
    </row>
    <row r="11" customHeight="1" spans="17:23">
      <c r="Q11" s="54"/>
      <c r="R11" s="54"/>
      <c r="S11" s="54"/>
      <c r="T11" s="54"/>
      <c r="U11" s="54"/>
      <c r="V11" s="54"/>
      <c r="W11" s="54"/>
    </row>
    <row r="12" customHeight="1" spans="17:23">
      <c r="Q12" s="54"/>
      <c r="R12" s="54"/>
      <c r="S12" s="54"/>
      <c r="T12" s="54"/>
      <c r="U12" s="54"/>
      <c r="V12" s="54"/>
      <c r="W12" s="54"/>
    </row>
    <row r="13" customHeight="1" spans="17:23">
      <c r="Q13" s="54"/>
      <c r="R13" s="54"/>
      <c r="S13" s="54"/>
      <c r="T13" s="54"/>
      <c r="U13" s="54"/>
      <c r="V13" s="54"/>
      <c r="W13" s="54"/>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D133" sqref="D133"/>
    </sheetView>
  </sheetViews>
  <sheetFormatPr defaultColWidth="9" defaultRowHeight="21.95" customHeight="1"/>
  <cols>
    <col min="1" max="1" width="1.625" style="30" customWidth="1"/>
    <col min="2" max="2" width="2.625" style="31" customWidth="1"/>
    <col min="3" max="3" width="15.25" style="32" customWidth="1"/>
    <col min="4" max="4" width="19.125" style="33" customWidth="1"/>
    <col min="5" max="5" width="10.5" style="33" customWidth="1"/>
    <col min="6" max="8" width="24.625" style="33" customWidth="1"/>
    <col min="9" max="9" width="2.625" style="31" customWidth="1"/>
    <col min="10" max="10" width="4.25" style="30" customWidth="1"/>
    <col min="11" max="16384" width="9" style="30"/>
  </cols>
  <sheetData>
    <row r="1" s="28" customFormat="1" ht="54.95" customHeight="1" spans="1:10">
      <c r="A1" s="34"/>
      <c r="C1" s="35"/>
      <c r="J1" s="47"/>
    </row>
    <row r="2" ht="15.95" customHeight="1" spans="2:9">
      <c r="B2" s="30"/>
      <c r="C2" s="36"/>
      <c r="D2" s="30"/>
      <c r="E2" s="30"/>
      <c r="F2" s="30"/>
      <c r="G2" s="30"/>
      <c r="H2" s="30"/>
      <c r="I2" s="30"/>
    </row>
    <row r="3" ht="15.95" customHeight="1" spans="3:8">
      <c r="C3" s="37"/>
      <c r="D3" s="31"/>
      <c r="E3" s="31"/>
      <c r="F3" s="31"/>
      <c r="G3" s="31"/>
      <c r="H3" s="31"/>
    </row>
    <row r="4" ht="75.95" customHeight="1" spans="3:8">
      <c r="C4" s="38" t="s">
        <v>0</v>
      </c>
      <c r="D4" s="39"/>
      <c r="E4" s="39"/>
      <c r="F4" s="40">
        <f>D7</f>
        <v>1</v>
      </c>
      <c r="G4" s="41" t="s">
        <v>1</v>
      </c>
      <c r="H4" s="41"/>
    </row>
    <row r="5" ht="6" customHeight="1" spans="3:8">
      <c r="C5" s="42"/>
      <c r="D5" s="39"/>
      <c r="E5" s="39"/>
      <c r="F5" s="43"/>
      <c r="G5" s="43"/>
      <c r="H5" s="43"/>
    </row>
    <row r="6" s="29" customFormat="1" ht="9" customHeight="1" spans="2:9">
      <c r="B6" s="31"/>
      <c r="C6" s="44"/>
      <c r="D6" s="45"/>
      <c r="E6" s="45"/>
      <c r="F6" s="46"/>
      <c r="G6" s="46"/>
      <c r="H6" s="46"/>
      <c r="I6" s="31"/>
    </row>
    <row r="7" hidden="1" customHeight="1" spans="2:4">
      <c r="B7" s="31" t="s">
        <v>2</v>
      </c>
      <c r="D7" s="33">
        <v>1</v>
      </c>
    </row>
    <row r="8" customHeight="1" spans="3:4">
      <c r="C8" s="32" t="s">
        <v>3</v>
      </c>
      <c r="D8" s="33" t="s">
        <v>4</v>
      </c>
    </row>
    <row r="9" customHeight="1" spans="3:4">
      <c r="C9" s="32" t="s">
        <v>5</v>
      </c>
      <c r="D9" s="33" t="s">
        <v>6</v>
      </c>
    </row>
    <row r="10" customHeight="1" spans="3:4">
      <c r="C10" s="32" t="s">
        <v>7</v>
      </c>
      <c r="D10" s="33" t="s">
        <v>8</v>
      </c>
    </row>
    <row r="11" customHeight="1" spans="3:4">
      <c r="C11" s="32" t="s">
        <v>9</v>
      </c>
      <c r="D11" s="33" t="s">
        <v>10</v>
      </c>
    </row>
    <row r="18" hidden="1" customHeight="1" spans="3:4">
      <c r="C18" s="32" t="s">
        <v>3</v>
      </c>
      <c r="D18" s="33" t="s">
        <v>11</v>
      </c>
    </row>
    <row r="19" hidden="1" customHeight="1" spans="3:4">
      <c r="C19" s="32" t="s">
        <v>5</v>
      </c>
      <c r="D19" s="33" t="s">
        <v>6</v>
      </c>
    </row>
    <row r="20" hidden="1" customHeight="1" spans="3:4">
      <c r="C20" s="32" t="s">
        <v>7</v>
      </c>
      <c r="D20" s="33" t="s">
        <v>8</v>
      </c>
    </row>
    <row r="21" hidden="1" customHeight="1" spans="3:4">
      <c r="C21" s="32" t="s">
        <v>9</v>
      </c>
      <c r="D21" s="33" t="s">
        <v>12</v>
      </c>
    </row>
    <row r="22" hidden="1" customHeight="1" spans="3:4">
      <c r="C22" s="32" t="s">
        <v>13</v>
      </c>
      <c r="D22" s="33" t="s">
        <v>10</v>
      </c>
    </row>
    <row r="23" hidden="1" customHeight="1"/>
    <row r="24" hidden="1" customHeight="1"/>
    <row r="25" hidden="1" customHeight="1"/>
    <row r="26" hidden="1" customHeight="1"/>
    <row r="27" hidden="1" customHeight="1"/>
    <row r="28" hidden="1" customHeight="1" spans="3:4">
      <c r="C28" s="32" t="s">
        <v>3</v>
      </c>
      <c r="D28" s="33" t="s">
        <v>14</v>
      </c>
    </row>
    <row r="29" hidden="1" customHeight="1" spans="3:4">
      <c r="C29" s="32" t="s">
        <v>5</v>
      </c>
      <c r="D29" s="33" t="s">
        <v>15</v>
      </c>
    </row>
    <row r="30" hidden="1" customHeight="1" spans="4:4">
      <c r="D30" s="33" t="s">
        <v>16</v>
      </c>
    </row>
    <row r="31" hidden="1" customHeight="1" spans="3:4">
      <c r="C31" s="32" t="s">
        <v>7</v>
      </c>
      <c r="D31" s="33" t="s">
        <v>17</v>
      </c>
    </row>
    <row r="32" hidden="1" customHeight="1" spans="3:4">
      <c r="C32" s="32" t="s">
        <v>9</v>
      </c>
      <c r="D32" s="33" t="s">
        <v>8</v>
      </c>
    </row>
    <row r="33" hidden="1" customHeight="1" spans="3:4">
      <c r="C33" s="32" t="s">
        <v>13</v>
      </c>
      <c r="D33" s="33" t="s">
        <v>10</v>
      </c>
    </row>
    <row r="34" hidden="1" customHeight="1"/>
    <row r="35" hidden="1" customHeight="1"/>
    <row r="36" hidden="1" customHeight="1"/>
    <row r="37" hidden="1" customHeight="1"/>
    <row r="38" hidden="1" customHeight="1" spans="3:4">
      <c r="C38" s="32" t="s">
        <v>3</v>
      </c>
      <c r="D38" s="33" t="s">
        <v>18</v>
      </c>
    </row>
    <row r="39" hidden="1" customHeight="1" spans="3:4">
      <c r="C39" s="32" t="s">
        <v>5</v>
      </c>
      <c r="D39" s="33"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32" t="s">
        <v>3</v>
      </c>
      <c r="D48" s="33" t="s">
        <v>19</v>
      </c>
    </row>
    <row r="49" hidden="1" customHeight="1" spans="3:4">
      <c r="C49" s="32" t="s">
        <v>5</v>
      </c>
      <c r="D49" s="33" t="s">
        <v>6</v>
      </c>
    </row>
    <row r="50" hidden="1" customHeight="1" spans="3:4">
      <c r="C50" s="32" t="s">
        <v>7</v>
      </c>
      <c r="D50" s="33" t="s">
        <v>8</v>
      </c>
    </row>
    <row r="51" hidden="1" customHeight="1"/>
    <row r="52" hidden="1" customHeight="1"/>
    <row r="53" hidden="1" customHeight="1"/>
    <row r="54" hidden="1" customHeight="1"/>
    <row r="55" hidden="1" customHeight="1"/>
    <row r="56" hidden="1" customHeight="1"/>
    <row r="57" hidden="1" customHeight="1"/>
    <row r="58" hidden="1" customHeight="1" spans="3:4">
      <c r="C58" s="32" t="s">
        <v>3</v>
      </c>
      <c r="D58" s="33" t="s">
        <v>20</v>
      </c>
    </row>
    <row r="59" hidden="1" customHeight="1" spans="3:4">
      <c r="C59" s="32" t="s">
        <v>5</v>
      </c>
      <c r="D59" s="33" t="s">
        <v>10</v>
      </c>
    </row>
    <row r="60" hidden="1" customHeight="1" spans="3:4">
      <c r="C60" s="32" t="s">
        <v>7</v>
      </c>
      <c r="D60" s="33" t="s">
        <v>21</v>
      </c>
    </row>
    <row r="61" hidden="1" customHeight="1" spans="4:4">
      <c r="D61" s="33" t="s">
        <v>22</v>
      </c>
    </row>
    <row r="62" hidden="1" customHeight="1"/>
    <row r="63" hidden="1" customHeight="1"/>
    <row r="64" hidden="1" customHeight="1"/>
    <row r="65" hidden="1" customHeight="1"/>
    <row r="66" hidden="1" customHeight="1"/>
    <row r="67" hidden="1" customHeight="1"/>
    <row r="68" hidden="1" customHeight="1" spans="3:4">
      <c r="C68" s="32" t="s">
        <v>3</v>
      </c>
      <c r="D68" s="33" t="s">
        <v>23</v>
      </c>
    </row>
    <row r="69" hidden="1" customHeight="1" spans="3:4">
      <c r="C69" s="32" t="s">
        <v>5</v>
      </c>
      <c r="D69" s="33" t="s">
        <v>24</v>
      </c>
    </row>
    <row r="70" hidden="1" customHeight="1" spans="3:4">
      <c r="C70" s="32" t="s">
        <v>7</v>
      </c>
      <c r="D70" s="33" t="s">
        <v>8</v>
      </c>
    </row>
    <row r="71" hidden="1" customHeight="1" spans="3:4">
      <c r="C71" s="32" t="s">
        <v>9</v>
      </c>
      <c r="D71" s="33" t="s">
        <v>10</v>
      </c>
    </row>
    <row r="72" hidden="1" customHeight="1"/>
    <row r="73" hidden="1" customHeight="1"/>
    <row r="74" hidden="1" customHeight="1"/>
    <row r="75" hidden="1" customHeight="1"/>
    <row r="76" hidden="1" customHeight="1"/>
    <row r="77" hidden="1" customHeight="1"/>
    <row r="78" hidden="1" customHeight="1" spans="3:4">
      <c r="C78" s="32" t="s">
        <v>3</v>
      </c>
      <c r="D78" s="33" t="s">
        <v>25</v>
      </c>
    </row>
    <row r="79" hidden="1" customHeight="1" spans="3:4">
      <c r="C79" s="32" t="s">
        <v>5</v>
      </c>
      <c r="D79" s="33" t="s">
        <v>6</v>
      </c>
    </row>
    <row r="80" hidden="1" customHeight="1" spans="3:4">
      <c r="C80" s="32" t="s">
        <v>7</v>
      </c>
      <c r="D80" s="33" t="s">
        <v>8</v>
      </c>
    </row>
    <row r="81" hidden="1" customHeight="1" spans="3:4">
      <c r="C81" s="32" t="s">
        <v>9</v>
      </c>
      <c r="D81" s="33" t="s">
        <v>10</v>
      </c>
    </row>
    <row r="82" hidden="1" customHeight="1"/>
    <row r="83" hidden="1" customHeight="1"/>
    <row r="84" hidden="1" customHeight="1"/>
    <row r="85" hidden="1" customHeight="1"/>
    <row r="86" hidden="1" customHeight="1"/>
    <row r="87" hidden="1" customHeight="1"/>
    <row r="88" hidden="1" customHeight="1" spans="3:4">
      <c r="C88" s="32" t="s">
        <v>3</v>
      </c>
      <c r="D88" s="33" t="s">
        <v>26</v>
      </c>
    </row>
    <row r="89" hidden="1" customHeight="1" spans="3:4">
      <c r="C89" s="32" t="s">
        <v>5</v>
      </c>
      <c r="D89" s="33" t="s">
        <v>10</v>
      </c>
    </row>
    <row r="90" hidden="1" customHeight="1" spans="3:4">
      <c r="C90" s="32" t="s">
        <v>7</v>
      </c>
      <c r="D90" s="33" t="s">
        <v>27</v>
      </c>
    </row>
    <row r="91" hidden="1" customHeight="1"/>
    <row r="92" hidden="1" customHeight="1"/>
    <row r="93" hidden="1" customHeight="1"/>
    <row r="94" hidden="1" customHeight="1"/>
    <row r="95" hidden="1" customHeight="1"/>
    <row r="96" hidden="1" customHeight="1"/>
    <row r="97" hidden="1" customHeight="1"/>
    <row r="98" hidden="1" customHeight="1" spans="3:4">
      <c r="C98" s="32" t="s">
        <v>3</v>
      </c>
      <c r="D98" s="33" t="s">
        <v>28</v>
      </c>
    </row>
    <row r="99" hidden="1" customHeight="1" spans="3:4">
      <c r="C99" s="32" t="s">
        <v>5</v>
      </c>
      <c r="D99" s="33" t="s">
        <v>10</v>
      </c>
    </row>
    <row r="100" hidden="1" customHeight="1" spans="3:4">
      <c r="C100" s="32" t="s">
        <v>7</v>
      </c>
      <c r="D100" s="33"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32" t="s">
        <v>3</v>
      </c>
      <c r="D108" s="33" t="s">
        <v>29</v>
      </c>
    </row>
    <row r="109" hidden="1" customHeight="1" spans="3:4">
      <c r="C109" s="32" t="s">
        <v>5</v>
      </c>
      <c r="D109" s="33"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32" t="s">
        <v>3</v>
      </c>
      <c r="D118" s="33"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32" t="s">
        <v>3</v>
      </c>
      <c r="D128" s="33" t="s">
        <v>31</v>
      </c>
    </row>
    <row r="129" hidden="1" customHeight="1" spans="3:4">
      <c r="C129" s="32" t="s">
        <v>5</v>
      </c>
      <c r="D129" s="33"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E16" sqref="E16"/>
    </sheetView>
  </sheetViews>
  <sheetFormatPr defaultColWidth="9" defaultRowHeight="14.25"/>
  <sheetData>
    <row r="1" spans="1:1">
      <c r="A1" s="13">
        <v>58441</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11"/>
  <sheetViews>
    <sheetView showGridLines="0" workbookViewId="0">
      <pane ySplit="4" topLeftCell="A5" activePane="bottomLeft" state="frozen"/>
      <selection/>
      <selection pane="bottomLeft" activeCell="F11" sqref="F11"/>
    </sheetView>
  </sheetViews>
  <sheetFormatPr defaultColWidth="9" defaultRowHeight="20" customHeight="1"/>
  <cols>
    <col min="1" max="1" width="4.625" customWidth="1"/>
    <col min="2" max="2" width="4.625" hidden="1" customWidth="1"/>
    <col min="3" max="7" width="12.625" style="8" customWidth="1"/>
    <col min="8" max="8" width="20" style="8" customWidth="1"/>
    <col min="9" max="17" width="12.625" style="8" customWidth="1"/>
    <col min="18" max="18" width="22.75" style="8" customWidth="1"/>
    <col min="19" max="41" width="12.625" style="8" customWidth="1"/>
  </cols>
  <sheetData>
    <row r="1" ht="54.75" customHeight="1" spans="3:41">
      <c r="C1" s="12"/>
      <c r="D1" s="21"/>
      <c r="E1" s="12"/>
      <c r="F1" s="12"/>
      <c r="G1" s="27">
        <f ca="1">TODAY()</f>
        <v>45131</v>
      </c>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ht="40" customHeight="1" spans="3:41">
      <c r="C2" s="4" t="s">
        <v>32</v>
      </c>
      <c r="D2" s="21"/>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ht="30" customHeight="1" spans="3:41">
      <c r="C3" s="12"/>
      <c r="D3" s="21"/>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ht="30" customHeight="1" spans="3:41">
      <c r="C4" s="17" t="s">
        <v>33</v>
      </c>
      <c r="D4" s="22" t="s">
        <v>34</v>
      </c>
      <c r="E4" s="17" t="s">
        <v>35</v>
      </c>
      <c r="F4" s="17">
        <v>1</v>
      </c>
      <c r="G4" s="17">
        <v>2</v>
      </c>
      <c r="H4" s="17">
        <v>3</v>
      </c>
      <c r="I4" s="17">
        <v>4</v>
      </c>
      <c r="J4" s="17">
        <v>5</v>
      </c>
      <c r="K4" s="17">
        <v>6</v>
      </c>
      <c r="L4" s="17">
        <v>7</v>
      </c>
      <c r="M4" s="17">
        <v>8</v>
      </c>
      <c r="N4" s="17">
        <v>9</v>
      </c>
      <c r="O4" s="17">
        <v>10</v>
      </c>
      <c r="P4" s="17">
        <v>11</v>
      </c>
      <c r="Q4" s="17">
        <v>12</v>
      </c>
      <c r="R4" s="17">
        <v>13</v>
      </c>
      <c r="S4" s="17">
        <v>14</v>
      </c>
      <c r="T4" s="17">
        <v>15</v>
      </c>
      <c r="U4" s="17">
        <v>16</v>
      </c>
      <c r="V4" s="17">
        <v>17</v>
      </c>
      <c r="W4" s="17">
        <v>18</v>
      </c>
      <c r="X4" s="17">
        <v>19</v>
      </c>
      <c r="Y4" s="17">
        <v>20</v>
      </c>
      <c r="Z4" s="17">
        <v>21</v>
      </c>
      <c r="AA4" s="17">
        <v>22</v>
      </c>
      <c r="AB4" s="17">
        <v>23</v>
      </c>
      <c r="AC4" s="17">
        <v>24</v>
      </c>
      <c r="AD4" s="17">
        <v>25</v>
      </c>
      <c r="AE4" s="17">
        <v>26</v>
      </c>
      <c r="AF4" s="17">
        <v>27</v>
      </c>
      <c r="AG4" s="17">
        <v>28</v>
      </c>
      <c r="AH4" s="17">
        <v>29</v>
      </c>
      <c r="AI4" s="17">
        <v>30</v>
      </c>
      <c r="AJ4" s="17">
        <v>31</v>
      </c>
      <c r="AK4" s="17" t="s">
        <v>36</v>
      </c>
      <c r="AL4" s="17" t="s">
        <v>37</v>
      </c>
      <c r="AM4" s="17" t="s">
        <v>38</v>
      </c>
      <c r="AN4" s="17" t="s">
        <v>39</v>
      </c>
      <c r="AO4" s="17" t="s">
        <v>40</v>
      </c>
    </row>
    <row r="5" customHeight="1" spans="2:41">
      <c r="B5">
        <v>768</v>
      </c>
      <c r="C5" s="8">
        <v>2023</v>
      </c>
      <c r="D5" s="8">
        <v>1</v>
      </c>
      <c r="E5" s="8" t="s">
        <v>41</v>
      </c>
      <c r="F5" s="8" t="s">
        <v>42</v>
      </c>
      <c r="G5" s="8" t="s">
        <v>43</v>
      </c>
      <c r="H5" s="8" t="s">
        <v>43</v>
      </c>
      <c r="I5" s="8" t="s">
        <v>43</v>
      </c>
      <c r="J5" s="8" t="s">
        <v>43</v>
      </c>
      <c r="K5" s="8" t="s">
        <v>43</v>
      </c>
      <c r="L5" s="8" t="s">
        <v>43</v>
      </c>
      <c r="M5" s="8" t="s">
        <v>44</v>
      </c>
      <c r="N5" s="8" t="s">
        <v>43</v>
      </c>
      <c r="O5" s="8" t="s">
        <v>43</v>
      </c>
      <c r="P5" s="8" t="s">
        <v>43</v>
      </c>
      <c r="Q5" s="8" t="s">
        <v>43</v>
      </c>
      <c r="R5" s="8" t="s">
        <v>43</v>
      </c>
      <c r="S5" s="9" t="s">
        <v>45</v>
      </c>
      <c r="T5" s="8" t="s">
        <v>43</v>
      </c>
      <c r="U5" s="8" t="s">
        <v>43</v>
      </c>
      <c r="V5" s="8" t="s">
        <v>43</v>
      </c>
      <c r="W5" s="8" t="s">
        <v>43</v>
      </c>
      <c r="X5" s="8" t="s">
        <v>43</v>
      </c>
      <c r="Y5" s="8" t="s">
        <v>43</v>
      </c>
      <c r="Z5" s="8" t="s">
        <v>43</v>
      </c>
      <c r="AA5" s="8" t="s">
        <v>43</v>
      </c>
      <c r="AB5" s="8" t="s">
        <v>43</v>
      </c>
      <c r="AC5" s="8" t="s">
        <v>43</v>
      </c>
      <c r="AD5" s="8" t="s">
        <v>43</v>
      </c>
      <c r="AE5" s="8" t="s">
        <v>43</v>
      </c>
      <c r="AF5" s="8" t="s">
        <v>43</v>
      </c>
      <c r="AG5" s="8" t="s">
        <v>43</v>
      </c>
      <c r="AH5" s="8" t="s">
        <v>43</v>
      </c>
      <c r="AI5" s="8" t="s">
        <v>43</v>
      </c>
      <c r="AJ5" s="8" t="s">
        <v>43</v>
      </c>
      <c r="AK5" s="8">
        <v>0</v>
      </c>
      <c r="AL5" s="8">
        <v>0</v>
      </c>
      <c r="AM5" s="8">
        <v>0</v>
      </c>
      <c r="AN5" s="8">
        <v>0</v>
      </c>
      <c r="AO5" s="8">
        <v>0</v>
      </c>
    </row>
    <row r="6" customHeight="1" spans="2:41">
      <c r="B6">
        <v>771</v>
      </c>
      <c r="C6" s="8">
        <v>2023</v>
      </c>
      <c r="D6" s="8">
        <v>2</v>
      </c>
      <c r="E6" s="8" t="s">
        <v>46</v>
      </c>
      <c r="F6" s="8" t="s">
        <v>43</v>
      </c>
      <c r="G6" s="8" t="s">
        <v>43</v>
      </c>
      <c r="H6" s="8" t="s">
        <v>43</v>
      </c>
      <c r="I6" s="8" t="s">
        <v>43</v>
      </c>
      <c r="J6" s="8" t="s">
        <v>43</v>
      </c>
      <c r="K6" s="8" t="s">
        <v>43</v>
      </c>
      <c r="L6" s="8" t="s">
        <v>43</v>
      </c>
      <c r="M6" s="8" t="s">
        <v>43</v>
      </c>
      <c r="N6" s="8" t="s">
        <v>43</v>
      </c>
      <c r="O6" s="8" t="s">
        <v>43</v>
      </c>
      <c r="P6" s="8" t="s">
        <v>42</v>
      </c>
      <c r="Q6" s="8" t="s">
        <v>43</v>
      </c>
      <c r="R6" s="8" t="s">
        <v>43</v>
      </c>
      <c r="S6" s="8" t="s">
        <v>43</v>
      </c>
      <c r="T6" s="8" t="s">
        <v>43</v>
      </c>
      <c r="U6" s="8" t="s">
        <v>43</v>
      </c>
      <c r="V6" s="8" t="s">
        <v>43</v>
      </c>
      <c r="W6" s="8" t="s">
        <v>43</v>
      </c>
      <c r="X6" s="8" t="s">
        <v>43</v>
      </c>
      <c r="Y6" s="8" t="s">
        <v>44</v>
      </c>
      <c r="Z6" s="8" t="s">
        <v>43</v>
      </c>
      <c r="AA6" s="8" t="s">
        <v>43</v>
      </c>
      <c r="AB6" s="8" t="s">
        <v>43</v>
      </c>
      <c r="AC6" s="8" t="s">
        <v>43</v>
      </c>
      <c r="AD6" s="8" t="s">
        <v>43</v>
      </c>
      <c r="AE6" s="8" t="s">
        <v>43</v>
      </c>
      <c r="AF6" s="8" t="s">
        <v>43</v>
      </c>
      <c r="AG6" s="8" t="s">
        <v>43</v>
      </c>
      <c r="AH6" s="8" t="s">
        <v>43</v>
      </c>
      <c r="AI6" s="8" t="s">
        <v>43</v>
      </c>
      <c r="AJ6" s="8" t="s">
        <v>43</v>
      </c>
      <c r="AK6" s="8">
        <v>0</v>
      </c>
      <c r="AL6" s="8">
        <v>0</v>
      </c>
      <c r="AM6" s="8">
        <v>0</v>
      </c>
      <c r="AN6" s="8">
        <v>0</v>
      </c>
      <c r="AO6" s="8">
        <v>0</v>
      </c>
    </row>
    <row r="7" customHeight="1" spans="2:41">
      <c r="B7">
        <v>772</v>
      </c>
      <c r="C7" s="8">
        <v>2023</v>
      </c>
      <c r="D7" s="8">
        <v>4</v>
      </c>
      <c r="E7" s="8" t="s">
        <v>47</v>
      </c>
      <c r="F7" s="8" t="s">
        <v>43</v>
      </c>
      <c r="G7" s="8" t="s">
        <v>43</v>
      </c>
      <c r="H7" s="8" t="s">
        <v>43</v>
      </c>
      <c r="I7" s="8" t="s">
        <v>43</v>
      </c>
      <c r="J7" s="8" t="s">
        <v>43</v>
      </c>
      <c r="K7" s="8" t="s">
        <v>43</v>
      </c>
      <c r="L7" s="8" t="s">
        <v>43</v>
      </c>
      <c r="M7" s="8" t="s">
        <v>43</v>
      </c>
      <c r="N7" s="8" t="s">
        <v>43</v>
      </c>
      <c r="O7" s="8" t="s">
        <v>43</v>
      </c>
      <c r="P7" s="8" t="s">
        <v>43</v>
      </c>
      <c r="Q7" s="8" t="s">
        <v>43</v>
      </c>
      <c r="R7" s="8" t="s">
        <v>43</v>
      </c>
      <c r="S7" s="8" t="s">
        <v>43</v>
      </c>
      <c r="T7" s="8" t="s">
        <v>43</v>
      </c>
      <c r="U7" s="8" t="s">
        <v>43</v>
      </c>
      <c r="V7" s="8" t="s">
        <v>43</v>
      </c>
      <c r="W7" s="8" t="s">
        <v>43</v>
      </c>
      <c r="X7" s="8" t="s">
        <v>43</v>
      </c>
      <c r="Y7" s="8" t="s">
        <v>43</v>
      </c>
      <c r="Z7" s="8" t="s">
        <v>43</v>
      </c>
      <c r="AA7" s="8" t="s">
        <v>43</v>
      </c>
      <c r="AB7" s="8" t="s">
        <v>43</v>
      </c>
      <c r="AC7" s="8" t="s">
        <v>43</v>
      </c>
      <c r="AD7" s="8" t="s">
        <v>43</v>
      </c>
      <c r="AE7" s="8" t="s">
        <v>43</v>
      </c>
      <c r="AF7" s="8" t="s">
        <v>43</v>
      </c>
      <c r="AG7" s="8" t="s">
        <v>43</v>
      </c>
      <c r="AH7" s="8" t="s">
        <v>43</v>
      </c>
      <c r="AI7" s="8" t="s">
        <v>43</v>
      </c>
      <c r="AJ7" s="8" t="s">
        <v>43</v>
      </c>
      <c r="AK7" s="8">
        <v>0</v>
      </c>
      <c r="AL7" s="8">
        <v>0</v>
      </c>
      <c r="AM7" s="8">
        <v>0</v>
      </c>
      <c r="AN7" s="8">
        <v>0</v>
      </c>
      <c r="AO7" s="8">
        <v>0</v>
      </c>
    </row>
    <row r="8" customHeight="1" spans="2:41">
      <c r="B8">
        <v>773</v>
      </c>
      <c r="C8" s="8">
        <v>2023</v>
      </c>
      <c r="D8" s="8">
        <v>1</v>
      </c>
      <c r="E8" s="8" t="s">
        <v>48</v>
      </c>
      <c r="F8" s="8" t="s">
        <v>43</v>
      </c>
      <c r="G8" s="8" t="s">
        <v>43</v>
      </c>
      <c r="H8" s="8" t="s">
        <v>43</v>
      </c>
      <c r="I8" s="8" t="s">
        <v>43</v>
      </c>
      <c r="J8" s="8" t="s">
        <v>43</v>
      </c>
      <c r="K8" s="8" t="s">
        <v>43</v>
      </c>
      <c r="L8" s="8" t="s">
        <v>43</v>
      </c>
      <c r="M8" s="8" t="s">
        <v>43</v>
      </c>
      <c r="N8" s="8" t="s">
        <v>43</v>
      </c>
      <c r="O8" s="8" t="s">
        <v>43</v>
      </c>
      <c r="P8" s="8" t="s">
        <v>43</v>
      </c>
      <c r="Q8" s="8" t="s">
        <v>43</v>
      </c>
      <c r="R8" s="8" t="s">
        <v>43</v>
      </c>
      <c r="S8" s="8" t="s">
        <v>43</v>
      </c>
      <c r="T8" s="8" t="s">
        <v>43</v>
      </c>
      <c r="U8" s="8" t="s">
        <v>43</v>
      </c>
      <c r="V8" s="8" t="s">
        <v>43</v>
      </c>
      <c r="W8" s="8" t="s">
        <v>43</v>
      </c>
      <c r="X8" s="8" t="s">
        <v>43</v>
      </c>
      <c r="Y8" s="8" t="s">
        <v>43</v>
      </c>
      <c r="Z8" s="8" t="s">
        <v>43</v>
      </c>
      <c r="AA8" s="8" t="s">
        <v>43</v>
      </c>
      <c r="AB8" s="8" t="s">
        <v>43</v>
      </c>
      <c r="AC8" s="8" t="s">
        <v>43</v>
      </c>
      <c r="AD8" s="8" t="s">
        <v>43</v>
      </c>
      <c r="AE8" s="8" t="s">
        <v>43</v>
      </c>
      <c r="AF8" s="8" t="s">
        <v>43</v>
      </c>
      <c r="AG8" s="8" t="s">
        <v>43</v>
      </c>
      <c r="AH8" s="8" t="s">
        <v>43</v>
      </c>
      <c r="AI8" s="8" t="s">
        <v>43</v>
      </c>
      <c r="AJ8" s="8" t="s">
        <v>43</v>
      </c>
      <c r="AK8" s="8">
        <v>0</v>
      </c>
      <c r="AL8" s="8">
        <v>0</v>
      </c>
      <c r="AM8" s="8">
        <v>0</v>
      </c>
      <c r="AN8" s="8">
        <v>0</v>
      </c>
      <c r="AO8" s="8">
        <v>0</v>
      </c>
    </row>
    <row r="9" customHeight="1" spans="2:41">
      <c r="B9">
        <v>774</v>
      </c>
      <c r="C9" s="8">
        <v>2023</v>
      </c>
      <c r="D9" s="8">
        <v>4</v>
      </c>
      <c r="E9" s="8" t="s">
        <v>49</v>
      </c>
      <c r="F9" s="8" t="s">
        <v>43</v>
      </c>
      <c r="G9" s="8" t="s">
        <v>43</v>
      </c>
      <c r="H9" s="8" t="s">
        <v>43</v>
      </c>
      <c r="I9" s="8" t="s">
        <v>43</v>
      </c>
      <c r="J9" s="8" t="s">
        <v>43</v>
      </c>
      <c r="K9" s="8" t="s">
        <v>43</v>
      </c>
      <c r="L9" s="8" t="s">
        <v>43</v>
      </c>
      <c r="M9" s="8" t="s">
        <v>43</v>
      </c>
      <c r="N9" s="8" t="s">
        <v>43</v>
      </c>
      <c r="O9" s="8" t="s">
        <v>43</v>
      </c>
      <c r="P9" s="8" t="s">
        <v>43</v>
      </c>
      <c r="Q9" s="8" t="s">
        <v>43</v>
      </c>
      <c r="R9" s="8" t="s">
        <v>43</v>
      </c>
      <c r="S9" s="8" t="s">
        <v>43</v>
      </c>
      <c r="T9" s="8" t="s">
        <v>43</v>
      </c>
      <c r="U9" s="8" t="s">
        <v>43</v>
      </c>
      <c r="V9" s="8" t="s">
        <v>43</v>
      </c>
      <c r="W9" s="8" t="s">
        <v>43</v>
      </c>
      <c r="X9" s="8" t="s">
        <v>43</v>
      </c>
      <c r="Y9" s="8" t="s">
        <v>43</v>
      </c>
      <c r="Z9" s="8" t="s">
        <v>43</v>
      </c>
      <c r="AA9" s="8" t="s">
        <v>43</v>
      </c>
      <c r="AB9" s="8" t="s">
        <v>43</v>
      </c>
      <c r="AC9" s="8" t="s">
        <v>43</v>
      </c>
      <c r="AD9" s="8" t="s">
        <v>43</v>
      </c>
      <c r="AE9" s="8" t="s">
        <v>43</v>
      </c>
      <c r="AF9" s="8" t="s">
        <v>43</v>
      </c>
      <c r="AG9" s="8" t="s">
        <v>43</v>
      </c>
      <c r="AH9" s="8" t="s">
        <v>43</v>
      </c>
      <c r="AI9" s="8" t="s">
        <v>43</v>
      </c>
      <c r="AJ9" s="8" t="s">
        <v>43</v>
      </c>
      <c r="AK9" s="8">
        <v>0</v>
      </c>
      <c r="AL9" s="8">
        <v>0</v>
      </c>
      <c r="AM9" s="8">
        <v>0</v>
      </c>
      <c r="AN9" s="8">
        <v>0</v>
      </c>
      <c r="AO9" s="8">
        <v>0</v>
      </c>
    </row>
    <row r="10" customHeight="1" spans="2:41">
      <c r="B10">
        <v>775</v>
      </c>
      <c r="C10" s="8">
        <v>2023</v>
      </c>
      <c r="D10" s="8">
        <v>4</v>
      </c>
      <c r="E10" s="8" t="s">
        <v>50</v>
      </c>
      <c r="F10" s="8" t="s">
        <v>43</v>
      </c>
      <c r="G10" s="8" t="s">
        <v>43</v>
      </c>
      <c r="H10" s="8" t="s">
        <v>43</v>
      </c>
      <c r="I10" s="8" t="s">
        <v>43</v>
      </c>
      <c r="J10" s="8" t="s">
        <v>43</v>
      </c>
      <c r="K10" s="8" t="s">
        <v>43</v>
      </c>
      <c r="L10" s="8" t="s">
        <v>43</v>
      </c>
      <c r="M10" s="8" t="s">
        <v>43</v>
      </c>
      <c r="N10" s="8" t="s">
        <v>43</v>
      </c>
      <c r="O10" s="8" t="s">
        <v>43</v>
      </c>
      <c r="P10" s="8" t="s">
        <v>43</v>
      </c>
      <c r="Q10" s="8" t="s">
        <v>43</v>
      </c>
      <c r="R10" s="8" t="s">
        <v>43</v>
      </c>
      <c r="S10" s="8" t="s">
        <v>43</v>
      </c>
      <c r="T10" s="8" t="s">
        <v>43</v>
      </c>
      <c r="U10" s="8" t="s">
        <v>43</v>
      </c>
      <c r="V10" s="8" t="s">
        <v>43</v>
      </c>
      <c r="W10" s="8" t="s">
        <v>43</v>
      </c>
      <c r="X10" s="8" t="s">
        <v>43</v>
      </c>
      <c r="Y10" s="8" t="s">
        <v>43</v>
      </c>
      <c r="Z10" s="8" t="s">
        <v>43</v>
      </c>
      <c r="AA10" s="8" t="s">
        <v>43</v>
      </c>
      <c r="AB10" s="8" t="s">
        <v>43</v>
      </c>
      <c r="AC10" s="8" t="s">
        <v>43</v>
      </c>
      <c r="AD10" s="8" t="s">
        <v>43</v>
      </c>
      <c r="AE10" s="8" t="s">
        <v>43</v>
      </c>
      <c r="AF10" s="8" t="s">
        <v>43</v>
      </c>
      <c r="AG10" s="8" t="s">
        <v>43</v>
      </c>
      <c r="AH10" s="8" t="s">
        <v>43</v>
      </c>
      <c r="AI10" s="8" t="s">
        <v>43</v>
      </c>
      <c r="AJ10" s="8" t="s">
        <v>43</v>
      </c>
      <c r="AK10" s="8">
        <v>0</v>
      </c>
      <c r="AL10" s="8">
        <v>0</v>
      </c>
      <c r="AM10" s="8">
        <v>0</v>
      </c>
      <c r="AN10" s="8">
        <v>0</v>
      </c>
      <c r="AO10" s="8">
        <v>0</v>
      </c>
    </row>
    <row r="11" customHeight="1" spans="2:5">
      <c r="B11">
        <v>784</v>
      </c>
      <c r="C11" s="8">
        <v>2023</v>
      </c>
      <c r="D11" s="8">
        <v>6</v>
      </c>
      <c r="E11" s="8" t="s">
        <v>51</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2 C13:E13 C14:Z1048576">
    <cfRule type="expression" dxfId="0" priority="43">
      <formula>MOD(ROW(),2)=0</formula>
    </cfRule>
  </conditionalFormatting>
  <conditionalFormatting sqref="AA5:AA12 AA14:AA1048576">
    <cfRule type="expression" dxfId="0" priority="42">
      <formula>MOD(ROW(),2)=0</formula>
    </cfRule>
  </conditionalFormatting>
  <conditionalFormatting sqref="AB5:AB12 AB14:AB1048576">
    <cfRule type="expression" dxfId="0" priority="41">
      <formula>MOD(ROW(),2)=0</formula>
    </cfRule>
  </conditionalFormatting>
  <conditionalFormatting sqref="AC5:AC12 AC14:AC1048576">
    <cfRule type="expression" dxfId="0" priority="40">
      <formula>MOD(ROW(),2)=0</formula>
    </cfRule>
  </conditionalFormatting>
  <conditionalFormatting sqref="AD5:AD12 AD14:AD1048576">
    <cfRule type="expression" dxfId="0" priority="39">
      <formula>MOD(ROW(),2)=0</formula>
    </cfRule>
  </conditionalFormatting>
  <conditionalFormatting sqref="AE5:AE12 AE14:AE1048576">
    <cfRule type="expression" dxfId="0" priority="38">
      <formula>MOD(ROW(),2)=0</formula>
    </cfRule>
  </conditionalFormatting>
  <conditionalFormatting sqref="AF5:AF12 AF14:AF1048576">
    <cfRule type="expression" dxfId="0" priority="37">
      <formula>MOD(ROW(),2)=0</formula>
    </cfRule>
  </conditionalFormatting>
  <conditionalFormatting sqref="AG5:AG12 AG14:AG1048576">
    <cfRule type="expression" dxfId="0" priority="36">
      <formula>MOD(ROW(),2)=0</formula>
    </cfRule>
  </conditionalFormatting>
  <conditionalFormatting sqref="AH5:AH12 AH14:AH1048576">
    <cfRule type="expression" dxfId="0" priority="35">
      <formula>MOD(ROW(),2)=0</formula>
    </cfRule>
  </conditionalFormatting>
  <conditionalFormatting sqref="AI5:AI12 AI14:AI1048576">
    <cfRule type="expression" dxfId="0" priority="34">
      <formula>MOD(ROW(),2)=0</formula>
    </cfRule>
  </conditionalFormatting>
  <conditionalFormatting sqref="AJ5: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F13:AJ13 F5:AJ12 F14:AJ1048576">
      <formula1>"-,出勤,旷勤,请假,迟到,早退"</formula1>
    </dataValidation>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H9" sqref="H9"/>
    </sheetView>
  </sheetViews>
  <sheetFormatPr defaultColWidth="9" defaultRowHeight="20" customHeight="1"/>
  <cols>
    <col min="1" max="1" width="4.625" customWidth="1"/>
    <col min="2" max="2" width="4.625" hidden="1" customWidth="1"/>
    <col min="3" max="5" width="12.625" style="24" customWidth="1"/>
    <col min="6" max="7" width="12.625" style="10" customWidth="1"/>
    <col min="8" max="8" width="20" style="10" customWidth="1"/>
    <col min="9" max="10" width="12.625" style="24" customWidth="1"/>
    <col min="11" max="11" width="12.625" style="10" customWidth="1"/>
    <col min="12" max="17" width="12.625" style="24" customWidth="1"/>
    <col min="18" max="18" width="22.75" style="10" customWidth="1"/>
    <col min="19" max="26" width="12.625" style="24" customWidth="1"/>
    <col min="27" max="27" width="21.625" style="24" customWidth="1"/>
    <col min="28" max="28" width="22" style="24" customWidth="1"/>
    <col min="29" max="29" width="12.625" style="24" customWidth="1"/>
    <col min="30" max="30" width="22.25" style="24" customWidth="1"/>
  </cols>
  <sheetData>
    <row r="1" ht="54.75" customHeight="1" spans="3:30">
      <c r="C1"/>
      <c r="D1"/>
      <c r="E1"/>
      <c r="F1" s="15"/>
      <c r="G1" s="15"/>
      <c r="H1" s="15"/>
      <c r="I1"/>
      <c r="J1"/>
      <c r="K1" s="15"/>
      <c r="L1"/>
      <c r="M1"/>
      <c r="N1"/>
      <c r="O1"/>
      <c r="P1"/>
      <c r="Q1"/>
      <c r="R1" s="15"/>
      <c r="S1"/>
      <c r="T1"/>
      <c r="U1"/>
      <c r="V1"/>
      <c r="W1"/>
      <c r="X1"/>
      <c r="Y1"/>
      <c r="Z1"/>
      <c r="AA1"/>
      <c r="AB1"/>
      <c r="AC1"/>
      <c r="AD1"/>
    </row>
    <row r="2" ht="40" customHeight="1" spans="3:30">
      <c r="C2" s="4" t="s">
        <v>52</v>
      </c>
      <c r="D2"/>
      <c r="E2"/>
      <c r="F2" s="15"/>
      <c r="G2" s="15"/>
      <c r="H2" s="15"/>
      <c r="I2"/>
      <c r="J2"/>
      <c r="K2" s="15"/>
      <c r="L2"/>
      <c r="M2"/>
      <c r="N2"/>
      <c r="O2"/>
      <c r="P2"/>
      <c r="Q2"/>
      <c r="R2" s="15"/>
      <c r="S2"/>
      <c r="T2"/>
      <c r="U2"/>
      <c r="V2"/>
      <c r="W2"/>
      <c r="X2"/>
      <c r="Y2"/>
      <c r="Z2" s="13"/>
      <c r="AA2"/>
      <c r="AB2"/>
      <c r="AC2"/>
      <c r="AD2"/>
    </row>
    <row r="3" ht="30" customHeight="1" spans="3:30">
      <c r="C3"/>
      <c r="D3"/>
      <c r="E3"/>
      <c r="F3" s="15"/>
      <c r="G3" s="15"/>
      <c r="H3" s="15"/>
      <c r="I3"/>
      <c r="J3"/>
      <c r="K3" s="15"/>
      <c r="L3"/>
      <c r="M3"/>
      <c r="N3"/>
      <c r="O3"/>
      <c r="P3"/>
      <c r="Q3"/>
      <c r="R3" s="15"/>
      <c r="S3"/>
      <c r="T3"/>
      <c r="U3"/>
      <c r="V3"/>
      <c r="W3"/>
      <c r="X3"/>
      <c r="Y3"/>
      <c r="Z3" s="13"/>
      <c r="AA3"/>
      <c r="AB3"/>
      <c r="AC3"/>
      <c r="AD3"/>
    </row>
    <row r="4" ht="30" customHeight="1" spans="3:30">
      <c r="C4" s="25" t="s">
        <v>35</v>
      </c>
      <c r="D4" s="25" t="s">
        <v>53</v>
      </c>
      <c r="E4" s="25" t="s">
        <v>54</v>
      </c>
      <c r="F4" s="18" t="s">
        <v>55</v>
      </c>
      <c r="G4" s="18" t="s">
        <v>56</v>
      </c>
      <c r="H4" s="18" t="s">
        <v>57</v>
      </c>
      <c r="I4" s="25" t="s">
        <v>58</v>
      </c>
      <c r="J4" s="25" t="s">
        <v>59</v>
      </c>
      <c r="K4" s="18" t="s">
        <v>60</v>
      </c>
      <c r="L4" s="25" t="s">
        <v>61</v>
      </c>
      <c r="M4" s="26" t="s">
        <v>62</v>
      </c>
      <c r="N4" s="25" t="s">
        <v>63</v>
      </c>
      <c r="O4" s="25" t="s">
        <v>64</v>
      </c>
      <c r="P4" s="25" t="s">
        <v>65</v>
      </c>
      <c r="Q4" s="25" t="s">
        <v>66</v>
      </c>
      <c r="R4" s="18" t="s">
        <v>67</v>
      </c>
      <c r="S4" s="26" t="s">
        <v>68</v>
      </c>
      <c r="T4" s="25" t="s">
        <v>69</v>
      </c>
      <c r="U4" s="25" t="s">
        <v>70</v>
      </c>
      <c r="V4" s="25" t="s">
        <v>71</v>
      </c>
      <c r="W4" s="25" t="s">
        <v>72</v>
      </c>
      <c r="X4" s="25" t="s">
        <v>73</v>
      </c>
      <c r="Y4" s="25" t="s">
        <v>74</v>
      </c>
      <c r="Z4" s="26" t="s">
        <v>75</v>
      </c>
      <c r="AA4" s="25" t="s">
        <v>76</v>
      </c>
      <c r="AB4" s="25" t="s">
        <v>77</v>
      </c>
      <c r="AC4" s="25" t="s">
        <v>78</v>
      </c>
      <c r="AD4" s="25" t="s">
        <v>79</v>
      </c>
    </row>
    <row r="5" customHeight="1" spans="2:30">
      <c r="B5">
        <v>76</v>
      </c>
      <c r="C5" s="24" t="s">
        <v>80</v>
      </c>
      <c r="D5" s="24" t="s">
        <v>81</v>
      </c>
      <c r="E5" s="24" t="s">
        <v>82</v>
      </c>
      <c r="F5" s="10" t="s">
        <v>83</v>
      </c>
      <c r="G5" s="10" t="s">
        <v>83</v>
      </c>
      <c r="H5" s="10" t="s">
        <v>84</v>
      </c>
      <c r="I5" s="24" t="s">
        <v>85</v>
      </c>
      <c r="J5" s="24" t="s">
        <v>86</v>
      </c>
      <c r="K5" s="10" t="s">
        <v>87</v>
      </c>
      <c r="L5" s="24" t="s">
        <v>88</v>
      </c>
      <c r="M5" s="9">
        <v>36526</v>
      </c>
      <c r="N5" s="24" t="s">
        <v>89</v>
      </c>
      <c r="O5" s="24" t="s">
        <v>90</v>
      </c>
      <c r="P5" s="24">
        <v>9000</v>
      </c>
      <c r="Q5" s="24">
        <v>2000</v>
      </c>
      <c r="R5" s="10" t="s">
        <v>91</v>
      </c>
      <c r="S5" s="9">
        <v>43922</v>
      </c>
      <c r="T5" s="24">
        <v>3</v>
      </c>
      <c r="Z5" s="9"/>
      <c r="AD5" s="24" t="s">
        <v>92</v>
      </c>
    </row>
    <row r="6" customHeight="1" spans="2:30">
      <c r="B6">
        <v>94</v>
      </c>
      <c r="C6" s="24" t="s">
        <v>93</v>
      </c>
      <c r="D6" s="24" t="s">
        <v>81</v>
      </c>
      <c r="E6" s="24" t="s">
        <v>94</v>
      </c>
      <c r="F6" s="10" t="s">
        <v>95</v>
      </c>
      <c r="G6" s="10" t="s">
        <v>95</v>
      </c>
      <c r="H6" s="10" t="s">
        <v>96</v>
      </c>
      <c r="I6" s="24" t="s">
        <v>85</v>
      </c>
      <c r="J6" s="24" t="s">
        <v>86</v>
      </c>
      <c r="K6" s="10" t="s">
        <v>97</v>
      </c>
      <c r="L6" s="24" t="s">
        <v>88</v>
      </c>
      <c r="M6" s="9">
        <v>36047</v>
      </c>
      <c r="N6" s="24" t="s">
        <v>89</v>
      </c>
      <c r="O6" s="24" t="s">
        <v>90</v>
      </c>
      <c r="P6" s="24">
        <v>6000</v>
      </c>
      <c r="Q6" s="24">
        <v>2000</v>
      </c>
      <c r="R6" s="10" t="s">
        <v>98</v>
      </c>
      <c r="S6" s="9">
        <v>43908</v>
      </c>
      <c r="T6" s="24">
        <v>3</v>
      </c>
      <c r="Z6" s="9"/>
      <c r="AD6" s="24" t="s">
        <v>99</v>
      </c>
    </row>
    <row r="7" customHeight="1" spans="2:30">
      <c r="B7">
        <v>108</v>
      </c>
      <c r="C7" s="24" t="s">
        <v>46</v>
      </c>
      <c r="D7" s="24" t="s">
        <v>81</v>
      </c>
      <c r="E7" s="24" t="s">
        <v>100</v>
      </c>
      <c r="F7" s="10" t="s">
        <v>101</v>
      </c>
      <c r="G7" s="10" t="s">
        <v>101</v>
      </c>
      <c r="H7" s="10" t="s">
        <v>102</v>
      </c>
      <c r="I7" s="24" t="s">
        <v>85</v>
      </c>
      <c r="J7" s="24" t="s">
        <v>86</v>
      </c>
      <c r="K7" s="10" t="s">
        <v>103</v>
      </c>
      <c r="L7" s="24" t="s">
        <v>88</v>
      </c>
      <c r="M7" s="9">
        <v>34859</v>
      </c>
      <c r="N7" s="24" t="s">
        <v>89</v>
      </c>
      <c r="O7" s="24" t="s">
        <v>90</v>
      </c>
      <c r="P7" s="24">
        <v>5000</v>
      </c>
      <c r="Q7" s="24">
        <v>2000</v>
      </c>
      <c r="R7" s="10" t="s">
        <v>104</v>
      </c>
      <c r="S7" s="9">
        <v>44378</v>
      </c>
      <c r="T7" s="24">
        <v>2</v>
      </c>
      <c r="Z7" s="9"/>
      <c r="AD7" s="24" t="s">
        <v>105</v>
      </c>
    </row>
    <row r="8" customHeight="1" spans="2:30">
      <c r="B8">
        <v>174</v>
      </c>
      <c r="C8" s="24" t="s">
        <v>41</v>
      </c>
      <c r="D8" s="24" t="s">
        <v>106</v>
      </c>
      <c r="E8" s="24" t="s">
        <v>82</v>
      </c>
      <c r="F8" s="10" t="s">
        <v>107</v>
      </c>
      <c r="G8" s="10" t="s">
        <v>107</v>
      </c>
      <c r="H8" s="10" t="s">
        <v>108</v>
      </c>
      <c r="I8" s="24" t="s">
        <v>85</v>
      </c>
      <c r="J8" s="24" t="s">
        <v>109</v>
      </c>
      <c r="K8" s="10" t="s">
        <v>110</v>
      </c>
      <c r="L8" s="24" t="s">
        <v>111</v>
      </c>
      <c r="M8" s="9">
        <v>38204</v>
      </c>
      <c r="N8" s="24" t="s">
        <v>89</v>
      </c>
      <c r="O8" s="24" t="s">
        <v>90</v>
      </c>
      <c r="P8" s="24">
        <v>3000</v>
      </c>
      <c r="Q8" s="24">
        <v>200</v>
      </c>
      <c r="R8" s="10" t="s">
        <v>112</v>
      </c>
      <c r="S8" s="9">
        <v>45017</v>
      </c>
      <c r="T8" s="24">
        <v>1</v>
      </c>
      <c r="Z8" s="9"/>
      <c r="AD8" s="9" t="s">
        <v>113</v>
      </c>
    </row>
    <row r="9" customHeight="1" spans="2:30">
      <c r="B9">
        <v>175</v>
      </c>
      <c r="C9" s="24" t="s">
        <v>114</v>
      </c>
      <c r="D9" s="24" t="s">
        <v>81</v>
      </c>
      <c r="E9" s="24" t="s">
        <v>82</v>
      </c>
      <c r="F9" s="10" t="s">
        <v>115</v>
      </c>
      <c r="G9" s="10" t="s">
        <v>115</v>
      </c>
      <c r="H9" s="10" t="s">
        <v>116</v>
      </c>
      <c r="I9" s="24" t="s">
        <v>85</v>
      </c>
      <c r="J9" s="24" t="s">
        <v>109</v>
      </c>
      <c r="K9" s="10" t="s">
        <v>117</v>
      </c>
      <c r="L9" s="24" t="s">
        <v>88</v>
      </c>
      <c r="M9" s="9">
        <v>32998</v>
      </c>
      <c r="N9" s="24" t="s">
        <v>118</v>
      </c>
      <c r="O9" s="24" t="s">
        <v>90</v>
      </c>
      <c r="P9" s="24">
        <v>5000</v>
      </c>
      <c r="Q9" s="24">
        <v>450</v>
      </c>
      <c r="R9" s="10" t="s">
        <v>112</v>
      </c>
      <c r="S9" s="9">
        <v>43020</v>
      </c>
      <c r="T9" s="24">
        <v>6</v>
      </c>
      <c r="Z9" s="9"/>
      <c r="AD9" s="24" t="s">
        <v>119</v>
      </c>
    </row>
    <row r="10" customHeight="1" spans="2:30">
      <c r="B10">
        <v>176</v>
      </c>
      <c r="C10" s="24" t="s">
        <v>120</v>
      </c>
      <c r="D10" s="24" t="s">
        <v>106</v>
      </c>
      <c r="E10" s="24" t="s">
        <v>94</v>
      </c>
      <c r="F10" s="10" t="s">
        <v>121</v>
      </c>
      <c r="G10" s="10" t="s">
        <v>121</v>
      </c>
      <c r="H10" s="10" t="s">
        <v>122</v>
      </c>
      <c r="I10" s="24" t="s">
        <v>123</v>
      </c>
      <c r="J10" s="24" t="s">
        <v>109</v>
      </c>
      <c r="K10" s="10" t="s">
        <v>124</v>
      </c>
      <c r="L10" s="24" t="s">
        <v>111</v>
      </c>
      <c r="M10" s="9">
        <v>36915</v>
      </c>
      <c r="N10" s="24" t="s">
        <v>89</v>
      </c>
      <c r="O10" s="24" t="s">
        <v>90</v>
      </c>
      <c r="P10" s="24">
        <v>3000</v>
      </c>
      <c r="Q10" s="24">
        <v>200</v>
      </c>
      <c r="R10" s="10" t="s">
        <v>125</v>
      </c>
      <c r="S10" s="9">
        <v>43922</v>
      </c>
      <c r="T10" s="24">
        <v>3</v>
      </c>
      <c r="Z10" s="9"/>
      <c r="AD10" s="9">
        <v>43922</v>
      </c>
    </row>
    <row r="11" customHeight="1" spans="2:30">
      <c r="B11">
        <v>177</v>
      </c>
      <c r="C11" s="24" t="s">
        <v>48</v>
      </c>
      <c r="D11" s="24" t="s">
        <v>106</v>
      </c>
      <c r="E11" s="24" t="s">
        <v>82</v>
      </c>
      <c r="F11" s="10" t="s">
        <v>126</v>
      </c>
      <c r="G11" s="10" t="s">
        <v>126</v>
      </c>
      <c r="H11" s="10" t="s">
        <v>127</v>
      </c>
      <c r="I11" s="24" t="s">
        <v>85</v>
      </c>
      <c r="J11" s="24" t="s">
        <v>86</v>
      </c>
      <c r="K11" s="10" t="s">
        <v>128</v>
      </c>
      <c r="L11" s="24" t="s">
        <v>111</v>
      </c>
      <c r="M11" s="9">
        <v>36894</v>
      </c>
      <c r="N11" s="24" t="s">
        <v>89</v>
      </c>
      <c r="O11" s="24" t="s">
        <v>90</v>
      </c>
      <c r="P11" s="24">
        <v>3000</v>
      </c>
      <c r="Q11" s="24">
        <v>200</v>
      </c>
      <c r="R11" s="10" t="s">
        <v>129</v>
      </c>
      <c r="S11" s="9">
        <v>43922</v>
      </c>
      <c r="T11" s="24">
        <v>3</v>
      </c>
      <c r="Z11" s="9"/>
      <c r="AD11" s="24" t="s">
        <v>130</v>
      </c>
    </row>
    <row r="12" customHeight="1" spans="2:30">
      <c r="B12">
        <v>178</v>
      </c>
      <c r="C12" s="24" t="s">
        <v>49</v>
      </c>
      <c r="D12" s="24" t="s">
        <v>131</v>
      </c>
      <c r="E12" s="24" t="s">
        <v>82</v>
      </c>
      <c r="F12" s="10" t="s">
        <v>132</v>
      </c>
      <c r="G12" s="10" t="s">
        <v>132</v>
      </c>
      <c r="H12" s="10" t="s">
        <v>133</v>
      </c>
      <c r="I12" s="24" t="s">
        <v>85</v>
      </c>
      <c r="J12" s="24" t="s">
        <v>109</v>
      </c>
      <c r="K12" s="10" t="s">
        <v>134</v>
      </c>
      <c r="L12" s="24" t="s">
        <v>111</v>
      </c>
      <c r="M12" s="9">
        <v>34235</v>
      </c>
      <c r="N12" s="24" t="s">
        <v>89</v>
      </c>
      <c r="O12" s="24" t="s">
        <v>90</v>
      </c>
      <c r="P12" s="24">
        <v>5000</v>
      </c>
      <c r="Q12" s="24">
        <v>200</v>
      </c>
      <c r="R12" s="10" t="s">
        <v>135</v>
      </c>
      <c r="S12" s="9">
        <v>45006</v>
      </c>
      <c r="T12" s="24">
        <v>1</v>
      </c>
      <c r="AD12" s="9" t="s">
        <v>136</v>
      </c>
    </row>
    <row r="13" customHeight="1" spans="2:30">
      <c r="B13">
        <v>179</v>
      </c>
      <c r="C13" s="24" t="s">
        <v>50</v>
      </c>
      <c r="D13" s="24" t="s">
        <v>137</v>
      </c>
      <c r="E13" s="24" t="s">
        <v>82</v>
      </c>
      <c r="F13" s="10" t="s">
        <v>138</v>
      </c>
      <c r="G13" s="10" t="s">
        <v>138</v>
      </c>
      <c r="H13" s="10" t="s">
        <v>139</v>
      </c>
      <c r="I13" s="24" t="s">
        <v>85</v>
      </c>
      <c r="J13" s="24" t="s">
        <v>109</v>
      </c>
      <c r="K13" s="10" t="s">
        <v>140</v>
      </c>
      <c r="L13" s="24" t="s">
        <v>111</v>
      </c>
      <c r="M13" s="9">
        <v>36872</v>
      </c>
      <c r="N13" s="24" t="s">
        <v>89</v>
      </c>
      <c r="O13" s="24" t="s">
        <v>90</v>
      </c>
      <c r="P13" s="24">
        <v>3000</v>
      </c>
      <c r="Q13" s="24">
        <v>300</v>
      </c>
      <c r="R13" s="10" t="s">
        <v>141</v>
      </c>
      <c r="S13" s="9">
        <v>45017</v>
      </c>
      <c r="T13" s="24">
        <v>1</v>
      </c>
      <c r="AD13" s="24" t="s">
        <v>142</v>
      </c>
    </row>
    <row r="14" customHeight="1" spans="13:30">
      <c r="M14" s="9"/>
      <c r="S14" s="9"/>
      <c r="AD14" s="9"/>
    </row>
  </sheetData>
  <conditionalFormatting sqref="AD5:AD1048576">
    <cfRule type="expression" dxfId="0" priority="1">
      <formula>MOD(ROW(),2)=0</formula>
    </cfRule>
  </conditionalFormatting>
  <conditionalFormatting sqref="C5:AC1048576">
    <cfRule type="expression" dxfId="0" priority="2">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CX13"/>
  <sheetViews>
    <sheetView workbookViewId="0">
      <selection activeCell="E2" sqref="E2"/>
    </sheetView>
  </sheetViews>
  <sheetFormatPr defaultColWidth="9" defaultRowHeight="14.25"/>
  <cols>
    <col min="25" max="25" width="12.625" style="15"/>
    <col min="26" max="26" width="11.5" style="16"/>
    <col min="29" max="29" width="12.625" style="15"/>
    <col min="81" max="81" width="11.5" style="12"/>
    <col min="82" max="82" width="9" style="12"/>
    <col min="83" max="83" width="12.375" style="16" customWidth="1"/>
    <col min="84" max="84" width="9" style="16"/>
  </cols>
  <sheetData>
    <row r="1" spans="1:102">
      <c r="A1" t="s">
        <v>143</v>
      </c>
      <c r="B1" t="s">
        <v>35</v>
      </c>
      <c r="C1" t="s">
        <v>55</v>
      </c>
      <c r="D1" t="s">
        <v>56</v>
      </c>
      <c r="E1" t="s">
        <v>144</v>
      </c>
      <c r="J1" t="s">
        <v>145</v>
      </c>
      <c r="K1" t="s">
        <v>146</v>
      </c>
      <c r="L1" t="s">
        <v>147</v>
      </c>
      <c r="M1" t="s">
        <v>148</v>
      </c>
      <c r="N1" t="s">
        <v>149</v>
      </c>
      <c r="O1" t="s">
        <v>150</v>
      </c>
      <c r="P1" t="s">
        <v>151</v>
      </c>
      <c r="V1" s="12" t="s">
        <v>35</v>
      </c>
      <c r="W1" s="12" t="s">
        <v>53</v>
      </c>
      <c r="X1" s="12" t="s">
        <v>152</v>
      </c>
      <c r="Y1" s="15" t="s">
        <v>57</v>
      </c>
      <c r="Z1" s="16" t="s">
        <v>68</v>
      </c>
      <c r="AA1" s="12" t="s">
        <v>65</v>
      </c>
      <c r="AB1" s="12" t="s">
        <v>66</v>
      </c>
      <c r="AC1" s="15" t="s">
        <v>153</v>
      </c>
      <c r="AI1" t="s">
        <v>53</v>
      </c>
      <c r="AJ1" t="s">
        <v>35</v>
      </c>
      <c r="AK1" t="s">
        <v>152</v>
      </c>
      <c r="AL1" t="s">
        <v>65</v>
      </c>
      <c r="AM1" t="s">
        <v>154</v>
      </c>
      <c r="AN1" t="s">
        <v>155</v>
      </c>
      <c r="AO1" t="s">
        <v>156</v>
      </c>
      <c r="AP1" t="s">
        <v>157</v>
      </c>
      <c r="AQ1" t="s">
        <v>158</v>
      </c>
      <c r="AR1" t="s">
        <v>159</v>
      </c>
      <c r="AS1" t="s">
        <v>160</v>
      </c>
      <c r="AT1" t="s">
        <v>161</v>
      </c>
      <c r="AU1" t="s">
        <v>162</v>
      </c>
      <c r="AV1" t="s">
        <v>163</v>
      </c>
      <c r="AW1" t="s">
        <v>164</v>
      </c>
      <c r="AX1" t="s">
        <v>40</v>
      </c>
      <c r="AY1" t="s">
        <v>165</v>
      </c>
      <c r="AZ1" t="s">
        <v>166</v>
      </c>
      <c r="BA1" t="s">
        <v>167</v>
      </c>
      <c r="BB1" t="s">
        <v>168</v>
      </c>
      <c r="BC1" t="s">
        <v>169</v>
      </c>
      <c r="BD1" t="s">
        <v>170</v>
      </c>
      <c r="BE1" t="s">
        <v>171</v>
      </c>
      <c r="BF1" t="s">
        <v>172</v>
      </c>
      <c r="BG1" t="s">
        <v>173</v>
      </c>
      <c r="BH1" t="s">
        <v>174</v>
      </c>
      <c r="BI1" t="s">
        <v>175</v>
      </c>
      <c r="BJ1" t="s">
        <v>176</v>
      </c>
      <c r="BK1" t="s">
        <v>177</v>
      </c>
      <c r="BL1" t="s">
        <v>178</v>
      </c>
      <c r="BM1" t="s">
        <v>179</v>
      </c>
      <c r="BN1" t="s">
        <v>180</v>
      </c>
      <c r="BO1" t="s">
        <v>181</v>
      </c>
      <c r="BP1" t="s">
        <v>182</v>
      </c>
      <c r="BQ1" t="s">
        <v>183</v>
      </c>
      <c r="BR1" t="s">
        <v>184</v>
      </c>
      <c r="BS1" t="s">
        <v>185</v>
      </c>
      <c r="BT1" t="s">
        <v>177</v>
      </c>
      <c r="BU1" t="s">
        <v>178</v>
      </c>
      <c r="BV1" t="s">
        <v>179</v>
      </c>
      <c r="BW1" t="s">
        <v>186</v>
      </c>
      <c r="BX1" t="s">
        <v>187</v>
      </c>
      <c r="BY1" t="s">
        <v>188</v>
      </c>
      <c r="BZ1" t="s">
        <v>189</v>
      </c>
      <c r="CA1" t="s">
        <v>190</v>
      </c>
      <c r="CB1" t="s">
        <v>191</v>
      </c>
      <c r="CC1" s="12" t="s">
        <v>192</v>
      </c>
      <c r="CD1" s="12" t="s">
        <v>193</v>
      </c>
      <c r="CE1" s="16" t="s">
        <v>194</v>
      </c>
      <c r="CF1"/>
      <c r="CK1" t="s">
        <v>35</v>
      </c>
      <c r="CL1" t="s">
        <v>53</v>
      </c>
      <c r="CM1" t="s">
        <v>152</v>
      </c>
      <c r="CN1" t="s">
        <v>171</v>
      </c>
      <c r="CO1" t="s">
        <v>181</v>
      </c>
      <c r="CP1" t="s">
        <v>195</v>
      </c>
      <c r="CQ1" t="s">
        <v>172</v>
      </c>
      <c r="CR1" t="s">
        <v>182</v>
      </c>
      <c r="CS1" t="s">
        <v>196</v>
      </c>
      <c r="CT1" t="s">
        <v>174</v>
      </c>
      <c r="CU1" t="s">
        <v>175</v>
      </c>
      <c r="CV1" t="s">
        <v>197</v>
      </c>
      <c r="CW1" t="s">
        <v>198</v>
      </c>
      <c r="CX1" t="s">
        <v>194</v>
      </c>
    </row>
    <row r="2" spans="1:83">
      <c r="A2">
        <v>94</v>
      </c>
      <c r="B2" t="s">
        <v>93</v>
      </c>
      <c r="C2" t="s">
        <v>95</v>
      </c>
      <c r="D2" t="s">
        <v>95</v>
      </c>
      <c r="E2" t="s">
        <v>199</v>
      </c>
      <c r="J2">
        <v>94</v>
      </c>
      <c r="K2">
        <v>1</v>
      </c>
      <c r="L2">
        <v>1</v>
      </c>
      <c r="M2">
        <v>1</v>
      </c>
      <c r="N2">
        <v>1</v>
      </c>
      <c r="O2">
        <v>1</v>
      </c>
      <c r="P2" t="s">
        <v>1</v>
      </c>
      <c r="V2" t="s">
        <v>200</v>
      </c>
      <c r="W2" t="s">
        <v>201</v>
      </c>
      <c r="X2" t="s">
        <v>82</v>
      </c>
      <c r="Y2" s="15" t="s">
        <v>202</v>
      </c>
      <c r="Z2" s="16">
        <v>44120</v>
      </c>
      <c r="AA2">
        <v>6700</v>
      </c>
      <c r="AB2">
        <v>2500</v>
      </c>
      <c r="AC2" s="15" t="s">
        <v>203</v>
      </c>
      <c r="AI2" t="s">
        <v>201</v>
      </c>
      <c r="AJ2" t="s">
        <v>204</v>
      </c>
      <c r="AK2" t="s">
        <v>100</v>
      </c>
      <c r="AL2">
        <v>2500</v>
      </c>
      <c r="AM2">
        <v>500</v>
      </c>
      <c r="AN2">
        <v>0</v>
      </c>
      <c r="AO2">
        <v>3000</v>
      </c>
      <c r="AP2">
        <v>0</v>
      </c>
      <c r="AQ2">
        <v>0</v>
      </c>
      <c r="AR2">
        <v>20</v>
      </c>
      <c r="AS2">
        <v>10</v>
      </c>
      <c r="AT2">
        <v>500</v>
      </c>
      <c r="AU2">
        <v>500</v>
      </c>
      <c r="AV2">
        <v>8</v>
      </c>
      <c r="AW2">
        <v>0</v>
      </c>
      <c r="AX2">
        <v>0</v>
      </c>
      <c r="AY2">
        <v>0</v>
      </c>
      <c r="AZ2">
        <v>4000</v>
      </c>
      <c r="BA2">
        <v>200</v>
      </c>
      <c r="BB2">
        <v>200</v>
      </c>
      <c r="BC2">
        <v>200</v>
      </c>
      <c r="BD2">
        <v>200</v>
      </c>
      <c r="BE2">
        <v>200</v>
      </c>
      <c r="BF2">
        <v>200</v>
      </c>
      <c r="BG2">
        <v>200</v>
      </c>
      <c r="BH2">
        <v>200</v>
      </c>
      <c r="BI2">
        <v>200</v>
      </c>
      <c r="BJ2">
        <v>200</v>
      </c>
      <c r="BK2">
        <v>200</v>
      </c>
      <c r="BL2">
        <v>200</v>
      </c>
      <c r="BM2">
        <v>200</v>
      </c>
      <c r="BN2">
        <v>200</v>
      </c>
      <c r="BO2">
        <v>400</v>
      </c>
      <c r="BP2">
        <v>200</v>
      </c>
      <c r="BQ2">
        <v>0</v>
      </c>
      <c r="BR2">
        <v>0</v>
      </c>
      <c r="BS2">
        <v>200</v>
      </c>
      <c r="BT2">
        <v>200</v>
      </c>
      <c r="BU2">
        <v>200</v>
      </c>
      <c r="BV2">
        <v>200</v>
      </c>
      <c r="BW2">
        <v>1000</v>
      </c>
      <c r="BX2">
        <v>3000</v>
      </c>
      <c r="BY2">
        <v>5000</v>
      </c>
      <c r="BZ2">
        <v>10</v>
      </c>
      <c r="CA2">
        <v>200</v>
      </c>
      <c r="CB2">
        <v>400</v>
      </c>
      <c r="CC2" s="12">
        <v>0</v>
      </c>
      <c r="CD2" s="12">
        <v>4000</v>
      </c>
      <c r="CE2" s="16">
        <v>44734</v>
      </c>
    </row>
    <row r="3" spans="10:82">
      <c r="J3">
        <v>94</v>
      </c>
      <c r="K3">
        <v>1</v>
      </c>
      <c r="L3">
        <v>1</v>
      </c>
      <c r="M3">
        <v>1</v>
      </c>
      <c r="N3">
        <v>1</v>
      </c>
      <c r="O3">
        <v>1</v>
      </c>
      <c r="P3" t="s">
        <v>205</v>
      </c>
      <c r="V3" t="s">
        <v>114</v>
      </c>
      <c r="W3" t="s">
        <v>201</v>
      </c>
      <c r="X3" t="s">
        <v>100</v>
      </c>
      <c r="Y3" s="15" t="s">
        <v>206</v>
      </c>
      <c r="Z3" s="16">
        <v>43012</v>
      </c>
      <c r="AA3">
        <v>7800</v>
      </c>
      <c r="AC3" s="15" t="s">
        <v>207</v>
      </c>
      <c r="AI3" t="s">
        <v>201</v>
      </c>
      <c r="AJ3" t="s">
        <v>204</v>
      </c>
      <c r="AK3">
        <v>111</v>
      </c>
      <c r="AL3">
        <v>111</v>
      </c>
      <c r="AM3">
        <v>11</v>
      </c>
      <c r="AN3">
        <v>111</v>
      </c>
      <c r="AO3">
        <v>111</v>
      </c>
      <c r="AP3">
        <v>11</v>
      </c>
      <c r="AQ3">
        <v>111</v>
      </c>
      <c r="AR3">
        <v>0</v>
      </c>
      <c r="AS3">
        <v>0</v>
      </c>
      <c r="AT3">
        <v>0</v>
      </c>
      <c r="AU3">
        <v>0</v>
      </c>
      <c r="AV3">
        <v>0</v>
      </c>
      <c r="AW3">
        <v>0</v>
      </c>
      <c r="AX3">
        <v>0</v>
      </c>
      <c r="AY3">
        <v>111</v>
      </c>
      <c r="AZ3">
        <v>11</v>
      </c>
      <c r="BA3">
        <v>0</v>
      </c>
      <c r="BB3">
        <v>11</v>
      </c>
      <c r="BC3">
        <v>11</v>
      </c>
      <c r="BD3">
        <v>111</v>
      </c>
      <c r="BE3">
        <v>111</v>
      </c>
      <c r="BF3">
        <v>11</v>
      </c>
      <c r="BG3">
        <v>111</v>
      </c>
      <c r="BH3">
        <v>111</v>
      </c>
      <c r="BI3">
        <v>111</v>
      </c>
      <c r="BJ3">
        <v>0</v>
      </c>
      <c r="BK3">
        <v>0</v>
      </c>
      <c r="BL3">
        <v>111</v>
      </c>
      <c r="BM3">
        <v>11</v>
      </c>
      <c r="BN3">
        <v>0</v>
      </c>
      <c r="BO3">
        <v>0</v>
      </c>
      <c r="BP3">
        <v>0</v>
      </c>
      <c r="BQ3">
        <v>111</v>
      </c>
      <c r="BR3">
        <v>11</v>
      </c>
      <c r="BS3">
        <v>11</v>
      </c>
      <c r="BT3">
        <v>111</v>
      </c>
      <c r="BU3">
        <v>0</v>
      </c>
      <c r="BV3">
        <v>0</v>
      </c>
      <c r="BW3">
        <v>111</v>
      </c>
      <c r="BX3">
        <v>11</v>
      </c>
      <c r="BY3">
        <v>111</v>
      </c>
      <c r="BZ3">
        <v>111</v>
      </c>
      <c r="CA3">
        <v>0</v>
      </c>
      <c r="CB3">
        <v>0</v>
      </c>
      <c r="CC3" s="12">
        <v>0</v>
      </c>
      <c r="CD3" s="12">
        <v>0</v>
      </c>
    </row>
    <row r="4" spans="10:29">
      <c r="J4">
        <v>94</v>
      </c>
      <c r="K4">
        <v>1</v>
      </c>
      <c r="L4">
        <v>1</v>
      </c>
      <c r="M4">
        <v>1</v>
      </c>
      <c r="N4">
        <v>1</v>
      </c>
      <c r="O4">
        <v>1</v>
      </c>
      <c r="P4" t="s">
        <v>208</v>
      </c>
      <c r="V4" t="s">
        <v>209</v>
      </c>
      <c r="W4" t="s">
        <v>210</v>
      </c>
      <c r="X4" t="s">
        <v>211</v>
      </c>
      <c r="Y4" s="15" t="s">
        <v>206</v>
      </c>
      <c r="Z4" s="16">
        <v>44120</v>
      </c>
      <c r="AA4">
        <v>78000</v>
      </c>
      <c r="AC4" s="15" t="s">
        <v>212</v>
      </c>
    </row>
    <row r="5" spans="10:29">
      <c r="J5">
        <v>94</v>
      </c>
      <c r="K5">
        <v>1</v>
      </c>
      <c r="L5">
        <v>1</v>
      </c>
      <c r="M5">
        <v>1</v>
      </c>
      <c r="N5">
        <v>1</v>
      </c>
      <c r="O5">
        <v>1</v>
      </c>
      <c r="P5" t="s">
        <v>213</v>
      </c>
      <c r="V5" t="s">
        <v>80</v>
      </c>
      <c r="W5" t="s">
        <v>137</v>
      </c>
      <c r="X5" t="s">
        <v>82</v>
      </c>
      <c r="Y5" s="15" t="s">
        <v>214</v>
      </c>
      <c r="Z5" s="16">
        <v>43922</v>
      </c>
      <c r="AA5">
        <v>9000</v>
      </c>
      <c r="AC5" s="15" t="s">
        <v>215</v>
      </c>
    </row>
    <row r="6" spans="10:29">
      <c r="J6">
        <v>94</v>
      </c>
      <c r="K6">
        <v>1</v>
      </c>
      <c r="L6">
        <v>1</v>
      </c>
      <c r="M6">
        <v>1</v>
      </c>
      <c r="N6">
        <v>1</v>
      </c>
      <c r="O6">
        <v>1</v>
      </c>
      <c r="P6" t="s">
        <v>216</v>
      </c>
      <c r="V6" t="s">
        <v>93</v>
      </c>
      <c r="W6" t="s">
        <v>217</v>
      </c>
      <c r="X6" t="s">
        <v>94</v>
      </c>
      <c r="Y6" s="15" t="s">
        <v>218</v>
      </c>
      <c r="Z6" s="16">
        <v>43908</v>
      </c>
      <c r="AA6">
        <v>6000</v>
      </c>
      <c r="AC6" s="15" t="s">
        <v>219</v>
      </c>
    </row>
    <row r="7" spans="10:29">
      <c r="J7">
        <v>94</v>
      </c>
      <c r="K7">
        <v>1</v>
      </c>
      <c r="L7">
        <v>1</v>
      </c>
      <c r="M7">
        <v>1</v>
      </c>
      <c r="N7">
        <v>1</v>
      </c>
      <c r="O7">
        <v>1</v>
      </c>
      <c r="P7" t="s">
        <v>220</v>
      </c>
      <c r="V7" t="s">
        <v>46</v>
      </c>
      <c r="W7" t="s">
        <v>221</v>
      </c>
      <c r="X7" t="s">
        <v>100</v>
      </c>
      <c r="Y7" s="15" t="s">
        <v>222</v>
      </c>
      <c r="Z7" s="16">
        <v>44378</v>
      </c>
      <c r="AA7">
        <v>5000</v>
      </c>
      <c r="AC7" s="15" t="s">
        <v>223</v>
      </c>
    </row>
    <row r="8" spans="10:29">
      <c r="J8">
        <v>94</v>
      </c>
      <c r="K8">
        <v>1</v>
      </c>
      <c r="L8">
        <v>1</v>
      </c>
      <c r="M8">
        <v>1</v>
      </c>
      <c r="N8">
        <v>1</v>
      </c>
      <c r="O8">
        <v>1</v>
      </c>
      <c r="P8" t="s">
        <v>224</v>
      </c>
      <c r="V8" t="s">
        <v>204</v>
      </c>
      <c r="W8" t="s">
        <v>201</v>
      </c>
      <c r="X8" t="s">
        <v>100</v>
      </c>
      <c r="Y8" s="15" t="s">
        <v>225</v>
      </c>
      <c r="Z8" s="16">
        <v>44727</v>
      </c>
      <c r="AA8">
        <v>2500</v>
      </c>
      <c r="AC8" s="15" t="s">
        <v>226</v>
      </c>
    </row>
    <row r="9" spans="10:29">
      <c r="J9">
        <v>94</v>
      </c>
      <c r="K9">
        <v>1</v>
      </c>
      <c r="L9">
        <v>1</v>
      </c>
      <c r="M9">
        <v>1</v>
      </c>
      <c r="N9">
        <v>1</v>
      </c>
      <c r="O9">
        <v>1</v>
      </c>
      <c r="P9" t="s">
        <v>227</v>
      </c>
      <c r="V9" t="s">
        <v>228</v>
      </c>
      <c r="W9" t="s">
        <v>81</v>
      </c>
      <c r="X9" t="s">
        <v>229</v>
      </c>
      <c r="Y9" s="15" t="s">
        <v>230</v>
      </c>
      <c r="Z9" s="16">
        <v>44715</v>
      </c>
      <c r="AA9">
        <v>4000</v>
      </c>
      <c r="AB9">
        <v>3000</v>
      </c>
      <c r="AC9" s="15" t="s">
        <v>231</v>
      </c>
    </row>
    <row r="10" spans="10:29">
      <c r="J10">
        <v>94</v>
      </c>
      <c r="K10">
        <v>1</v>
      </c>
      <c r="L10">
        <v>1</v>
      </c>
      <c r="M10">
        <v>1</v>
      </c>
      <c r="N10">
        <v>1</v>
      </c>
      <c r="O10">
        <v>1</v>
      </c>
      <c r="P10" t="s">
        <v>232</v>
      </c>
      <c r="V10" t="s">
        <v>233</v>
      </c>
      <c r="W10" t="s">
        <v>81</v>
      </c>
      <c r="X10" t="s">
        <v>229</v>
      </c>
      <c r="Y10" s="15" t="s">
        <v>234</v>
      </c>
      <c r="Z10" s="16">
        <v>44658</v>
      </c>
      <c r="AA10">
        <v>4000</v>
      </c>
      <c r="AB10">
        <v>3000</v>
      </c>
      <c r="AC10" s="15" t="s">
        <v>235</v>
      </c>
    </row>
    <row r="11" spans="10:29">
      <c r="J11">
        <v>94</v>
      </c>
      <c r="K11">
        <v>1</v>
      </c>
      <c r="L11">
        <v>1</v>
      </c>
      <c r="M11">
        <v>1</v>
      </c>
      <c r="N11">
        <v>1</v>
      </c>
      <c r="O11">
        <v>1</v>
      </c>
      <c r="P11" t="s">
        <v>236</v>
      </c>
      <c r="V11" t="s">
        <v>237</v>
      </c>
      <c r="W11" t="s">
        <v>81</v>
      </c>
      <c r="X11" t="s">
        <v>229</v>
      </c>
      <c r="Y11" s="15" t="s">
        <v>238</v>
      </c>
      <c r="Z11" s="16">
        <v>44762</v>
      </c>
      <c r="AA11">
        <v>6000</v>
      </c>
      <c r="AB11">
        <v>3000</v>
      </c>
      <c r="AC11" s="15" t="s">
        <v>238</v>
      </c>
    </row>
    <row r="12" spans="10:16">
      <c r="J12">
        <v>94</v>
      </c>
      <c r="K12">
        <v>1</v>
      </c>
      <c r="L12">
        <v>1</v>
      </c>
      <c r="M12">
        <v>1</v>
      </c>
      <c r="N12">
        <v>1</v>
      </c>
      <c r="O12">
        <v>1</v>
      </c>
      <c r="P12" t="s">
        <v>239</v>
      </c>
    </row>
    <row r="13" spans="10:16">
      <c r="J13">
        <v>94</v>
      </c>
      <c r="K13">
        <v>1</v>
      </c>
      <c r="L13">
        <v>1</v>
      </c>
      <c r="M13">
        <v>1</v>
      </c>
      <c r="N13">
        <v>1</v>
      </c>
      <c r="O13">
        <v>1</v>
      </c>
      <c r="P13" t="s">
        <v>240</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D14"/>
  <sheetViews>
    <sheetView showGridLines="0" workbookViewId="0">
      <pane ySplit="4" topLeftCell="A5" activePane="bottomLeft" state="frozen"/>
      <selection/>
      <selection pane="bottomLeft" activeCell="F12" sqref="F12"/>
    </sheetView>
  </sheetViews>
  <sheetFormatPr defaultColWidth="9" defaultRowHeight="20" customHeight="1"/>
  <cols>
    <col min="1" max="1" width="4.625" customWidth="1"/>
    <col min="2" max="2" width="4.625" hidden="1" customWidth="1"/>
    <col min="3" max="5" width="12.625" style="8" customWidth="1"/>
    <col min="6" max="6" width="21.75" style="10" customWidth="1"/>
    <col min="7" max="7" width="12.625" style="14" customWidth="1"/>
    <col min="8" max="52" width="12.625" style="8" customWidth="1"/>
    <col min="53" max="53" width="12.625" style="10" customWidth="1"/>
    <col min="54" max="54" width="23.375" style="10" customWidth="1"/>
    <col min="55" max="56" width="12.625" style="14" customWidth="1"/>
  </cols>
  <sheetData>
    <row r="1" ht="54.75" customHeight="1" spans="3:56">
      <c r="C1" s="12"/>
      <c r="D1" s="12"/>
      <c r="E1" s="12"/>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5"/>
      <c r="BB1" s="15"/>
      <c r="BC1" s="16"/>
      <c r="BD1" s="16"/>
    </row>
    <row r="2" ht="40" customHeight="1" spans="3:56">
      <c r="C2" s="4" t="s">
        <v>241</v>
      </c>
      <c r="D2"/>
      <c r="E2"/>
      <c r="F2"/>
      <c r="G2"/>
      <c r="H2"/>
      <c r="I2"/>
      <c r="J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5"/>
      <c r="BB2" s="15"/>
      <c r="BC2" s="16"/>
      <c r="BD2" s="16"/>
    </row>
    <row r="3" ht="30" customHeight="1" spans="3:56">
      <c r="C3" s="12"/>
      <c r="D3" s="12"/>
      <c r="E3" s="12"/>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5"/>
      <c r="BB3" s="15"/>
      <c r="BC3" s="16"/>
      <c r="BD3" s="16"/>
    </row>
    <row r="4" ht="30" customHeight="1" spans="3:56">
      <c r="C4" s="17" t="s">
        <v>35</v>
      </c>
      <c r="D4" s="17" t="s">
        <v>53</v>
      </c>
      <c r="E4" s="17" t="s">
        <v>152</v>
      </c>
      <c r="F4" s="18" t="s">
        <v>57</v>
      </c>
      <c r="G4" s="19" t="s">
        <v>68</v>
      </c>
      <c r="H4" s="17" t="s">
        <v>65</v>
      </c>
      <c r="I4" s="17" t="s">
        <v>66</v>
      </c>
      <c r="J4" s="17" t="s">
        <v>155</v>
      </c>
      <c r="K4" s="17" t="s">
        <v>242</v>
      </c>
      <c r="L4" s="17" t="s">
        <v>157</v>
      </c>
      <c r="M4" s="17" t="s">
        <v>158</v>
      </c>
      <c r="N4" s="17" t="s">
        <v>159</v>
      </c>
      <c r="O4" s="17" t="s">
        <v>160</v>
      </c>
      <c r="P4" s="17" t="s">
        <v>161</v>
      </c>
      <c r="Q4" s="17" t="s">
        <v>162</v>
      </c>
      <c r="R4" s="17" t="s">
        <v>163</v>
      </c>
      <c r="S4" s="17" t="s">
        <v>164</v>
      </c>
      <c r="T4" s="17" t="s">
        <v>40</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243</v>
      </c>
      <c r="AO4" s="17" t="s">
        <v>185</v>
      </c>
      <c r="AP4" s="17" t="s">
        <v>244</v>
      </c>
      <c r="AQ4" s="17" t="s">
        <v>178</v>
      </c>
      <c r="AR4" s="17" t="s">
        <v>179</v>
      </c>
      <c r="AS4" s="17" t="s">
        <v>186</v>
      </c>
      <c r="AT4" s="17" t="s">
        <v>187</v>
      </c>
      <c r="AU4" s="17" t="s">
        <v>188</v>
      </c>
      <c r="AV4" s="17" t="s">
        <v>189</v>
      </c>
      <c r="AW4" s="17" t="s">
        <v>190</v>
      </c>
      <c r="AX4" s="17" t="s">
        <v>191</v>
      </c>
      <c r="AY4" s="17" t="s">
        <v>245</v>
      </c>
      <c r="AZ4" s="17" t="s">
        <v>193</v>
      </c>
      <c r="BA4" s="18" t="s">
        <v>246</v>
      </c>
      <c r="BB4" s="18" t="s">
        <v>153</v>
      </c>
      <c r="BC4" s="19" t="s">
        <v>79</v>
      </c>
      <c r="BD4" s="19" t="s">
        <v>194</v>
      </c>
    </row>
    <row r="5" customHeight="1" spans="2:56">
      <c r="B5">
        <v>234</v>
      </c>
      <c r="C5" s="8" t="s">
        <v>80</v>
      </c>
      <c r="D5" s="8" t="s">
        <v>81</v>
      </c>
      <c r="E5" s="8" t="s">
        <v>82</v>
      </c>
      <c r="F5" s="10" t="s">
        <v>84</v>
      </c>
      <c r="G5" s="14">
        <v>44684</v>
      </c>
      <c r="H5" s="8">
        <v>9000</v>
      </c>
      <c r="I5" s="8">
        <v>2000</v>
      </c>
      <c r="J5" s="8">
        <v>5000</v>
      </c>
      <c r="K5" s="8">
        <v>236900</v>
      </c>
      <c r="L5" s="8">
        <v>17</v>
      </c>
      <c r="M5" s="8">
        <v>19</v>
      </c>
      <c r="N5" s="8">
        <v>25</v>
      </c>
      <c r="O5" s="8">
        <v>30</v>
      </c>
      <c r="P5" s="8">
        <v>630</v>
      </c>
      <c r="Q5" s="8">
        <v>8000</v>
      </c>
      <c r="R5" s="8">
        <v>0</v>
      </c>
      <c r="S5" s="8">
        <v>0</v>
      </c>
      <c r="T5" s="8">
        <v>0</v>
      </c>
      <c r="U5" s="8">
        <v>0</v>
      </c>
      <c r="V5" s="8">
        <v>232270</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10" t="s">
        <v>247</v>
      </c>
      <c r="BB5" s="10" t="s">
        <v>91</v>
      </c>
      <c r="BC5" s="14">
        <v>45028</v>
      </c>
      <c r="BD5" s="14">
        <v>45042</v>
      </c>
    </row>
    <row r="6" customHeight="1" spans="2:56">
      <c r="B6">
        <v>235</v>
      </c>
      <c r="C6" s="8" t="s">
        <v>93</v>
      </c>
      <c r="D6" s="8" t="s">
        <v>81</v>
      </c>
      <c r="E6" s="8" t="s">
        <v>94</v>
      </c>
      <c r="F6" s="10" t="s">
        <v>96</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10" t="s">
        <v>247</v>
      </c>
      <c r="BB6" s="10" t="s">
        <v>98</v>
      </c>
      <c r="BC6" s="14">
        <v>45029</v>
      </c>
      <c r="BD6" s="14">
        <v>45011</v>
      </c>
    </row>
    <row r="7" customHeight="1" spans="2:56">
      <c r="B7">
        <v>236</v>
      </c>
      <c r="C7" s="8" t="s">
        <v>46</v>
      </c>
      <c r="D7" s="8" t="s">
        <v>81</v>
      </c>
      <c r="E7" s="8" t="s">
        <v>100</v>
      </c>
      <c r="F7" s="10" t="s">
        <v>102</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c r="BB7" s="10" t="s">
        <v>104</v>
      </c>
      <c r="BC7" s="14">
        <v>45020</v>
      </c>
      <c r="BD7" s="14">
        <v>45029</v>
      </c>
    </row>
    <row r="8" customHeight="1" spans="2:56">
      <c r="B8">
        <v>237</v>
      </c>
      <c r="C8" s="8" t="s">
        <v>41</v>
      </c>
      <c r="D8" s="8" t="s">
        <v>106</v>
      </c>
      <c r="E8" s="8" t="s">
        <v>82</v>
      </c>
      <c r="F8" s="10" t="s">
        <v>108</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c r="BB8" s="10" t="s">
        <v>112</v>
      </c>
      <c r="BC8" s="14">
        <v>45034</v>
      </c>
      <c r="BD8" s="14">
        <v>45005</v>
      </c>
    </row>
    <row r="9" customHeight="1" spans="2:56">
      <c r="B9">
        <v>238</v>
      </c>
      <c r="C9" s="8" t="s">
        <v>114</v>
      </c>
      <c r="D9" s="8" t="s">
        <v>81</v>
      </c>
      <c r="E9" s="8" t="s">
        <v>82</v>
      </c>
      <c r="F9" s="10" t="s">
        <v>116</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c r="BB9" s="10" t="s">
        <v>112</v>
      </c>
      <c r="BC9" s="14">
        <v>45019</v>
      </c>
      <c r="BD9" s="14">
        <v>45028</v>
      </c>
    </row>
    <row r="10" customHeight="1" spans="2:56">
      <c r="B10">
        <v>239</v>
      </c>
      <c r="C10" s="8" t="s">
        <v>47</v>
      </c>
      <c r="D10" s="8" t="s">
        <v>106</v>
      </c>
      <c r="E10" s="8" t="s">
        <v>248</v>
      </c>
      <c r="F10" s="10" t="s">
        <v>249</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c r="BB10" s="10" t="s">
        <v>112</v>
      </c>
      <c r="BC10" s="14">
        <v>45021</v>
      </c>
      <c r="BD10" s="14">
        <v>45046</v>
      </c>
    </row>
    <row r="11" customHeight="1" spans="2:56">
      <c r="B11">
        <v>240</v>
      </c>
      <c r="C11" s="8" t="s">
        <v>48</v>
      </c>
      <c r="D11" s="8" t="s">
        <v>106</v>
      </c>
      <c r="E11" s="8" t="s">
        <v>82</v>
      </c>
      <c r="F11" s="10" t="s">
        <v>127</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0</v>
      </c>
      <c r="AM11" s="8">
        <v>100</v>
      </c>
      <c r="AN11" s="8">
        <v>150</v>
      </c>
      <c r="AO11" s="8">
        <v>300</v>
      </c>
      <c r="AP11" s="8">
        <v>280</v>
      </c>
      <c r="AS11" s="8">
        <v>7000</v>
      </c>
      <c r="AT11" s="8">
        <v>8500</v>
      </c>
      <c r="AU11" s="8">
        <v>1500</v>
      </c>
      <c r="AV11" s="8">
        <v>0</v>
      </c>
      <c r="AW11" s="8">
        <v>0</v>
      </c>
      <c r="AX11" s="8">
        <v>400</v>
      </c>
      <c r="AZ11" s="8">
        <v>7000</v>
      </c>
      <c r="BB11" s="10" t="s">
        <v>129</v>
      </c>
      <c r="BC11" s="14">
        <v>45017</v>
      </c>
      <c r="BD11" s="14">
        <v>45032</v>
      </c>
    </row>
    <row r="12" customHeight="1" spans="2:56">
      <c r="B12">
        <v>241</v>
      </c>
      <c r="C12" s="8" t="s">
        <v>49</v>
      </c>
      <c r="D12" s="8" t="s">
        <v>131</v>
      </c>
      <c r="E12" s="8" t="s">
        <v>82</v>
      </c>
      <c r="F12" s="10" t="s">
        <v>133</v>
      </c>
      <c r="G12" s="14">
        <v>45006</v>
      </c>
      <c r="H12" s="8">
        <v>5000</v>
      </c>
      <c r="I12" s="8">
        <v>200</v>
      </c>
      <c r="J12" s="8">
        <v>4950</v>
      </c>
      <c r="K12" s="8">
        <v>4950</v>
      </c>
      <c r="N12" s="8">
        <v>22</v>
      </c>
      <c r="O12" s="8">
        <v>40</v>
      </c>
      <c r="P12" s="8">
        <v>400</v>
      </c>
      <c r="Q12" s="8">
        <v>5500</v>
      </c>
      <c r="R12" s="8">
        <v>0</v>
      </c>
      <c r="S12" s="8">
        <v>200</v>
      </c>
      <c r="T12" s="8">
        <v>3</v>
      </c>
      <c r="U12" s="8">
        <v>300</v>
      </c>
      <c r="V12" s="8">
        <v>4950</v>
      </c>
      <c r="W12" s="8">
        <v>0.3</v>
      </c>
      <c r="Y12" s="8">
        <v>0.5</v>
      </c>
      <c r="AA12" s="8">
        <v>150</v>
      </c>
      <c r="AB12" s="8">
        <v>200</v>
      </c>
      <c r="AC12" s="8">
        <v>375</v>
      </c>
      <c r="AD12" s="8">
        <v>140</v>
      </c>
      <c r="AE12" s="8">
        <v>100</v>
      </c>
      <c r="AF12" s="8">
        <v>100</v>
      </c>
      <c r="AG12" s="8">
        <v>250</v>
      </c>
      <c r="AJ12" s="8">
        <v>840</v>
      </c>
      <c r="AK12" s="8">
        <v>175</v>
      </c>
      <c r="AL12" s="8">
        <v>150</v>
      </c>
      <c r="AM12" s="8">
        <v>100</v>
      </c>
      <c r="AN12" s="8">
        <v>50</v>
      </c>
      <c r="AO12" s="8">
        <v>500</v>
      </c>
      <c r="AP12" s="8">
        <v>150</v>
      </c>
      <c r="AS12" s="8">
        <v>4950</v>
      </c>
      <c r="AT12" s="8">
        <v>5200</v>
      </c>
      <c r="AU12" s="8">
        <v>200</v>
      </c>
      <c r="AV12" s="8">
        <v>0</v>
      </c>
      <c r="AW12" s="8">
        <v>0</v>
      </c>
      <c r="AX12" s="8">
        <v>0</v>
      </c>
      <c r="AZ12" s="8">
        <v>4250150</v>
      </c>
      <c r="BB12" s="10" t="s">
        <v>135</v>
      </c>
      <c r="BC12" s="14">
        <v>45034</v>
      </c>
      <c r="BD12" s="14">
        <v>45043</v>
      </c>
    </row>
    <row r="13" customHeight="1" spans="2:56">
      <c r="B13">
        <v>242</v>
      </c>
      <c r="C13" s="8" t="s">
        <v>50</v>
      </c>
      <c r="D13" s="8" t="s">
        <v>137</v>
      </c>
      <c r="E13" s="8" t="s">
        <v>82</v>
      </c>
      <c r="F13" s="10" t="s">
        <v>139</v>
      </c>
      <c r="G13" s="14">
        <v>45017</v>
      </c>
      <c r="H13" s="8">
        <v>5000</v>
      </c>
      <c r="I13" s="8">
        <v>300</v>
      </c>
      <c r="J13" s="8">
        <v>6790</v>
      </c>
      <c r="K13" s="8">
        <v>6790</v>
      </c>
      <c r="N13" s="8">
        <v>22</v>
      </c>
      <c r="O13" s="8">
        <v>50</v>
      </c>
      <c r="P13" s="8">
        <v>350</v>
      </c>
      <c r="Q13" s="8">
        <v>7000</v>
      </c>
      <c r="R13" s="8">
        <v>0</v>
      </c>
      <c r="S13" s="8">
        <v>300</v>
      </c>
      <c r="T13" s="8">
        <v>5</v>
      </c>
      <c r="U13" s="8">
        <v>500</v>
      </c>
      <c r="V13" s="8">
        <v>6790</v>
      </c>
      <c r="W13" s="8">
        <v>0.3</v>
      </c>
      <c r="Y13" s="8">
        <v>0.5</v>
      </c>
      <c r="AA13" s="8">
        <v>900000</v>
      </c>
      <c r="AB13" s="8">
        <v>120</v>
      </c>
      <c r="AC13" s="8">
        <v>225</v>
      </c>
      <c r="AD13" s="8">
        <v>840</v>
      </c>
      <c r="AE13" s="8">
        <v>60</v>
      </c>
      <c r="AF13" s="8">
        <v>600</v>
      </c>
      <c r="AG13" s="8">
        <v>150</v>
      </c>
      <c r="AJ13" s="8">
        <v>6790</v>
      </c>
      <c r="AK13" s="8">
        <v>1050000</v>
      </c>
      <c r="AL13" s="8">
        <v>900</v>
      </c>
      <c r="AM13" s="8">
        <v>60</v>
      </c>
      <c r="AN13" s="8">
        <v>30</v>
      </c>
      <c r="AO13" s="8">
        <v>300</v>
      </c>
      <c r="AP13" s="8">
        <v>900</v>
      </c>
      <c r="AS13" s="8">
        <v>315</v>
      </c>
      <c r="AT13" s="8">
        <v>7000</v>
      </c>
      <c r="AU13" s="8">
        <v>297</v>
      </c>
      <c r="AV13" s="8">
        <v>0.1</v>
      </c>
      <c r="AW13" s="8">
        <v>0</v>
      </c>
      <c r="AX13" s="8">
        <v>303</v>
      </c>
      <c r="AZ13" s="8">
        <v>6790</v>
      </c>
      <c r="BB13" s="10" t="s">
        <v>141</v>
      </c>
      <c r="BC13" s="14">
        <v>45029</v>
      </c>
      <c r="BD13" s="14">
        <v>45043</v>
      </c>
    </row>
    <row r="14" customHeight="1" spans="2:56">
      <c r="B14">
        <v>246</v>
      </c>
      <c r="C14" s="8" t="s">
        <v>80</v>
      </c>
      <c r="D14" s="8" t="s">
        <v>81</v>
      </c>
      <c r="E14" s="8" t="s">
        <v>100</v>
      </c>
      <c r="F14" s="10" t="s">
        <v>84</v>
      </c>
      <c r="H14" s="8">
        <v>9000</v>
      </c>
      <c r="I14" s="8">
        <v>2000</v>
      </c>
      <c r="J14" s="8">
        <v>3000</v>
      </c>
      <c r="K14" s="8">
        <v>7672270</v>
      </c>
      <c r="L14" s="8">
        <v>360</v>
      </c>
      <c r="M14" s="8">
        <v>300</v>
      </c>
      <c r="V14" s="8">
        <v>-9439270</v>
      </c>
      <c r="W14" s="8">
        <v>0.3</v>
      </c>
      <c r="X14" s="8">
        <v>150</v>
      </c>
      <c r="Y14" s="8">
        <v>0.5</v>
      </c>
      <c r="Z14" s="8">
        <v>220</v>
      </c>
      <c r="AA14" s="8">
        <v>2700000</v>
      </c>
      <c r="AB14" s="8">
        <v>3600000</v>
      </c>
      <c r="AC14" s="8">
        <v>675</v>
      </c>
      <c r="AD14" s="8">
        <v>2520000</v>
      </c>
      <c r="AE14" s="8">
        <v>180</v>
      </c>
      <c r="AF14" s="8">
        <v>1800000</v>
      </c>
      <c r="AG14" s="8">
        <v>4500000</v>
      </c>
      <c r="AH14" s="8">
        <v>240</v>
      </c>
      <c r="AI14" s="8">
        <v>0.03</v>
      </c>
      <c r="AJ14" s="23">
        <v>15120855</v>
      </c>
      <c r="AK14" s="8">
        <v>3150000</v>
      </c>
      <c r="AL14" s="8">
        <v>2700000</v>
      </c>
      <c r="AM14" s="8">
        <v>180</v>
      </c>
      <c r="AN14" s="8">
        <v>90</v>
      </c>
      <c r="AO14" s="8">
        <v>900000</v>
      </c>
      <c r="AP14" s="8">
        <v>2700000</v>
      </c>
      <c r="AQ14" s="8">
        <v>240</v>
      </c>
      <c r="AR14" s="8">
        <v>0.03</v>
      </c>
      <c r="AS14" s="8">
        <v>9461270</v>
      </c>
      <c r="AT14" s="8">
        <v>11000</v>
      </c>
      <c r="AX14" s="8">
        <v>0</v>
      </c>
      <c r="AY14" s="8">
        <v>367</v>
      </c>
      <c r="AZ14" s="8">
        <v>7661270</v>
      </c>
      <c r="BA14" s="10" t="s">
        <v>250</v>
      </c>
      <c r="BB14" s="10" t="s">
        <v>91</v>
      </c>
      <c r="BD14" s="14">
        <v>45095</v>
      </c>
    </row>
  </sheetData>
  <conditionalFormatting sqref="AD5:AD1048576">
    <cfRule type="expression" dxfId="0" priority="27">
      <formula>MOD(ROW(),2)=0</formula>
    </cfRule>
  </conditionalFormatting>
  <conditionalFormatting sqref="AE5:AE1048576">
    <cfRule type="expression" dxfId="0" priority="26">
      <formula>MOD(ROW(),2)=0</formula>
    </cfRule>
  </conditionalFormatting>
  <conditionalFormatting sqref="AF5:AF1048576">
    <cfRule type="expression" dxfId="0" priority="25">
      <formula>MOD(ROW(),2)=0</formula>
    </cfRule>
  </conditionalFormatting>
  <conditionalFormatting sqref="AG5:AG1048576">
    <cfRule type="expression" dxfId="0" priority="24">
      <formula>MOD(ROW(),2)=0</formula>
    </cfRule>
  </conditionalFormatting>
  <conditionalFormatting sqref="AH5:AH1048576">
    <cfRule type="expression" dxfId="0" priority="23">
      <formula>MOD(ROW(),2)=0</formula>
    </cfRule>
  </conditionalFormatting>
  <conditionalFormatting sqref="AI5:AI1048576">
    <cfRule type="expression" dxfId="0" priority="22">
      <formula>MOD(ROW(),2)=0</formula>
    </cfRule>
  </conditionalFormatting>
  <conditionalFormatting sqref="AJ5:AJ1048576">
    <cfRule type="expression" dxfId="0" priority="21">
      <formula>MOD(ROW(),2)=0</formula>
    </cfRule>
  </conditionalFormatting>
  <conditionalFormatting sqref="AK5:AK1048576">
    <cfRule type="expression" dxfId="0" priority="20">
      <formula>MOD(ROW(),2)=0</formula>
    </cfRule>
  </conditionalFormatting>
  <conditionalFormatting sqref="AL5:AL1048576">
    <cfRule type="expression" dxfId="0" priority="19">
      <formula>MOD(ROW(),2)=0</formula>
    </cfRule>
  </conditionalFormatting>
  <conditionalFormatting sqref="AM5:AM1048576">
    <cfRule type="expression" dxfId="0" priority="18">
      <formula>MOD(ROW(),2)=0</formula>
    </cfRule>
  </conditionalFormatting>
  <conditionalFormatting sqref="AN5:AN1048576">
    <cfRule type="expression" dxfId="0" priority="17">
      <formula>MOD(ROW(),2)=0</formula>
    </cfRule>
  </conditionalFormatting>
  <conditionalFormatting sqref="AO5:AO1048576">
    <cfRule type="expression" dxfId="0" priority="16">
      <formula>MOD(ROW(),2)=0</formula>
    </cfRule>
  </conditionalFormatting>
  <conditionalFormatting sqref="AP5:AP1048576">
    <cfRule type="expression" dxfId="0" priority="15">
      <formula>MOD(ROW(),2)=0</formula>
    </cfRule>
  </conditionalFormatting>
  <conditionalFormatting sqref="AQ5:AQ1048576">
    <cfRule type="expression" dxfId="0" priority="14">
      <formula>MOD(ROW(),2)=0</formula>
    </cfRule>
  </conditionalFormatting>
  <conditionalFormatting sqref="AR5:AR1048576">
    <cfRule type="expression" dxfId="0" priority="13">
      <formula>MOD(ROW(),2)=0</formula>
    </cfRule>
  </conditionalFormatting>
  <conditionalFormatting sqref="AS5:AS1048576">
    <cfRule type="expression" dxfId="0" priority="12">
      <formula>MOD(ROW(),2)=0</formula>
    </cfRule>
  </conditionalFormatting>
  <conditionalFormatting sqref="AT5:AT1048576">
    <cfRule type="expression" dxfId="0" priority="11">
      <formula>MOD(ROW(),2)=0</formula>
    </cfRule>
  </conditionalFormatting>
  <conditionalFormatting sqref="AU5:AU1048576">
    <cfRule type="expression" dxfId="0" priority="10">
      <formula>MOD(ROW(),2)=0</formula>
    </cfRule>
  </conditionalFormatting>
  <conditionalFormatting sqref="AV5:AV1048576">
    <cfRule type="expression" dxfId="0" priority="9">
      <formula>MOD(ROW(),2)=0</formula>
    </cfRule>
  </conditionalFormatting>
  <conditionalFormatting sqref="AW5:AW1048576">
    <cfRule type="expression" dxfId="0" priority="8">
      <formula>MOD(ROW(),2)=0</formula>
    </cfRule>
  </conditionalFormatting>
  <conditionalFormatting sqref="AX5:AX1048576">
    <cfRule type="expression" dxfId="0" priority="7">
      <formula>MOD(ROW(),2)=0</formula>
    </cfRule>
  </conditionalFormatting>
  <conditionalFormatting sqref="AY5:AY1048576">
    <cfRule type="expression" dxfId="0" priority="6">
      <formula>MOD(ROW(),2)=0</formula>
    </cfRule>
  </conditionalFormatting>
  <conditionalFormatting sqref="AZ5:AZ1048576">
    <cfRule type="expression" dxfId="0" priority="5">
      <formula>MOD(ROW(),2)=0</formula>
    </cfRule>
  </conditionalFormatting>
  <conditionalFormatting sqref="BA5:BA1048576">
    <cfRule type="expression" dxfId="0" priority="4">
      <formula>MOD(ROW(),2)=0</formula>
    </cfRule>
  </conditionalFormatting>
  <conditionalFormatting sqref="BB5:BB1048576">
    <cfRule type="expression" dxfId="0" priority="3">
      <formula>MOD(ROW(),2)=0</formula>
    </cfRule>
  </conditionalFormatting>
  <conditionalFormatting sqref="BC5:BC1048576">
    <cfRule type="expression" dxfId="0" priority="2">
      <formula>MOD(ROW(),2)=0</formula>
    </cfRule>
  </conditionalFormatting>
  <conditionalFormatting sqref="BD5:BD1048576">
    <cfRule type="expression" dxfId="0" priority="1">
      <formula>MOD(ROW(),2)=0</formula>
    </cfRule>
  </conditionalFormatting>
  <conditionalFormatting sqref="C5:AC1048576">
    <cfRule type="expression" dxfId="0" priority="28">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11"/>
  <sheetViews>
    <sheetView showGridLines="0" workbookViewId="0">
      <pane ySplit="4" topLeftCell="A5" activePane="bottomLeft" state="frozen"/>
      <selection/>
      <selection pane="bottomLeft" activeCell="F10" sqref="F10"/>
    </sheetView>
  </sheetViews>
  <sheetFormatPr defaultColWidth="9" defaultRowHeight="20" customHeight="1"/>
  <cols>
    <col min="1" max="1" width="4.625" customWidth="1"/>
    <col min="2" max="2" width="4.625" hidden="1" customWidth="1"/>
    <col min="3" max="3" width="12.625" style="8" customWidth="1"/>
    <col min="4" max="5" width="12.625" style="20" customWidth="1"/>
    <col min="6" max="7" width="12.625" style="8" customWidth="1"/>
    <col min="8" max="8" width="20" style="8" customWidth="1"/>
    <col min="9" max="10" width="12.625" style="8" customWidth="1"/>
  </cols>
  <sheetData>
    <row r="1" ht="54.75" customHeight="1" spans="3:10">
      <c r="C1" s="12"/>
      <c r="D1" s="21"/>
      <c r="E1" s="21"/>
      <c r="F1" s="12"/>
      <c r="G1" s="12"/>
      <c r="H1" s="12"/>
      <c r="I1" s="12"/>
      <c r="J1" s="12"/>
    </row>
    <row r="2" ht="40" customHeight="1" spans="3:10">
      <c r="C2" s="4" t="s">
        <v>251</v>
      </c>
      <c r="D2" s="21"/>
      <c r="E2" s="21"/>
      <c r="F2" s="12"/>
      <c r="G2" s="12"/>
      <c r="H2" s="12"/>
      <c r="I2" s="12"/>
      <c r="J2" s="12"/>
    </row>
    <row r="3" ht="30" customHeight="1" spans="3:10">
      <c r="C3" s="12"/>
      <c r="D3" s="21"/>
      <c r="E3" s="21"/>
      <c r="F3" s="12"/>
      <c r="G3" s="12"/>
      <c r="H3" s="12"/>
      <c r="I3" s="12"/>
      <c r="J3" s="12"/>
    </row>
    <row r="4" ht="30" customHeight="1" spans="3:10">
      <c r="C4" s="17" t="s">
        <v>35</v>
      </c>
      <c r="D4" s="22" t="s">
        <v>33</v>
      </c>
      <c r="E4" s="22" t="s">
        <v>34</v>
      </c>
      <c r="F4" s="17" t="s">
        <v>252</v>
      </c>
      <c r="G4" s="17" t="s">
        <v>253</v>
      </c>
      <c r="H4" s="17" t="s">
        <v>42</v>
      </c>
      <c r="I4" s="17" t="s">
        <v>254</v>
      </c>
      <c r="J4" s="17" t="s">
        <v>44</v>
      </c>
    </row>
    <row r="5" customHeight="1" spans="2:10">
      <c r="B5">
        <v>768</v>
      </c>
      <c r="C5" s="8" t="s">
        <v>41</v>
      </c>
      <c r="D5" s="20">
        <v>2023</v>
      </c>
      <c r="E5" s="20">
        <v>1</v>
      </c>
      <c r="F5" s="8">
        <v>0</v>
      </c>
      <c r="G5" s="8">
        <v>0</v>
      </c>
      <c r="H5" s="8">
        <v>0</v>
      </c>
      <c r="I5" s="8">
        <v>0</v>
      </c>
      <c r="J5" s="8">
        <v>0</v>
      </c>
    </row>
    <row r="6" customHeight="1" spans="2:10">
      <c r="B6">
        <v>771</v>
      </c>
      <c r="C6" s="8" t="s">
        <v>46</v>
      </c>
      <c r="D6" s="20">
        <v>2023</v>
      </c>
      <c r="E6" s="20">
        <v>2</v>
      </c>
      <c r="F6" s="8">
        <v>0</v>
      </c>
      <c r="G6" s="8">
        <v>0</v>
      </c>
      <c r="H6" s="8">
        <v>0</v>
      </c>
      <c r="I6" s="8">
        <v>0</v>
      </c>
      <c r="J6" s="8">
        <v>0</v>
      </c>
    </row>
    <row r="7" customHeight="1" spans="2:10">
      <c r="B7">
        <v>772</v>
      </c>
      <c r="C7" s="8" t="s">
        <v>47</v>
      </c>
      <c r="D7" s="20">
        <v>2023</v>
      </c>
      <c r="E7" s="20">
        <v>4</v>
      </c>
      <c r="F7" s="8">
        <v>0</v>
      </c>
      <c r="G7" s="8">
        <v>0</v>
      </c>
      <c r="H7" s="8">
        <v>0</v>
      </c>
      <c r="I7" s="8">
        <v>0</v>
      </c>
      <c r="J7" s="8">
        <v>0</v>
      </c>
    </row>
    <row r="8" customHeight="1" spans="2:10">
      <c r="B8">
        <v>773</v>
      </c>
      <c r="C8" s="8" t="s">
        <v>48</v>
      </c>
      <c r="D8" s="20">
        <v>2023</v>
      </c>
      <c r="E8" s="20">
        <v>1</v>
      </c>
      <c r="F8" s="8">
        <v>0</v>
      </c>
      <c r="G8" s="8">
        <v>0</v>
      </c>
      <c r="H8" s="8">
        <v>0</v>
      </c>
      <c r="I8" s="8">
        <v>0</v>
      </c>
      <c r="J8" s="8">
        <v>0</v>
      </c>
    </row>
    <row r="9" customHeight="1" spans="2:10">
      <c r="B9">
        <v>774</v>
      </c>
      <c r="C9" s="8" t="s">
        <v>49</v>
      </c>
      <c r="D9" s="20">
        <v>2023</v>
      </c>
      <c r="E9" s="20">
        <v>4</v>
      </c>
      <c r="F9" s="8">
        <v>0</v>
      </c>
      <c r="G9" s="8">
        <v>0</v>
      </c>
      <c r="H9" s="8">
        <v>0</v>
      </c>
      <c r="I9" s="8">
        <v>0</v>
      </c>
      <c r="J9" s="8">
        <v>0</v>
      </c>
    </row>
    <row r="10" customHeight="1" spans="2:10">
      <c r="B10">
        <v>775</v>
      </c>
      <c r="C10" s="8" t="s">
        <v>50</v>
      </c>
      <c r="D10" s="20">
        <v>2023</v>
      </c>
      <c r="E10" s="20">
        <v>4</v>
      </c>
      <c r="F10" s="8">
        <v>0</v>
      </c>
      <c r="G10" s="8">
        <v>0</v>
      </c>
      <c r="H10" s="8">
        <v>0</v>
      </c>
      <c r="I10" s="8">
        <v>0</v>
      </c>
      <c r="J10" s="8">
        <v>0</v>
      </c>
    </row>
    <row r="11" customHeight="1" spans="2:5">
      <c r="B11">
        <v>786</v>
      </c>
      <c r="C11" s="8" t="s">
        <v>228</v>
      </c>
      <c r="D11" s="20">
        <v>2023</v>
      </c>
      <c r="E11" s="20">
        <v>6</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8"/>
  <sheetViews>
    <sheetView showGridLines="0" workbookViewId="0">
      <pane ySplit="4" topLeftCell="A5" activePane="bottomLeft" state="frozen"/>
      <selection/>
      <selection pane="bottomLeft" activeCell="H18" sqref="H18"/>
    </sheetView>
  </sheetViews>
  <sheetFormatPr defaultColWidth="9" defaultRowHeight="20" customHeight="1" outlineLevelRow="7"/>
  <cols>
    <col min="1" max="1" width="4.625" style="12" customWidth="1"/>
    <col min="2" max="2" width="4.625" style="12" hidden="1" customWidth="1"/>
    <col min="3" max="7" width="12.625" style="8" customWidth="1"/>
    <col min="8" max="8" width="20" style="8" customWidth="1"/>
    <col min="9" max="17" width="12.625" style="8" customWidth="1"/>
    <col min="18" max="18" width="22.75" style="8" customWidth="1"/>
    <col min="19" max="34" width="12.625" style="8" customWidth="1"/>
    <col min="35" max="16384" width="9" style="12"/>
  </cols>
  <sheetData>
    <row r="1" ht="54.75" customHeight="1" spans="3:3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row>
    <row r="2" ht="40" customHeight="1" spans="3:34">
      <c r="C2" s="4" t="s">
        <v>255</v>
      </c>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row>
    <row r="3" ht="30" customHeight="1" spans="3:34">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row>
    <row r="4" ht="30" customHeight="1" spans="3:34">
      <c r="C4" s="17" t="s">
        <v>167</v>
      </c>
      <c r="D4" s="17" t="s">
        <v>169</v>
      </c>
      <c r="E4" s="17" t="s">
        <v>256</v>
      </c>
      <c r="F4" s="17" t="s">
        <v>257</v>
      </c>
      <c r="G4" s="17" t="s">
        <v>165</v>
      </c>
      <c r="H4" s="17" t="s">
        <v>183</v>
      </c>
      <c r="I4" s="17" t="s">
        <v>173</v>
      </c>
      <c r="J4" s="17" t="s">
        <v>243</v>
      </c>
      <c r="K4" s="17" t="s">
        <v>175</v>
      </c>
      <c r="L4" s="17" t="s">
        <v>185</v>
      </c>
      <c r="M4" s="17" t="s">
        <v>176</v>
      </c>
      <c r="N4" s="17" t="s">
        <v>168</v>
      </c>
      <c r="O4" s="17" t="s">
        <v>258</v>
      </c>
      <c r="P4" s="17" t="s">
        <v>177</v>
      </c>
      <c r="Q4" s="17" t="s">
        <v>178</v>
      </c>
      <c r="R4" s="17" t="s">
        <v>170</v>
      </c>
      <c r="S4" s="17" t="s">
        <v>179</v>
      </c>
      <c r="T4" s="17" t="s">
        <v>181</v>
      </c>
      <c r="U4" s="17" t="s">
        <v>171</v>
      </c>
      <c r="V4" s="17" t="s">
        <v>152</v>
      </c>
      <c r="W4" s="17" t="s">
        <v>155</v>
      </c>
      <c r="X4" s="17" t="s">
        <v>182</v>
      </c>
      <c r="Y4" s="17" t="s">
        <v>172</v>
      </c>
      <c r="Z4" s="17" t="s">
        <v>259</v>
      </c>
      <c r="AA4" s="17" t="s">
        <v>189</v>
      </c>
      <c r="AB4" s="17" t="s">
        <v>157</v>
      </c>
      <c r="AC4" s="17" t="s">
        <v>174</v>
      </c>
      <c r="AD4" s="17" t="s">
        <v>158</v>
      </c>
      <c r="AE4" s="17" t="s">
        <v>245</v>
      </c>
      <c r="AF4" s="17" t="s">
        <v>161</v>
      </c>
      <c r="AG4" s="17" t="s">
        <v>246</v>
      </c>
      <c r="AH4" s="17" t="s">
        <v>164</v>
      </c>
    </row>
    <row r="5" customHeight="1" spans="2:34">
      <c r="B5" s="12">
        <v>7</v>
      </c>
      <c r="C5" s="8">
        <v>0.3</v>
      </c>
      <c r="D5" s="8">
        <v>0.5</v>
      </c>
      <c r="E5" s="8" t="s">
        <v>81</v>
      </c>
      <c r="F5" s="8" t="s">
        <v>82</v>
      </c>
      <c r="G5" s="8">
        <v>100</v>
      </c>
      <c r="H5" s="8">
        <v>0.02</v>
      </c>
      <c r="I5" s="8">
        <v>0.075</v>
      </c>
      <c r="J5" s="8">
        <v>0.01</v>
      </c>
      <c r="K5" s="8">
        <v>0.02</v>
      </c>
      <c r="L5" s="8">
        <v>100</v>
      </c>
      <c r="M5" s="8">
        <v>200</v>
      </c>
      <c r="N5" s="8">
        <v>150</v>
      </c>
      <c r="O5" s="8">
        <v>300</v>
      </c>
      <c r="P5" s="8">
        <v>500</v>
      </c>
      <c r="Q5" s="8">
        <v>240</v>
      </c>
      <c r="R5" s="8">
        <v>220</v>
      </c>
      <c r="S5" s="8">
        <v>0.03</v>
      </c>
      <c r="T5" s="8">
        <v>350</v>
      </c>
      <c r="U5" s="8">
        <v>300</v>
      </c>
      <c r="V5" s="8" t="s">
        <v>229</v>
      </c>
      <c r="W5" s="8">
        <v>5000</v>
      </c>
      <c r="X5" s="8">
        <v>300</v>
      </c>
      <c r="Y5" s="8">
        <v>400</v>
      </c>
      <c r="Z5" s="8" t="s">
        <v>260</v>
      </c>
      <c r="AA5" s="8">
        <v>0.1</v>
      </c>
      <c r="AB5" s="8">
        <v>360</v>
      </c>
      <c r="AC5" s="8">
        <v>280</v>
      </c>
      <c r="AD5" s="8">
        <v>300</v>
      </c>
      <c r="AE5" s="8">
        <v>367</v>
      </c>
      <c r="AF5" s="8">
        <v>430</v>
      </c>
      <c r="AG5" s="8">
        <v>1</v>
      </c>
      <c r="AH5" s="8">
        <v>300</v>
      </c>
    </row>
    <row r="6" customHeight="1" spans="2:34">
      <c r="B6" s="12">
        <v>265</v>
      </c>
      <c r="C6" s="8">
        <v>2</v>
      </c>
      <c r="D6" s="8">
        <v>1</v>
      </c>
      <c r="E6" s="8" t="s">
        <v>106</v>
      </c>
      <c r="F6" s="8" t="s">
        <v>82</v>
      </c>
      <c r="G6" s="8">
        <v>100</v>
      </c>
      <c r="H6" s="8">
        <v>0.03</v>
      </c>
      <c r="I6" s="8">
        <v>0.08</v>
      </c>
      <c r="J6" s="8">
        <v>0.02</v>
      </c>
      <c r="K6" s="8">
        <v>0.03</v>
      </c>
      <c r="L6" s="8">
        <v>100</v>
      </c>
      <c r="M6" s="8">
        <v>200</v>
      </c>
      <c r="N6" s="8">
        <v>180</v>
      </c>
      <c r="O6" s="8">
        <v>360</v>
      </c>
      <c r="P6" s="8">
        <v>500</v>
      </c>
      <c r="Q6" s="8">
        <v>200</v>
      </c>
      <c r="R6" s="8">
        <v>240</v>
      </c>
      <c r="S6" s="8">
        <v>0.02</v>
      </c>
      <c r="T6" s="8">
        <v>290</v>
      </c>
      <c r="U6" s="8">
        <v>300</v>
      </c>
      <c r="V6" s="8" t="s">
        <v>229</v>
      </c>
      <c r="W6" s="8">
        <v>6000</v>
      </c>
      <c r="X6" s="8">
        <v>350</v>
      </c>
      <c r="Y6" s="8">
        <v>400</v>
      </c>
      <c r="Z6" s="8" t="s">
        <v>260</v>
      </c>
      <c r="AA6" s="8">
        <v>0.1</v>
      </c>
      <c r="AB6" s="8">
        <v>500</v>
      </c>
      <c r="AC6" s="8">
        <v>200</v>
      </c>
      <c r="AD6" s="8">
        <v>310</v>
      </c>
      <c r="AE6" s="8">
        <v>400</v>
      </c>
      <c r="AF6" s="8">
        <v>230</v>
      </c>
      <c r="AG6" s="8">
        <v>1</v>
      </c>
      <c r="AH6" s="8">
        <v>250</v>
      </c>
    </row>
    <row r="7" customHeight="1" spans="2:34">
      <c r="B7" s="12">
        <v>338</v>
      </c>
      <c r="C7" s="8">
        <v>0.5</v>
      </c>
      <c r="D7" s="8">
        <v>1</v>
      </c>
      <c r="E7" s="8" t="s">
        <v>131</v>
      </c>
      <c r="F7" s="8" t="s">
        <v>82</v>
      </c>
      <c r="G7" s="8">
        <v>100</v>
      </c>
      <c r="H7" s="8">
        <v>0.05</v>
      </c>
      <c r="I7" s="8">
        <v>0.06</v>
      </c>
      <c r="J7" s="8">
        <v>0.03</v>
      </c>
      <c r="K7" s="8">
        <v>0.02</v>
      </c>
      <c r="L7" s="8">
        <v>100</v>
      </c>
      <c r="M7" s="8">
        <v>100</v>
      </c>
      <c r="N7" s="8">
        <v>150</v>
      </c>
      <c r="O7" s="8">
        <v>500</v>
      </c>
      <c r="P7" s="8">
        <v>500</v>
      </c>
      <c r="Q7" s="8">
        <v>300</v>
      </c>
      <c r="R7" s="8">
        <v>200</v>
      </c>
      <c r="S7" s="8">
        <v>0.2</v>
      </c>
      <c r="T7" s="8">
        <v>400</v>
      </c>
      <c r="U7" s="8">
        <v>300</v>
      </c>
      <c r="V7" s="8" t="s">
        <v>229</v>
      </c>
      <c r="W7" s="8">
        <v>5000</v>
      </c>
      <c r="X7" s="8">
        <v>200</v>
      </c>
      <c r="Y7" s="8">
        <v>400</v>
      </c>
      <c r="Z7" s="8" t="s">
        <v>260</v>
      </c>
      <c r="AA7" s="8">
        <v>0.1</v>
      </c>
      <c r="AB7" s="8">
        <v>300</v>
      </c>
      <c r="AC7" s="8">
        <v>300</v>
      </c>
      <c r="AD7" s="8">
        <v>250</v>
      </c>
      <c r="AE7" s="8">
        <v>305</v>
      </c>
      <c r="AF7" s="8">
        <v>400</v>
      </c>
      <c r="AG7" s="8">
        <v>1</v>
      </c>
      <c r="AH7" s="8">
        <v>200</v>
      </c>
    </row>
    <row r="8" customHeight="1" spans="2:34">
      <c r="B8" s="12">
        <v>339</v>
      </c>
      <c r="C8" s="8">
        <v>1</v>
      </c>
      <c r="D8" s="8">
        <v>0.7</v>
      </c>
      <c r="E8" s="8" t="s">
        <v>137</v>
      </c>
      <c r="F8" s="8" t="s">
        <v>82</v>
      </c>
      <c r="G8" s="8">
        <v>100</v>
      </c>
      <c r="H8" s="8">
        <v>0.03</v>
      </c>
      <c r="I8" s="8">
        <v>0.05</v>
      </c>
      <c r="J8" s="8">
        <v>0.02</v>
      </c>
      <c r="K8" s="8">
        <v>0.04</v>
      </c>
      <c r="L8" s="8">
        <v>100</v>
      </c>
      <c r="M8" s="8">
        <v>150</v>
      </c>
      <c r="N8" s="8">
        <v>160</v>
      </c>
      <c r="O8" s="8">
        <v>420</v>
      </c>
      <c r="P8" s="8">
        <v>500</v>
      </c>
      <c r="Q8" s="8">
        <v>320</v>
      </c>
      <c r="R8" s="8">
        <v>250</v>
      </c>
      <c r="S8" s="8">
        <v>0.03</v>
      </c>
      <c r="T8" s="8">
        <v>300</v>
      </c>
      <c r="U8" s="8">
        <v>300</v>
      </c>
      <c r="V8" s="8" t="s">
        <v>229</v>
      </c>
      <c r="W8" s="8">
        <v>5500</v>
      </c>
      <c r="X8" s="8">
        <v>200</v>
      </c>
      <c r="Y8" s="8">
        <v>400</v>
      </c>
      <c r="Z8" s="8" t="s">
        <v>260</v>
      </c>
      <c r="AA8" s="8">
        <v>0.1</v>
      </c>
      <c r="AB8" s="8">
        <v>340</v>
      </c>
      <c r="AC8" s="8">
        <v>300</v>
      </c>
      <c r="AD8" s="8">
        <v>230</v>
      </c>
      <c r="AE8" s="8">
        <v>400</v>
      </c>
      <c r="AF8" s="8">
        <v>350</v>
      </c>
      <c r="AG8" s="8">
        <v>1</v>
      </c>
      <c r="AH8" s="8">
        <v>300</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3"/>
  <sheetViews>
    <sheetView showGridLines="0" workbookViewId="0">
      <pane ySplit="4" topLeftCell="A5" activePane="bottomLeft" state="frozen"/>
      <selection/>
      <selection pane="bottomLeft" activeCell="F12" sqref="F12"/>
    </sheetView>
  </sheetViews>
  <sheetFormatPr defaultColWidth="9" defaultRowHeight="20" customHeight="1" outlineLevelCol="7"/>
  <cols>
    <col min="1" max="1" width="4.625" style="12" customWidth="1"/>
    <col min="2" max="2" width="4.625" style="12" hidden="1" customWidth="1"/>
    <col min="3" max="3" width="12.625" style="8" customWidth="1"/>
    <col min="4" max="4" width="12.625" style="14" customWidth="1"/>
    <col min="5" max="5" width="20.25" style="8" customWidth="1"/>
    <col min="6" max="7" width="12.625" style="8" customWidth="1"/>
    <col min="8" max="8" width="19.75" style="8" customWidth="1"/>
    <col min="9" max="16384" width="9" style="12"/>
  </cols>
  <sheetData>
    <row r="1" customFormat="1" ht="54.75" customHeight="1" spans="3:8">
      <c r="C1" s="12"/>
      <c r="D1" s="16"/>
      <c r="E1" s="15"/>
      <c r="F1" s="12"/>
      <c r="G1" s="12"/>
      <c r="H1" s="12"/>
    </row>
    <row r="2" customFormat="1" ht="40" customHeight="1" spans="3:8">
      <c r="C2" s="4" t="s">
        <v>261</v>
      </c>
      <c r="D2" s="16"/>
      <c r="E2" s="15"/>
      <c r="F2" s="12"/>
      <c r="G2" s="12"/>
      <c r="H2" s="12"/>
    </row>
    <row r="3" customFormat="1" ht="30" customHeight="1" spans="3:8">
      <c r="C3" s="12"/>
      <c r="D3" s="16"/>
      <c r="E3" s="15"/>
      <c r="F3" s="12"/>
      <c r="G3" s="12"/>
      <c r="H3" s="12"/>
    </row>
    <row r="4" customFormat="1" ht="30" customHeight="1" spans="3:8">
      <c r="C4" s="17" t="s">
        <v>262</v>
      </c>
      <c r="D4" s="19" t="s">
        <v>263</v>
      </c>
      <c r="E4" s="18" t="s">
        <v>193</v>
      </c>
      <c r="F4" s="17" t="s">
        <v>36</v>
      </c>
      <c r="G4" s="17" t="s">
        <v>264</v>
      </c>
      <c r="H4" s="17" t="s">
        <v>265</v>
      </c>
    </row>
    <row r="5" customHeight="1" spans="2:8">
      <c r="B5" s="12">
        <v>234</v>
      </c>
      <c r="C5" s="8" t="s">
        <v>80</v>
      </c>
      <c r="D5" s="14">
        <v>45042</v>
      </c>
      <c r="E5" s="8">
        <v>236270</v>
      </c>
      <c r="F5" s="8">
        <v>25</v>
      </c>
      <c r="G5" s="8">
        <v>243270</v>
      </c>
      <c r="H5" s="8">
        <v>441855</v>
      </c>
    </row>
    <row r="6" customHeight="1" spans="2:8">
      <c r="B6" s="12">
        <v>235</v>
      </c>
      <c r="C6" s="8" t="s">
        <v>93</v>
      </c>
      <c r="D6" s="14">
        <v>45011</v>
      </c>
      <c r="E6" s="8">
        <v>10000</v>
      </c>
      <c r="F6" s="8">
        <v>26</v>
      </c>
      <c r="G6" s="8">
        <v>920</v>
      </c>
      <c r="H6" s="8">
        <v>1100</v>
      </c>
    </row>
    <row r="7" customHeight="1" spans="2:8">
      <c r="B7" s="12">
        <v>236</v>
      </c>
      <c r="C7" s="8" t="s">
        <v>46</v>
      </c>
      <c r="D7" s="14">
        <v>45029</v>
      </c>
      <c r="E7" s="8">
        <v>9000</v>
      </c>
      <c r="F7" s="8">
        <v>0</v>
      </c>
      <c r="G7" s="8">
        <v>1310</v>
      </c>
      <c r="H7" s="8">
        <v>1000</v>
      </c>
    </row>
    <row r="8" customHeight="1" spans="2:8">
      <c r="B8" s="12">
        <v>237</v>
      </c>
      <c r="C8" s="8" t="s">
        <v>41</v>
      </c>
      <c r="D8" s="14">
        <v>45005</v>
      </c>
      <c r="E8" s="8">
        <v>8500</v>
      </c>
      <c r="F8" s="8">
        <v>25</v>
      </c>
      <c r="G8" s="8">
        <v>1240</v>
      </c>
      <c r="H8" s="8">
        <v>9400</v>
      </c>
    </row>
    <row r="9" customHeight="1" spans="2:8">
      <c r="B9" s="12">
        <v>238</v>
      </c>
      <c r="C9" s="8" t="s">
        <v>114</v>
      </c>
      <c r="D9" s="14">
        <v>45028</v>
      </c>
      <c r="E9" s="8">
        <v>9000</v>
      </c>
      <c r="F9" s="8">
        <v>20</v>
      </c>
      <c r="G9" s="8">
        <v>860</v>
      </c>
      <c r="H9" s="8">
        <v>1000</v>
      </c>
    </row>
    <row r="10" customHeight="1" spans="2:8">
      <c r="B10" s="12">
        <v>239</v>
      </c>
      <c r="C10" s="8" t="s">
        <v>47</v>
      </c>
      <c r="D10" s="14">
        <v>45046</v>
      </c>
      <c r="E10" s="8">
        <v>5000</v>
      </c>
      <c r="F10" s="8">
        <v>23</v>
      </c>
      <c r="G10" s="8">
        <v>940</v>
      </c>
      <c r="H10" s="8">
        <v>6020</v>
      </c>
    </row>
    <row r="11" customHeight="1" spans="2:8">
      <c r="B11" s="12">
        <v>240</v>
      </c>
      <c r="C11" s="8" t="s">
        <v>48</v>
      </c>
      <c r="D11" s="14">
        <v>45032</v>
      </c>
      <c r="E11" s="8">
        <v>7000</v>
      </c>
      <c r="F11" s="8">
        <v>23</v>
      </c>
      <c r="G11" s="8">
        <v>830</v>
      </c>
      <c r="H11" s="8">
        <v>8310</v>
      </c>
    </row>
    <row r="12" customHeight="1" spans="2:8">
      <c r="B12" s="12">
        <v>241</v>
      </c>
      <c r="C12" s="8" t="s">
        <v>49</v>
      </c>
      <c r="D12" s="14">
        <v>45043</v>
      </c>
      <c r="E12" s="8">
        <v>4250150</v>
      </c>
      <c r="F12" s="8">
        <v>22</v>
      </c>
      <c r="G12" s="8">
        <v>1125</v>
      </c>
      <c r="H12" s="8">
        <v>1315</v>
      </c>
    </row>
    <row r="13" customHeight="1" spans="2:8">
      <c r="B13" s="12">
        <v>242</v>
      </c>
      <c r="C13" s="8" t="s">
        <v>50</v>
      </c>
      <c r="D13" s="14">
        <v>45043</v>
      </c>
      <c r="E13" s="8">
        <v>6790</v>
      </c>
      <c r="F13" s="8">
        <v>22</v>
      </c>
      <c r="G13" s="8">
        <v>1052190</v>
      </c>
      <c r="H13" s="8">
        <v>901995</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14"/>
  <sheetViews>
    <sheetView showGridLines="0" workbookViewId="0">
      <pane ySplit="4" topLeftCell="A7" activePane="bottomLeft" state="frozen"/>
      <selection/>
      <selection pane="bottomLeft" activeCell="J10" sqref="J10"/>
    </sheetView>
  </sheetViews>
  <sheetFormatPr defaultColWidth="9" defaultRowHeight="20" customHeight="1"/>
  <cols>
    <col min="1" max="1" width="4.5" style="12" customWidth="1"/>
    <col min="2" max="2" width="4.625" style="12" hidden="1" customWidth="1"/>
    <col min="3" max="8" width="12.625" style="8" customWidth="1"/>
    <col min="9" max="9" width="12.625" style="14" customWidth="1"/>
    <col min="10" max="16384" width="9" style="12"/>
  </cols>
  <sheetData>
    <row r="1" customFormat="1" ht="54.75" customHeight="1" spans="3:9">
      <c r="C1" s="12"/>
      <c r="D1" s="12"/>
      <c r="E1" s="12"/>
      <c r="F1" s="12"/>
      <c r="G1" s="12"/>
      <c r="H1" s="12"/>
      <c r="I1" s="16"/>
    </row>
    <row r="2" customFormat="1" ht="40" customHeight="1" spans="3:9">
      <c r="C2" s="4" t="s">
        <v>266</v>
      </c>
      <c r="D2" s="12"/>
      <c r="E2" s="12"/>
      <c r="F2" s="12"/>
      <c r="G2" s="12"/>
      <c r="H2" s="12"/>
      <c r="I2" s="16"/>
    </row>
    <row r="3" customFormat="1" ht="30" customHeight="1" spans="3:9">
      <c r="C3" s="12"/>
      <c r="D3" s="12"/>
      <c r="E3" s="12"/>
      <c r="F3" s="12"/>
      <c r="G3" s="12"/>
      <c r="H3" s="12"/>
      <c r="I3" s="16"/>
    </row>
    <row r="4" customFormat="1" ht="30" customHeight="1" spans="3:9">
      <c r="C4" s="17" t="s">
        <v>193</v>
      </c>
      <c r="D4" s="17" t="s">
        <v>264</v>
      </c>
      <c r="E4" s="17" t="s">
        <v>265</v>
      </c>
      <c r="F4" s="17" t="s">
        <v>267</v>
      </c>
      <c r="G4" s="17" t="s">
        <v>36</v>
      </c>
      <c r="H4" s="17" t="s">
        <v>268</v>
      </c>
      <c r="I4" s="19" t="s">
        <v>269</v>
      </c>
    </row>
    <row r="5" s="12" customFormat="1" customHeight="1" spans="2:9">
      <c r="B5" s="12">
        <v>21</v>
      </c>
      <c r="C5" s="8">
        <v>236270</v>
      </c>
      <c r="D5" s="8">
        <v>243270</v>
      </c>
      <c r="E5" s="8">
        <v>441855</v>
      </c>
      <c r="F5" s="8">
        <v>1</v>
      </c>
      <c r="G5" s="8">
        <v>25</v>
      </c>
      <c r="H5" s="8" t="s">
        <v>93</v>
      </c>
      <c r="I5" s="14">
        <v>45043</v>
      </c>
    </row>
    <row r="6" customHeight="1" spans="2:9">
      <c r="B6" s="12">
        <v>22</v>
      </c>
      <c r="C6" s="8">
        <v>3000</v>
      </c>
      <c r="D6" s="8">
        <v>0</v>
      </c>
      <c r="E6" s="8">
        <v>3000</v>
      </c>
      <c r="F6" s="8">
        <v>1</v>
      </c>
      <c r="G6" s="8">
        <v>25</v>
      </c>
      <c r="H6" s="8" t="s">
        <v>80</v>
      </c>
      <c r="I6" s="14">
        <v>45042</v>
      </c>
    </row>
    <row r="7" customHeight="1" spans="2:9">
      <c r="B7" s="12">
        <v>23</v>
      </c>
      <c r="C7" s="8">
        <v>3000</v>
      </c>
      <c r="D7" s="8">
        <v>100</v>
      </c>
      <c r="E7" s="8">
        <v>2900</v>
      </c>
      <c r="F7" s="8">
        <v>1</v>
      </c>
      <c r="G7" s="8">
        <v>22</v>
      </c>
      <c r="H7" s="8" t="s">
        <v>47</v>
      </c>
      <c r="I7" s="14">
        <v>45044</v>
      </c>
    </row>
    <row r="8" customHeight="1" spans="2:9">
      <c r="B8" s="12">
        <v>24</v>
      </c>
      <c r="C8" s="8">
        <v>6000</v>
      </c>
      <c r="D8" s="8">
        <v>200</v>
      </c>
      <c r="E8" s="8">
        <v>5800</v>
      </c>
      <c r="F8" s="8">
        <v>1</v>
      </c>
      <c r="G8" s="8">
        <v>22</v>
      </c>
      <c r="H8" s="8" t="s">
        <v>46</v>
      </c>
      <c r="I8" s="14">
        <v>45041</v>
      </c>
    </row>
    <row r="9" customHeight="1" spans="2:8">
      <c r="B9" s="12">
        <v>25</v>
      </c>
      <c r="C9" s="8">
        <v>10000</v>
      </c>
      <c r="D9" s="8">
        <v>0</v>
      </c>
      <c r="E9" s="8">
        <v>10000</v>
      </c>
      <c r="F9" s="8">
        <v>1</v>
      </c>
      <c r="G9" s="8">
        <v>21</v>
      </c>
      <c r="H9" s="8" t="s">
        <v>48</v>
      </c>
    </row>
    <row r="10" customHeight="1" spans="2:8">
      <c r="B10" s="12">
        <v>26</v>
      </c>
      <c r="C10" s="8">
        <v>8000</v>
      </c>
      <c r="D10" s="8">
        <v>30</v>
      </c>
      <c r="E10" s="8">
        <v>7970</v>
      </c>
      <c r="F10" s="8">
        <v>1</v>
      </c>
      <c r="G10" s="8">
        <v>22</v>
      </c>
      <c r="H10" s="8" t="s">
        <v>41</v>
      </c>
    </row>
    <row r="11" customHeight="1" spans="2:9">
      <c r="B11" s="12">
        <v>27</v>
      </c>
      <c r="C11" s="8">
        <v>7800</v>
      </c>
      <c r="D11" s="8">
        <v>300</v>
      </c>
      <c r="E11" s="8">
        <v>7500</v>
      </c>
      <c r="F11" s="8">
        <v>1</v>
      </c>
      <c r="G11" s="8">
        <v>22</v>
      </c>
      <c r="H11" s="8" t="s">
        <v>114</v>
      </c>
      <c r="I11" s="14">
        <v>45035</v>
      </c>
    </row>
    <row r="12" customHeight="1" spans="2:9">
      <c r="B12" s="12">
        <v>28</v>
      </c>
      <c r="C12" s="8">
        <v>6000</v>
      </c>
      <c r="D12" s="8">
        <v>70</v>
      </c>
      <c r="E12" s="8">
        <v>5930</v>
      </c>
      <c r="F12" s="8">
        <v>1</v>
      </c>
      <c r="G12" s="8">
        <v>22</v>
      </c>
      <c r="H12" s="8" t="s">
        <v>49</v>
      </c>
      <c r="I12" s="14">
        <v>45045</v>
      </c>
    </row>
    <row r="13" customHeight="1" spans="2:9">
      <c r="B13" s="12">
        <v>29</v>
      </c>
      <c r="C13" s="8">
        <v>7500</v>
      </c>
      <c r="D13" s="8">
        <v>500</v>
      </c>
      <c r="E13" s="8">
        <v>7000</v>
      </c>
      <c r="F13" s="8">
        <v>1</v>
      </c>
      <c r="G13" s="8">
        <v>22</v>
      </c>
      <c r="H13" s="8" t="s">
        <v>50</v>
      </c>
      <c r="I13" s="14">
        <v>45027</v>
      </c>
    </row>
    <row r="14" customHeight="1" spans="2:9">
      <c r="B14" s="12">
        <v>31</v>
      </c>
      <c r="C14" s="8">
        <v>4523210</v>
      </c>
      <c r="D14" s="8">
        <v>1300525</v>
      </c>
      <c r="E14" s="8">
        <v>1361495</v>
      </c>
      <c r="F14" s="8">
        <v>9</v>
      </c>
      <c r="G14" s="8">
        <v>4523210</v>
      </c>
      <c r="H14" s="8" t="s">
        <v>93</v>
      </c>
      <c r="I14" s="14">
        <v>45107</v>
      </c>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J13"/>
  <sheetViews>
    <sheetView showGridLines="0" workbookViewId="0">
      <pane ySplit="4" topLeftCell="A5" activePane="bottomLeft" state="frozen"/>
      <selection/>
      <selection pane="bottomLeft" activeCell="G13" sqref="G13"/>
    </sheetView>
  </sheetViews>
  <sheetFormatPr defaultColWidth="9" defaultRowHeight="20" customHeight="1"/>
  <cols>
    <col min="1" max="1" width="4.625" customWidth="1"/>
    <col min="2" max="2" width="4.625" hidden="1" customWidth="1"/>
    <col min="3" max="3" width="12.625" style="8" customWidth="1"/>
    <col min="4" max="4" width="12.625" style="20" customWidth="1"/>
    <col min="5" max="5" width="22.875" style="10" customWidth="1"/>
    <col min="6" max="7" width="12.625" style="8" customWidth="1"/>
    <col min="8" max="8" width="20" style="8" customWidth="1"/>
    <col min="9" max="10" width="12.625" style="8" customWidth="1"/>
  </cols>
  <sheetData>
    <row r="1" ht="54.75" customHeight="1" spans="3:10">
      <c r="C1" s="12"/>
      <c r="D1" s="21"/>
      <c r="E1" s="15"/>
      <c r="F1" s="12"/>
      <c r="G1" s="12"/>
      <c r="H1" s="12"/>
      <c r="I1" s="12"/>
      <c r="J1" s="12"/>
    </row>
    <row r="2" ht="40" customHeight="1" spans="3:10">
      <c r="C2" s="4" t="s">
        <v>270</v>
      </c>
      <c r="D2" s="21"/>
      <c r="E2" s="15"/>
      <c r="F2" s="12"/>
      <c r="G2" s="12"/>
      <c r="H2" s="12"/>
      <c r="I2" s="12"/>
      <c r="J2" s="12"/>
    </row>
    <row r="3" ht="30" customHeight="1" spans="3:10">
      <c r="C3" s="12"/>
      <c r="D3" s="21"/>
      <c r="E3" s="15"/>
      <c r="F3" s="12"/>
      <c r="G3" s="12"/>
      <c r="H3" s="12"/>
      <c r="I3" s="12"/>
      <c r="J3" s="12"/>
    </row>
    <row r="4" ht="30" customHeight="1" spans="3:10">
      <c r="C4" s="17" t="s">
        <v>35</v>
      </c>
      <c r="D4" s="22" t="s">
        <v>271</v>
      </c>
      <c r="E4" s="18" t="s">
        <v>272</v>
      </c>
      <c r="F4" s="17" t="s">
        <v>273</v>
      </c>
      <c r="G4" s="17" t="s">
        <v>274</v>
      </c>
      <c r="H4" s="17" t="s">
        <v>275</v>
      </c>
      <c r="I4" s="17" t="s">
        <v>276</v>
      </c>
      <c r="J4" s="17" t="s">
        <v>277</v>
      </c>
    </row>
    <row r="5" customHeight="1" spans="2:10">
      <c r="B5">
        <v>234</v>
      </c>
      <c r="C5" s="8" t="s">
        <v>80</v>
      </c>
      <c r="D5" s="20" t="s">
        <v>278</v>
      </c>
      <c r="E5" s="10" t="s">
        <v>84</v>
      </c>
      <c r="F5" s="8">
        <v>9000</v>
      </c>
      <c r="G5" s="8">
        <v>441855</v>
      </c>
      <c r="H5" s="8">
        <v>117000</v>
      </c>
      <c r="I5" s="8">
        <v>36000</v>
      </c>
      <c r="J5" s="8">
        <v>6</v>
      </c>
    </row>
    <row r="6" customHeight="1" spans="2:10">
      <c r="B6">
        <v>235</v>
      </c>
      <c r="C6" s="8" t="s">
        <v>93</v>
      </c>
      <c r="D6" s="20" t="s">
        <v>278</v>
      </c>
      <c r="E6" s="10" t="s">
        <v>96</v>
      </c>
      <c r="F6" s="8">
        <v>6000</v>
      </c>
      <c r="G6" s="8">
        <v>10000</v>
      </c>
      <c r="H6" s="8">
        <v>0</v>
      </c>
      <c r="I6" s="8">
        <v>400</v>
      </c>
      <c r="J6" s="8">
        <v>6</v>
      </c>
    </row>
    <row r="7" customHeight="1" spans="2:9">
      <c r="B7">
        <v>236</v>
      </c>
      <c r="C7" s="8" t="s">
        <v>46</v>
      </c>
      <c r="D7" s="20" t="s">
        <v>278</v>
      </c>
      <c r="E7" s="10" t="s">
        <v>102</v>
      </c>
      <c r="F7" s="8">
        <v>5000</v>
      </c>
      <c r="G7" s="8">
        <v>9000</v>
      </c>
      <c r="H7" s="8">
        <v>0</v>
      </c>
      <c r="I7" s="8">
        <v>360</v>
      </c>
    </row>
    <row r="8" customHeight="1" spans="2:9">
      <c r="B8">
        <v>237</v>
      </c>
      <c r="C8" s="8" t="s">
        <v>41</v>
      </c>
      <c r="D8" s="20" t="s">
        <v>278</v>
      </c>
      <c r="E8" s="10" t="s">
        <v>108</v>
      </c>
      <c r="F8" s="8">
        <v>3000</v>
      </c>
      <c r="G8" s="8">
        <v>8500</v>
      </c>
      <c r="H8" s="8">
        <v>0</v>
      </c>
      <c r="I8" s="8">
        <v>340</v>
      </c>
    </row>
    <row r="9" customHeight="1" spans="2:9">
      <c r="B9">
        <v>238</v>
      </c>
      <c r="C9" s="8" t="s">
        <v>114</v>
      </c>
      <c r="D9" s="20" t="s">
        <v>278</v>
      </c>
      <c r="E9" s="10" t="s">
        <v>116</v>
      </c>
      <c r="F9" s="8">
        <v>5000</v>
      </c>
      <c r="G9" s="8">
        <v>9000</v>
      </c>
      <c r="H9" s="8">
        <v>0</v>
      </c>
      <c r="I9" s="8">
        <v>360</v>
      </c>
    </row>
    <row r="10" customHeight="1" spans="2:9">
      <c r="B10">
        <v>239</v>
      </c>
      <c r="C10" s="8" t="s">
        <v>47</v>
      </c>
      <c r="D10" s="20" t="s">
        <v>278</v>
      </c>
      <c r="E10" s="10" t="s">
        <v>249</v>
      </c>
      <c r="F10" s="8">
        <v>5000</v>
      </c>
      <c r="G10" s="8">
        <v>5000</v>
      </c>
      <c r="H10" s="8">
        <v>0</v>
      </c>
      <c r="I10" s="8">
        <v>200</v>
      </c>
    </row>
    <row r="11" customHeight="1" spans="2:9">
      <c r="B11">
        <v>240</v>
      </c>
      <c r="C11" s="8" t="s">
        <v>48</v>
      </c>
      <c r="D11" s="20" t="s">
        <v>278</v>
      </c>
      <c r="E11" s="10" t="s">
        <v>127</v>
      </c>
      <c r="F11" s="8">
        <v>3000</v>
      </c>
      <c r="G11" s="8">
        <v>7000</v>
      </c>
      <c r="H11" s="8">
        <v>0</v>
      </c>
      <c r="I11" s="8">
        <v>280</v>
      </c>
    </row>
    <row r="12" customHeight="1" spans="2:9">
      <c r="B12">
        <v>241</v>
      </c>
      <c r="C12" s="8" t="s">
        <v>49</v>
      </c>
      <c r="D12" s="20" t="s">
        <v>278</v>
      </c>
      <c r="E12" s="10" t="s">
        <v>133</v>
      </c>
      <c r="F12" s="8">
        <v>5000</v>
      </c>
      <c r="G12" s="8">
        <v>840</v>
      </c>
      <c r="H12" s="8">
        <v>150</v>
      </c>
      <c r="I12" s="8">
        <v>150</v>
      </c>
    </row>
    <row r="13" customHeight="1" spans="2:9">
      <c r="B13">
        <v>242</v>
      </c>
      <c r="C13" s="8" t="s">
        <v>50</v>
      </c>
      <c r="D13" s="20" t="s">
        <v>278</v>
      </c>
      <c r="E13" s="10" t="s">
        <v>139</v>
      </c>
      <c r="F13" s="8">
        <v>5000</v>
      </c>
      <c r="G13" s="8">
        <v>6790</v>
      </c>
      <c r="H13" s="8">
        <v>900</v>
      </c>
      <c r="I13" s="8">
        <v>900</v>
      </c>
    </row>
  </sheetData>
  <conditionalFormatting sqref="C5:J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8"/>
  <sheetViews>
    <sheetView showGridLines="0" workbookViewId="0">
      <pane ySplit="4" topLeftCell="A5" activePane="bottomLeft" state="frozen"/>
      <selection/>
      <selection pane="bottomLeft" activeCell="H13" sqref="H13"/>
    </sheetView>
  </sheetViews>
  <sheetFormatPr defaultColWidth="9" defaultRowHeight="20" customHeight="1" outlineLevelRow="7"/>
  <cols>
    <col min="1" max="1" width="4.625" style="12" customWidth="1"/>
    <col min="2" max="2" width="4.625" style="12" hidden="1" customWidth="1"/>
    <col min="3" max="49" width="12.625" style="8" customWidth="1"/>
    <col min="50" max="16384" width="9" style="12"/>
  </cols>
  <sheetData>
    <row r="1" s="12" customFormat="1" ht="54.75" customHeight="1"/>
    <row r="2" s="12" customFormat="1" ht="40" customHeight="1" spans="3:3">
      <c r="C2" s="4" t="s">
        <v>279</v>
      </c>
    </row>
    <row r="3" s="12" customFormat="1" ht="30" customHeight="1"/>
    <row r="4" s="12" customFormat="1" ht="30" customHeight="1" spans="3:49">
      <c r="C4" s="17" t="s">
        <v>53</v>
      </c>
      <c r="D4" s="17" t="s">
        <v>280</v>
      </c>
      <c r="E4" s="17" t="s">
        <v>65</v>
      </c>
      <c r="F4" s="17" t="s">
        <v>66</v>
      </c>
      <c r="G4" s="17" t="s">
        <v>155</v>
      </c>
      <c r="H4" s="17" t="s">
        <v>156</v>
      </c>
      <c r="I4" s="17" t="s">
        <v>157</v>
      </c>
      <c r="J4" s="17" t="s">
        <v>158</v>
      </c>
      <c r="K4" s="17" t="s">
        <v>159</v>
      </c>
      <c r="L4" s="17" t="s">
        <v>160</v>
      </c>
      <c r="M4" s="17" t="s">
        <v>161</v>
      </c>
      <c r="N4" s="17" t="s">
        <v>162</v>
      </c>
      <c r="O4" s="17" t="s">
        <v>163</v>
      </c>
      <c r="P4" s="17" t="s">
        <v>164</v>
      </c>
      <c r="Q4" s="17" t="s">
        <v>40</v>
      </c>
      <c r="R4" s="17" t="s">
        <v>165</v>
      </c>
      <c r="S4" s="17" t="s">
        <v>166</v>
      </c>
      <c r="T4" s="17" t="s">
        <v>167</v>
      </c>
      <c r="U4" s="17" t="s">
        <v>168</v>
      </c>
      <c r="V4" s="17" t="s">
        <v>169</v>
      </c>
      <c r="W4" s="17" t="s">
        <v>170</v>
      </c>
      <c r="X4" s="17" t="s">
        <v>171</v>
      </c>
      <c r="Y4" s="17" t="s">
        <v>172</v>
      </c>
      <c r="Z4" s="17" t="s">
        <v>173</v>
      </c>
      <c r="AA4" s="17" t="s">
        <v>174</v>
      </c>
      <c r="AB4" s="17" t="s">
        <v>175</v>
      </c>
      <c r="AC4" s="17" t="s">
        <v>176</v>
      </c>
      <c r="AD4" s="17" t="s">
        <v>177</v>
      </c>
      <c r="AE4" s="17" t="s">
        <v>178</v>
      </c>
      <c r="AF4" s="17" t="s">
        <v>179</v>
      </c>
      <c r="AG4" s="17" t="s">
        <v>180</v>
      </c>
      <c r="AH4" s="17" t="s">
        <v>181</v>
      </c>
      <c r="AI4" s="17" t="s">
        <v>182</v>
      </c>
      <c r="AJ4" s="17" t="s">
        <v>183</v>
      </c>
      <c r="AK4" s="17" t="s">
        <v>184</v>
      </c>
      <c r="AL4" s="17" t="s">
        <v>185</v>
      </c>
      <c r="AM4" s="17" t="s">
        <v>244</v>
      </c>
      <c r="AN4" s="17" t="s">
        <v>178</v>
      </c>
      <c r="AO4" s="17" t="s">
        <v>179</v>
      </c>
      <c r="AP4" s="17" t="s">
        <v>186</v>
      </c>
      <c r="AQ4" s="17" t="s">
        <v>187</v>
      </c>
      <c r="AR4" s="17" t="s">
        <v>188</v>
      </c>
      <c r="AS4" s="17" t="s">
        <v>189</v>
      </c>
      <c r="AT4" s="17" t="s">
        <v>190</v>
      </c>
      <c r="AU4" s="17" t="s">
        <v>191</v>
      </c>
      <c r="AV4" s="17" t="s">
        <v>192</v>
      </c>
      <c r="AW4" s="17" t="s">
        <v>193</v>
      </c>
    </row>
    <row r="5" customHeight="1" spans="3:49">
      <c r="C5" s="8" t="s">
        <v>106</v>
      </c>
      <c r="D5" s="8">
        <v>3</v>
      </c>
      <c r="E5" s="8">
        <v>11000</v>
      </c>
      <c r="F5" s="8">
        <v>5400</v>
      </c>
      <c r="G5" s="8">
        <v>20500</v>
      </c>
      <c r="H5" s="8">
        <v>20500</v>
      </c>
      <c r="I5" s="8">
        <v>0</v>
      </c>
      <c r="J5" s="8">
        <v>0</v>
      </c>
      <c r="K5" s="8">
        <v>71</v>
      </c>
      <c r="L5" s="8">
        <v>111</v>
      </c>
      <c r="M5" s="8">
        <v>600</v>
      </c>
      <c r="N5" s="8">
        <v>20500</v>
      </c>
      <c r="O5" s="8">
        <v>0</v>
      </c>
      <c r="P5" s="8">
        <v>90</v>
      </c>
      <c r="Q5" s="8">
        <v>4</v>
      </c>
      <c r="R5" s="8">
        <v>200</v>
      </c>
      <c r="S5" s="8">
        <v>20500</v>
      </c>
      <c r="T5" s="8">
        <v>0.9</v>
      </c>
      <c r="U5" s="8">
        <v>0</v>
      </c>
      <c r="V5" s="8">
        <v>1.5</v>
      </c>
      <c r="W5" s="8">
        <v>0</v>
      </c>
      <c r="X5" s="8">
        <v>1100</v>
      </c>
      <c r="Y5" s="8">
        <v>20</v>
      </c>
      <c r="Z5" s="8">
        <v>800</v>
      </c>
      <c r="AA5" s="8">
        <v>200</v>
      </c>
      <c r="AB5" s="8">
        <v>200</v>
      </c>
      <c r="AC5" s="8">
        <v>910</v>
      </c>
      <c r="AD5" s="8">
        <v>20500</v>
      </c>
      <c r="AE5" s="8">
        <v>0</v>
      </c>
      <c r="AF5" s="8">
        <v>0</v>
      </c>
      <c r="AG5" s="8">
        <v>20500</v>
      </c>
      <c r="AH5" s="8">
        <v>210</v>
      </c>
      <c r="AI5" s="8">
        <v>0</v>
      </c>
      <c r="AJ5" s="8">
        <v>700</v>
      </c>
      <c r="AK5" s="8">
        <v>550</v>
      </c>
      <c r="AL5" s="8">
        <v>730</v>
      </c>
      <c r="AM5" s="8">
        <v>820</v>
      </c>
      <c r="AN5" s="8">
        <v>0</v>
      </c>
      <c r="AO5" s="8">
        <v>0</v>
      </c>
      <c r="AP5" s="8">
        <v>20500</v>
      </c>
      <c r="AQ5" s="8">
        <v>24000</v>
      </c>
      <c r="AR5" s="8">
        <v>3000</v>
      </c>
      <c r="AS5" s="8">
        <v>0</v>
      </c>
      <c r="AT5" s="8">
        <v>0</v>
      </c>
      <c r="AU5" s="8">
        <v>1000</v>
      </c>
      <c r="AV5" s="8">
        <v>0</v>
      </c>
      <c r="AW5" s="8">
        <v>20500</v>
      </c>
    </row>
    <row r="6" customHeight="1" spans="3:49">
      <c r="C6" s="8" t="s">
        <v>137</v>
      </c>
      <c r="D6" s="8">
        <v>1</v>
      </c>
      <c r="E6" s="8">
        <v>5000</v>
      </c>
      <c r="F6" s="8">
        <v>300</v>
      </c>
      <c r="G6" s="8">
        <v>6790</v>
      </c>
      <c r="H6" s="8">
        <v>6790</v>
      </c>
      <c r="I6" s="8">
        <v>0</v>
      </c>
      <c r="J6" s="8">
        <v>0</v>
      </c>
      <c r="K6" s="8">
        <v>22</v>
      </c>
      <c r="L6" s="8">
        <v>50</v>
      </c>
      <c r="M6" s="8">
        <v>350</v>
      </c>
      <c r="N6" s="8">
        <v>7000</v>
      </c>
      <c r="O6" s="8">
        <v>0</v>
      </c>
      <c r="P6" s="8">
        <v>300</v>
      </c>
      <c r="Q6" s="8">
        <v>5</v>
      </c>
      <c r="R6" s="8">
        <v>500</v>
      </c>
      <c r="S6" s="8">
        <v>6791</v>
      </c>
      <c r="T6" s="8">
        <v>0.3</v>
      </c>
      <c r="U6" s="8">
        <v>0</v>
      </c>
      <c r="V6" s="8">
        <v>0.5</v>
      </c>
      <c r="W6" s="8">
        <v>0</v>
      </c>
      <c r="X6" s="8">
        <v>900000</v>
      </c>
      <c r="Y6" s="8">
        <v>120</v>
      </c>
      <c r="Z6" s="8">
        <v>225</v>
      </c>
      <c r="AA6" s="8">
        <v>840</v>
      </c>
      <c r="AB6" s="8">
        <v>60</v>
      </c>
      <c r="AC6" s="8">
        <v>600</v>
      </c>
      <c r="AD6" s="8">
        <v>150</v>
      </c>
      <c r="AE6" s="8">
        <v>0</v>
      </c>
      <c r="AF6" s="8">
        <v>0</v>
      </c>
      <c r="AG6" s="8">
        <v>6790</v>
      </c>
      <c r="AH6" s="8">
        <v>1050000</v>
      </c>
      <c r="AI6" s="8">
        <v>900</v>
      </c>
      <c r="AJ6" s="8">
        <v>60</v>
      </c>
      <c r="AK6" s="8">
        <v>30</v>
      </c>
      <c r="AL6" s="8">
        <v>300</v>
      </c>
      <c r="AM6" s="8">
        <v>900</v>
      </c>
      <c r="AN6" s="8">
        <v>0</v>
      </c>
      <c r="AO6" s="8">
        <v>0</v>
      </c>
      <c r="AP6" s="8">
        <v>315</v>
      </c>
      <c r="AQ6" s="8">
        <v>7000</v>
      </c>
      <c r="AR6" s="8">
        <v>297</v>
      </c>
      <c r="AS6" s="8">
        <v>0.1</v>
      </c>
      <c r="AT6" s="8">
        <v>0</v>
      </c>
      <c r="AU6" s="8">
        <v>303</v>
      </c>
      <c r="AV6" s="8">
        <v>0</v>
      </c>
      <c r="AW6" s="8">
        <v>6790</v>
      </c>
    </row>
    <row r="7" customHeight="1" spans="3:49">
      <c r="C7" s="8" t="s">
        <v>131</v>
      </c>
      <c r="D7" s="8">
        <v>1</v>
      </c>
      <c r="E7" s="8">
        <v>5000</v>
      </c>
      <c r="F7" s="8">
        <v>200</v>
      </c>
      <c r="G7" s="8">
        <v>4950</v>
      </c>
      <c r="H7" s="8">
        <v>4950</v>
      </c>
      <c r="I7" s="8">
        <v>0</v>
      </c>
      <c r="J7" s="8">
        <v>0</v>
      </c>
      <c r="K7" s="8">
        <v>22</v>
      </c>
      <c r="L7" s="8">
        <v>40</v>
      </c>
      <c r="M7" s="8">
        <v>400</v>
      </c>
      <c r="N7" s="8">
        <v>5500</v>
      </c>
      <c r="O7" s="8">
        <v>0</v>
      </c>
      <c r="P7" s="8">
        <v>200</v>
      </c>
      <c r="Q7" s="8">
        <v>3</v>
      </c>
      <c r="R7" s="8">
        <v>300</v>
      </c>
      <c r="S7" s="8">
        <v>4950</v>
      </c>
      <c r="T7" s="8">
        <v>0.3</v>
      </c>
      <c r="U7" s="8">
        <v>0</v>
      </c>
      <c r="V7" s="8">
        <v>0.5</v>
      </c>
      <c r="W7" s="8">
        <v>0</v>
      </c>
      <c r="X7" s="8">
        <v>150</v>
      </c>
      <c r="Y7" s="8">
        <v>200</v>
      </c>
      <c r="Z7" s="8">
        <v>375</v>
      </c>
      <c r="AA7" s="8">
        <v>140</v>
      </c>
      <c r="AB7" s="8">
        <v>100</v>
      </c>
      <c r="AC7" s="8">
        <v>100</v>
      </c>
      <c r="AD7" s="8">
        <v>250</v>
      </c>
      <c r="AE7" s="8">
        <v>0</v>
      </c>
      <c r="AF7" s="8">
        <v>0</v>
      </c>
      <c r="AG7" s="8">
        <v>840</v>
      </c>
      <c r="AH7" s="8">
        <v>175</v>
      </c>
      <c r="AI7" s="8">
        <v>150</v>
      </c>
      <c r="AJ7" s="8">
        <v>100</v>
      </c>
      <c r="AK7" s="8">
        <v>50</v>
      </c>
      <c r="AL7" s="8">
        <v>500</v>
      </c>
      <c r="AM7" s="8">
        <v>150</v>
      </c>
      <c r="AN7" s="8">
        <v>0</v>
      </c>
      <c r="AO7" s="8">
        <v>0</v>
      </c>
      <c r="AP7" s="8">
        <v>4950</v>
      </c>
      <c r="AQ7" s="8">
        <v>5200</v>
      </c>
      <c r="AR7" s="8">
        <v>200</v>
      </c>
      <c r="AS7" s="8">
        <v>0</v>
      </c>
      <c r="AT7" s="8">
        <v>0</v>
      </c>
      <c r="AU7" s="8">
        <v>0</v>
      </c>
      <c r="AV7" s="8">
        <v>0</v>
      </c>
      <c r="AW7" s="8">
        <v>4250150</v>
      </c>
    </row>
    <row r="8" customHeight="1" spans="3:49">
      <c r="C8" s="8" t="s">
        <v>81</v>
      </c>
      <c r="D8" s="8">
        <v>4</v>
      </c>
      <c r="E8" s="8">
        <v>25000</v>
      </c>
      <c r="F8" s="8">
        <v>6450</v>
      </c>
      <c r="G8" s="8">
        <v>33000</v>
      </c>
      <c r="H8" s="8">
        <v>265900</v>
      </c>
      <c r="I8" s="8">
        <v>34</v>
      </c>
      <c r="J8" s="8">
        <v>38</v>
      </c>
      <c r="K8" s="8">
        <v>71</v>
      </c>
      <c r="L8" s="8">
        <v>140</v>
      </c>
      <c r="M8" s="8">
        <v>728</v>
      </c>
      <c r="N8" s="8">
        <v>37000</v>
      </c>
      <c r="O8" s="8">
        <v>2</v>
      </c>
      <c r="P8" s="8">
        <v>0</v>
      </c>
      <c r="Q8" s="8">
        <v>0</v>
      </c>
      <c r="R8" s="8">
        <v>150</v>
      </c>
      <c r="S8" s="8">
        <v>260270</v>
      </c>
      <c r="T8" s="8">
        <v>1.2</v>
      </c>
      <c r="U8" s="8">
        <v>6</v>
      </c>
      <c r="V8" s="8">
        <v>2</v>
      </c>
      <c r="W8" s="8">
        <v>14</v>
      </c>
      <c r="X8" s="8">
        <v>90900</v>
      </c>
      <c r="Y8" s="8">
        <v>126000</v>
      </c>
      <c r="Z8" s="8">
        <v>1075</v>
      </c>
      <c r="AA8" s="8">
        <v>162000</v>
      </c>
      <c r="AB8" s="8">
        <v>780</v>
      </c>
      <c r="AC8" s="8">
        <v>19200</v>
      </c>
      <c r="AD8" s="8">
        <v>45000</v>
      </c>
      <c r="AE8" s="8">
        <v>12</v>
      </c>
      <c r="AF8" s="8">
        <v>16</v>
      </c>
      <c r="AG8" s="8">
        <v>469855</v>
      </c>
      <c r="AH8" s="8">
        <v>81400</v>
      </c>
      <c r="AI8" s="8">
        <v>117000</v>
      </c>
      <c r="AJ8" s="8">
        <v>450</v>
      </c>
      <c r="AK8" s="8">
        <v>490</v>
      </c>
      <c r="AL8" s="8">
        <v>9900</v>
      </c>
      <c r="AM8" s="8">
        <v>37120</v>
      </c>
      <c r="AN8" s="8">
        <v>12</v>
      </c>
      <c r="AO8" s="8">
        <v>16</v>
      </c>
      <c r="AP8" s="8">
        <v>282270</v>
      </c>
      <c r="AQ8" s="8">
        <v>43000</v>
      </c>
      <c r="AR8" s="8">
        <v>4000</v>
      </c>
      <c r="AS8" s="8">
        <v>0</v>
      </c>
      <c r="AT8" s="8">
        <v>10</v>
      </c>
      <c r="AU8" s="8">
        <v>880</v>
      </c>
      <c r="AV8" s="8">
        <v>40</v>
      </c>
      <c r="AW8" s="8">
        <v>264270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E12" sqref="E12"/>
    </sheetView>
  </sheetViews>
  <sheetFormatPr defaultColWidth="9" defaultRowHeight="20" customHeight="1" outlineLevelRow="7"/>
  <cols>
    <col min="1" max="1" width="4.625" style="12" customWidth="1"/>
    <col min="2" max="2" width="4.625" style="12" hidden="1" customWidth="1"/>
    <col min="3" max="13" width="12.625" style="8" customWidth="1"/>
    <col min="14" max="16384" width="9" style="12"/>
  </cols>
  <sheetData>
    <row r="1" s="12" customFormat="1" ht="54.75" customHeight="1"/>
    <row r="2" s="12" customFormat="1" ht="40" customHeight="1" spans="3:3">
      <c r="C2" s="4" t="s">
        <v>281</v>
      </c>
    </row>
    <row r="3" s="12" customFormat="1" ht="30" customHeight="1"/>
    <row r="4" s="12" customFormat="1" ht="30" customHeight="1" spans="3:13">
      <c r="C4" s="17" t="s">
        <v>53</v>
      </c>
      <c r="D4" s="17" t="s">
        <v>171</v>
      </c>
      <c r="E4" s="17" t="s">
        <v>181</v>
      </c>
      <c r="F4" s="17" t="s">
        <v>195</v>
      </c>
      <c r="G4" s="17" t="s">
        <v>172</v>
      </c>
      <c r="H4" s="17" t="s">
        <v>182</v>
      </c>
      <c r="I4" s="17" t="s">
        <v>196</v>
      </c>
      <c r="J4" s="17" t="s">
        <v>174</v>
      </c>
      <c r="K4" s="17" t="s">
        <v>175</v>
      </c>
      <c r="L4" s="17" t="s">
        <v>197</v>
      </c>
      <c r="M4" s="17" t="s">
        <v>198</v>
      </c>
    </row>
    <row r="5" s="12" customFormat="1" customHeight="1" spans="3:13">
      <c r="C5" s="8" t="s">
        <v>106</v>
      </c>
      <c r="D5" s="8">
        <v>1100</v>
      </c>
      <c r="E5" s="8">
        <v>210</v>
      </c>
      <c r="F5" s="8">
        <v>1310</v>
      </c>
      <c r="G5" s="8">
        <v>20</v>
      </c>
      <c r="H5" s="8">
        <v>0</v>
      </c>
      <c r="I5" s="8">
        <v>20</v>
      </c>
      <c r="J5" s="8">
        <v>200</v>
      </c>
      <c r="K5" s="8">
        <v>200</v>
      </c>
      <c r="L5" s="8">
        <v>1520</v>
      </c>
      <c r="M5" s="8">
        <v>210</v>
      </c>
    </row>
    <row r="6" s="12" customFormat="1" customHeight="1" spans="3:13">
      <c r="C6" s="8" t="s">
        <v>137</v>
      </c>
      <c r="D6" s="8">
        <v>900000</v>
      </c>
      <c r="E6" s="8">
        <v>1050000</v>
      </c>
      <c r="F6" s="8">
        <v>1950000</v>
      </c>
      <c r="G6" s="8">
        <v>120</v>
      </c>
      <c r="H6" s="8">
        <v>900</v>
      </c>
      <c r="I6" s="8">
        <v>1020</v>
      </c>
      <c r="J6" s="8">
        <v>840</v>
      </c>
      <c r="K6" s="8">
        <v>60</v>
      </c>
      <c r="L6" s="8">
        <v>901020</v>
      </c>
      <c r="M6" s="8">
        <v>1050900</v>
      </c>
    </row>
    <row r="7" s="12" customFormat="1" customHeight="1" spans="3:13">
      <c r="C7" s="8" t="s">
        <v>131</v>
      </c>
      <c r="D7" s="8">
        <v>150</v>
      </c>
      <c r="E7" s="8">
        <v>175</v>
      </c>
      <c r="F7" s="8">
        <v>325</v>
      </c>
      <c r="G7" s="8">
        <v>200</v>
      </c>
      <c r="H7" s="8">
        <v>150</v>
      </c>
      <c r="I7" s="8">
        <v>350</v>
      </c>
      <c r="J7" s="8">
        <v>140</v>
      </c>
      <c r="K7" s="8">
        <v>100</v>
      </c>
      <c r="L7" s="8">
        <v>590</v>
      </c>
      <c r="M7" s="8">
        <v>325</v>
      </c>
    </row>
    <row r="8" s="12" customFormat="1" customHeight="1" spans="3:13">
      <c r="C8" s="8" t="s">
        <v>81</v>
      </c>
      <c r="D8" s="8">
        <v>90900</v>
      </c>
      <c r="E8" s="8">
        <v>81400</v>
      </c>
      <c r="F8" s="8">
        <v>172300</v>
      </c>
      <c r="G8" s="8">
        <v>126000</v>
      </c>
      <c r="H8" s="8">
        <v>117000</v>
      </c>
      <c r="I8" s="8">
        <v>243000</v>
      </c>
      <c r="J8" s="8">
        <v>162000</v>
      </c>
      <c r="K8" s="8">
        <v>780</v>
      </c>
      <c r="L8" s="8">
        <v>379680</v>
      </c>
      <c r="M8" s="8">
        <v>198400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G7" sqref="G7"/>
    </sheetView>
  </sheetViews>
  <sheetFormatPr defaultColWidth="9" defaultRowHeight="20" customHeight="1"/>
  <cols>
    <col min="1" max="1" width="4.625" style="12" customWidth="1"/>
    <col min="2" max="2" width="4.625" style="12" hidden="1" customWidth="1"/>
    <col min="3" max="5" width="12.625" style="8" customWidth="1"/>
    <col min="6" max="6" width="12.625" style="10" customWidth="1"/>
    <col min="7" max="7" width="12.625" style="8" customWidth="1"/>
    <col min="8" max="8" width="12.625" style="10" customWidth="1"/>
    <col min="9" max="12" width="12.625" style="8" customWidth="1"/>
    <col min="13" max="13" width="12.625" style="10" customWidth="1"/>
    <col min="14" max="28" width="12.625" style="8" customWidth="1"/>
    <col min="29" max="16384" width="9" style="12"/>
  </cols>
  <sheetData>
    <row r="1" s="12" customFormat="1" ht="54.75" customHeight="1" spans="6:13">
      <c r="F1" s="15"/>
      <c r="H1" s="15"/>
      <c r="M1" s="15"/>
    </row>
    <row r="2" s="12" customFormat="1" ht="40" customHeight="1" spans="3:13">
      <c r="C2" s="4" t="s">
        <v>282</v>
      </c>
      <c r="F2" s="15"/>
      <c r="H2" s="15"/>
      <c r="M2" s="15"/>
    </row>
    <row r="3" s="12" customFormat="1" ht="30" customHeight="1" spans="6:13">
      <c r="F3" s="15"/>
      <c r="H3" s="15"/>
      <c r="M3" s="15"/>
    </row>
    <row r="4" s="12" customFormat="1" ht="30" customHeight="1" spans="3:28">
      <c r="C4" s="17" t="s">
        <v>35</v>
      </c>
      <c r="D4" s="17" t="s">
        <v>53</v>
      </c>
      <c r="E4" s="17" t="s">
        <v>54</v>
      </c>
      <c r="F4" s="18" t="s">
        <v>57</v>
      </c>
      <c r="G4" s="17" t="s">
        <v>65</v>
      </c>
      <c r="H4" s="18" t="s">
        <v>67</v>
      </c>
      <c r="I4" s="17" t="s">
        <v>68</v>
      </c>
      <c r="J4" s="17" t="s">
        <v>69</v>
      </c>
      <c r="K4" s="17" t="s">
        <v>58</v>
      </c>
      <c r="L4" s="17" t="s">
        <v>59</v>
      </c>
      <c r="M4" s="18" t="s">
        <v>60</v>
      </c>
      <c r="N4" s="17" t="s">
        <v>61</v>
      </c>
      <c r="O4" s="17" t="s">
        <v>62</v>
      </c>
      <c r="P4" s="17" t="s">
        <v>63</v>
      </c>
      <c r="Q4" s="17" t="s">
        <v>64</v>
      </c>
      <c r="R4" s="17" t="s">
        <v>66</v>
      </c>
      <c r="S4" s="17" t="s">
        <v>79</v>
      </c>
      <c r="T4" s="17" t="s">
        <v>70</v>
      </c>
      <c r="U4" s="17" t="s">
        <v>71</v>
      </c>
      <c r="V4" s="17" t="s">
        <v>72</v>
      </c>
      <c r="W4" s="17" t="s">
        <v>73</v>
      </c>
      <c r="X4" s="17" t="s">
        <v>74</v>
      </c>
      <c r="Y4" s="17" t="s">
        <v>75</v>
      </c>
      <c r="Z4" s="17" t="s">
        <v>76</v>
      </c>
      <c r="AA4" s="17" t="s">
        <v>77</v>
      </c>
      <c r="AB4" s="17" t="s">
        <v>78</v>
      </c>
    </row>
    <row r="5" s="12" customFormat="1" customHeight="1" spans="3:28">
      <c r="C5" s="8" t="s">
        <v>80</v>
      </c>
      <c r="D5" s="8" t="s">
        <v>81</v>
      </c>
      <c r="E5" s="8" t="s">
        <v>82</v>
      </c>
      <c r="F5" s="10" t="s">
        <v>84</v>
      </c>
      <c r="G5" s="8">
        <v>9000</v>
      </c>
      <c r="H5" s="10" t="s">
        <v>91</v>
      </c>
      <c r="I5" s="9">
        <v>43922</v>
      </c>
      <c r="J5" s="8">
        <v>3</v>
      </c>
      <c r="K5" s="8" t="s">
        <v>85</v>
      </c>
      <c r="L5" s="8" t="s">
        <v>86</v>
      </c>
      <c r="M5" s="10" t="s">
        <v>87</v>
      </c>
      <c r="N5" s="9" t="s">
        <v>88</v>
      </c>
      <c r="O5" s="9">
        <v>45096</v>
      </c>
      <c r="P5" s="8" t="s">
        <v>89</v>
      </c>
      <c r="Q5" s="8" t="s">
        <v>90</v>
      </c>
      <c r="R5" s="8">
        <v>2000</v>
      </c>
      <c r="S5" s="8" t="s">
        <v>92</v>
      </c>
      <c r="T5" s="8"/>
      <c r="U5" s="8"/>
      <c r="V5" s="8"/>
      <c r="W5" s="8"/>
      <c r="X5" s="8"/>
      <c r="Y5" s="8"/>
      <c r="Z5" s="8"/>
      <c r="AA5" s="8"/>
      <c r="AB5" s="8"/>
    </row>
    <row r="6" s="12" customFormat="1" customHeight="1" spans="3:28">
      <c r="C6" s="8"/>
      <c r="D6" s="8"/>
      <c r="E6" s="8"/>
      <c r="F6" s="10"/>
      <c r="G6" s="8"/>
      <c r="H6" s="10"/>
      <c r="I6" s="9"/>
      <c r="J6" s="8"/>
      <c r="K6" s="8"/>
      <c r="L6" s="8"/>
      <c r="M6" s="10"/>
      <c r="N6" s="9"/>
      <c r="O6" s="9"/>
      <c r="P6" s="8"/>
      <c r="Q6" s="8"/>
      <c r="R6" s="8"/>
      <c r="S6" s="8"/>
      <c r="T6" s="8"/>
      <c r="U6" s="8"/>
      <c r="V6" s="8"/>
      <c r="W6" s="8"/>
      <c r="X6" s="8"/>
      <c r="Y6" s="8"/>
      <c r="Z6" s="8"/>
      <c r="AA6" s="8"/>
      <c r="AB6" s="8"/>
    </row>
    <row r="7" s="12" customFormat="1" customHeight="1" spans="3:28">
      <c r="C7" s="8"/>
      <c r="D7" s="8"/>
      <c r="E7" s="8"/>
      <c r="F7" s="10"/>
      <c r="G7" s="8"/>
      <c r="H7" s="10"/>
      <c r="I7" s="9"/>
      <c r="J7" s="8"/>
      <c r="K7" s="8"/>
      <c r="L7" s="8"/>
      <c r="M7" s="10"/>
      <c r="N7" s="9"/>
      <c r="O7" s="9"/>
      <c r="P7" s="8"/>
      <c r="Q7" s="8"/>
      <c r="R7" s="8"/>
      <c r="S7" s="8"/>
      <c r="T7" s="8"/>
      <c r="U7" s="8"/>
      <c r="V7" s="8"/>
      <c r="W7" s="8"/>
      <c r="X7" s="8"/>
      <c r="Y7" s="8"/>
      <c r="Z7" s="8"/>
      <c r="AA7" s="8"/>
      <c r="AB7" s="8"/>
    </row>
    <row r="8" s="12" customFormat="1" customHeight="1" spans="3:28">
      <c r="C8" s="8"/>
      <c r="D8" s="8"/>
      <c r="E8" s="8"/>
      <c r="F8" s="10"/>
      <c r="G8" s="8"/>
      <c r="H8" s="10"/>
      <c r="I8" s="9"/>
      <c r="J8" s="8"/>
      <c r="K8" s="8"/>
      <c r="L8" s="8"/>
      <c r="M8" s="10"/>
      <c r="N8" s="9"/>
      <c r="O8" s="9"/>
      <c r="P8" s="8"/>
      <c r="Q8" s="8"/>
      <c r="R8" s="8"/>
      <c r="S8" s="9"/>
      <c r="T8" s="8"/>
      <c r="U8" s="8"/>
      <c r="V8" s="8"/>
      <c r="W8" s="8"/>
      <c r="X8" s="8"/>
      <c r="Y8" s="8"/>
      <c r="Z8" s="8"/>
      <c r="AA8" s="8"/>
      <c r="AB8" s="8"/>
    </row>
    <row r="9" customHeight="1" spans="9:15">
      <c r="I9" s="9"/>
      <c r="N9" s="9"/>
      <c r="O9" s="9"/>
    </row>
    <row r="10" customHeight="1" spans="9:19">
      <c r="I10" s="9"/>
      <c r="N10" s="9"/>
      <c r="O10" s="9"/>
      <c r="S10" s="9"/>
    </row>
    <row r="11" customHeight="1" spans="9:15">
      <c r="I11" s="9"/>
      <c r="N11" s="9"/>
      <c r="O11" s="9"/>
    </row>
    <row r="12" customHeight="1" spans="9:15">
      <c r="I12" s="9"/>
      <c r="N12" s="9"/>
      <c r="O12" s="9"/>
    </row>
    <row r="13" customHeight="1" spans="9:15">
      <c r="I13" s="9"/>
      <c r="N13" s="9"/>
      <c r="O13" s="9"/>
    </row>
    <row r="14" customHeight="1" spans="9:15">
      <c r="I14" s="9"/>
      <c r="N14" s="9"/>
      <c r="O14" s="9"/>
    </row>
    <row r="15" customHeight="1" spans="9:15">
      <c r="I15" s="9"/>
      <c r="O15" s="9"/>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D10" sqref="D10"/>
    </sheetView>
  </sheetViews>
  <sheetFormatPr defaultColWidth="9" defaultRowHeight="20" customHeight="1" outlineLevelCol="5"/>
  <cols>
    <col min="1" max="1" width="4.625" style="12" customWidth="1"/>
    <col min="2" max="2" width="4.625" style="12" hidden="1" customWidth="1"/>
    <col min="3" max="5" width="12.625" style="8" customWidth="1"/>
    <col min="6" max="6" width="15.25" style="8" customWidth="1"/>
    <col min="7" max="16384" width="9" style="12"/>
  </cols>
  <sheetData>
    <row r="1" s="12" customFormat="1" ht="54.75" customHeight="1" spans="6:6">
      <c r="F1" s="15"/>
    </row>
    <row r="2" s="12" customFormat="1" ht="40" customHeight="1" spans="3:6">
      <c r="C2" s="4" t="s">
        <v>283</v>
      </c>
      <c r="F2" s="15"/>
    </row>
    <row r="3" s="12" customFormat="1" ht="30" customHeight="1" spans="6:6">
      <c r="F3" s="15"/>
    </row>
    <row r="4" s="12" customFormat="1" ht="30" customHeight="1" spans="3:6">
      <c r="C4" s="17" t="s">
        <v>189</v>
      </c>
      <c r="D4" s="17" t="s">
        <v>284</v>
      </c>
      <c r="E4" s="17" t="s">
        <v>285</v>
      </c>
      <c r="F4" s="18" t="s">
        <v>239</v>
      </c>
    </row>
    <row r="5" s="12" customFormat="1" customHeight="1" spans="3:6">
      <c r="C5" s="8">
        <v>0</v>
      </c>
      <c r="D5" s="8">
        <v>0</v>
      </c>
      <c r="E5" s="8">
        <v>8</v>
      </c>
      <c r="F5" s="8">
        <v>0</v>
      </c>
    </row>
    <row r="6" s="12" customFormat="1" customHeight="1" spans="3:6">
      <c r="C6" s="8">
        <v>0.1</v>
      </c>
      <c r="D6" s="8">
        <v>29.7</v>
      </c>
      <c r="E6" s="8">
        <v>1</v>
      </c>
      <c r="F6" s="8">
        <v>30.3</v>
      </c>
    </row>
    <row r="7" s="12" customFormat="1" customHeight="1" spans="3:6">
      <c r="C7" s="8" t="s">
        <v>286</v>
      </c>
      <c r="D7" s="8">
        <f>SUM(D5:D6)</f>
        <v>29.7</v>
      </c>
      <c r="E7" s="8">
        <f>SUM(E5:E6)</f>
        <v>9</v>
      </c>
      <c r="F7" s="8">
        <f>SUM(F5:F6)</f>
        <v>30.3</v>
      </c>
    </row>
    <row r="8" s="12" customFormat="1" customHeight="1" spans="3:6">
      <c r="C8" s="8"/>
      <c r="D8" s="8"/>
      <c r="E8" s="8"/>
      <c r="F8" s="8"/>
    </row>
    <row r="9" s="12" customFormat="1" customHeight="1" spans="3:6">
      <c r="C9" s="8"/>
      <c r="D9" s="8"/>
      <c r="E9" s="8"/>
      <c r="F9" s="8"/>
    </row>
    <row r="10" s="12" customFormat="1" customHeight="1" spans="3:6">
      <c r="C10" s="8"/>
      <c r="D10" s="8"/>
      <c r="E10" s="8"/>
      <c r="F10" s="8"/>
    </row>
    <row r="11" s="12" customFormat="1" customHeight="1" spans="3:6">
      <c r="C11" s="8"/>
      <c r="D11" s="8"/>
      <c r="E11" s="8"/>
      <c r="F11" s="8"/>
    </row>
    <row r="12" s="12" customFormat="1" customHeight="1" spans="3:6">
      <c r="C12" s="8"/>
      <c r="D12" s="8"/>
      <c r="E12" s="8"/>
      <c r="F12" s="8"/>
    </row>
    <row r="13" s="12" customFormat="1" customHeight="1" spans="3:6">
      <c r="C13" s="8"/>
      <c r="D13" s="8"/>
      <c r="E13" s="8"/>
      <c r="F13" s="8"/>
    </row>
    <row r="14" s="12" customFormat="1" customHeight="1" spans="3:6">
      <c r="C14" s="8"/>
      <c r="D14" s="8"/>
      <c r="E14" s="8"/>
      <c r="F14" s="8"/>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13"/>
  <sheetViews>
    <sheetView showGridLines="0" workbookViewId="0">
      <pane ySplit="4" topLeftCell="A5" activePane="bottomLeft" state="frozen"/>
      <selection/>
      <selection pane="bottomLeft" activeCell="H9" sqref="H9"/>
    </sheetView>
  </sheetViews>
  <sheetFormatPr defaultColWidth="9" defaultRowHeight="20" customHeight="1"/>
  <cols>
    <col min="1" max="1" width="4.625" style="12" customWidth="1"/>
    <col min="2" max="2" width="4.625" style="12" hidden="1" customWidth="1"/>
    <col min="3" max="5" width="12.625" style="8" customWidth="1"/>
    <col min="6" max="6" width="23.375" style="10" customWidth="1"/>
    <col min="7" max="7" width="15.25" style="14" customWidth="1"/>
    <col min="8" max="53" width="15.25" style="8" customWidth="1"/>
    <col min="54" max="16384" width="9" style="12"/>
  </cols>
  <sheetData>
    <row r="1" ht="54.75" customHeight="1" spans="3:53">
      <c r="C1" s="15"/>
      <c r="D1" s="15"/>
      <c r="E1" s="15"/>
      <c r="F1" s="15"/>
      <c r="G1" s="16"/>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ht="40" customHeight="1" spans="3:53">
      <c r="C2" s="4" t="s">
        <v>287</v>
      </c>
      <c r="D2" s="15"/>
      <c r="E2" s="15"/>
      <c r="F2" s="15"/>
      <c r="G2" s="16"/>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ht="30" customHeight="1" spans="3:53">
      <c r="C3" s="15"/>
      <c r="D3" s="15"/>
      <c r="E3" s="15"/>
      <c r="F3" s="15"/>
      <c r="G3" s="16"/>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ht="30" customHeight="1" spans="3:53">
      <c r="C4" s="17" t="s">
        <v>35</v>
      </c>
      <c r="D4" s="17" t="s">
        <v>53</v>
      </c>
      <c r="E4" s="17" t="s">
        <v>152</v>
      </c>
      <c r="F4" s="18" t="s">
        <v>57</v>
      </c>
      <c r="G4" s="19" t="s">
        <v>68</v>
      </c>
      <c r="H4" s="17" t="s">
        <v>65</v>
      </c>
      <c r="I4" s="17" t="s">
        <v>66</v>
      </c>
      <c r="J4" s="17" t="s">
        <v>155</v>
      </c>
      <c r="K4" s="17" t="s">
        <v>288</v>
      </c>
      <c r="L4" s="17" t="s">
        <v>157</v>
      </c>
      <c r="M4" s="17" t="s">
        <v>158</v>
      </c>
      <c r="N4" s="17" t="s">
        <v>159</v>
      </c>
      <c r="O4" s="17" t="s">
        <v>160</v>
      </c>
      <c r="P4" s="17" t="s">
        <v>161</v>
      </c>
      <c r="Q4" s="17" t="s">
        <v>162</v>
      </c>
      <c r="R4" s="17" t="s">
        <v>163</v>
      </c>
      <c r="S4" s="17" t="s">
        <v>164</v>
      </c>
      <c r="T4" s="17" t="s">
        <v>40</v>
      </c>
      <c r="U4" s="17" t="s">
        <v>165</v>
      </c>
      <c r="V4" s="17" t="s">
        <v>166</v>
      </c>
      <c r="W4" s="17" t="s">
        <v>167</v>
      </c>
      <c r="X4" s="17" t="s">
        <v>168</v>
      </c>
      <c r="Y4" s="17" t="s">
        <v>169</v>
      </c>
      <c r="Z4" s="17" t="s">
        <v>170</v>
      </c>
      <c r="AA4" s="17" t="s">
        <v>171</v>
      </c>
      <c r="AB4" s="17" t="s">
        <v>172</v>
      </c>
      <c r="AC4" s="17" t="s">
        <v>173</v>
      </c>
      <c r="AD4" s="17" t="s">
        <v>174</v>
      </c>
      <c r="AE4" s="17" t="s">
        <v>175</v>
      </c>
      <c r="AF4" s="17" t="s">
        <v>176</v>
      </c>
      <c r="AG4" s="17" t="s">
        <v>177</v>
      </c>
      <c r="AH4" s="17" t="s">
        <v>178</v>
      </c>
      <c r="AI4" s="17" t="s">
        <v>179</v>
      </c>
      <c r="AJ4" s="17" t="s">
        <v>180</v>
      </c>
      <c r="AK4" s="17" t="s">
        <v>181</v>
      </c>
      <c r="AL4" s="17" t="s">
        <v>182</v>
      </c>
      <c r="AM4" s="17" t="s">
        <v>183</v>
      </c>
      <c r="AN4" s="17" t="s">
        <v>243</v>
      </c>
      <c r="AO4" s="17" t="s">
        <v>185</v>
      </c>
      <c r="AP4" s="17" t="s">
        <v>244</v>
      </c>
      <c r="AQ4" s="17" t="s">
        <v>178</v>
      </c>
      <c r="AR4" s="17" t="s">
        <v>179</v>
      </c>
      <c r="AS4" s="17" t="s">
        <v>186</v>
      </c>
      <c r="AT4" s="17" t="s">
        <v>187</v>
      </c>
      <c r="AU4" s="17" t="s">
        <v>188</v>
      </c>
      <c r="AV4" s="17" t="s">
        <v>189</v>
      </c>
      <c r="AW4" s="17" t="s">
        <v>190</v>
      </c>
      <c r="AX4" s="17" t="s">
        <v>191</v>
      </c>
      <c r="AY4" s="17" t="s">
        <v>245</v>
      </c>
      <c r="AZ4" s="17" t="s">
        <v>193</v>
      </c>
      <c r="BA4" s="17" t="s">
        <v>246</v>
      </c>
    </row>
    <row r="5" customHeight="1" spans="3:53">
      <c r="C5" s="8" t="s">
        <v>80</v>
      </c>
      <c r="D5" s="8" t="s">
        <v>81</v>
      </c>
      <c r="E5" s="8" t="s">
        <v>82</v>
      </c>
      <c r="F5" s="10" t="s">
        <v>84</v>
      </c>
      <c r="G5" s="14">
        <v>44684</v>
      </c>
      <c r="H5" s="8">
        <v>9000</v>
      </c>
      <c r="I5" s="8">
        <v>2000</v>
      </c>
      <c r="J5" s="8">
        <v>5000</v>
      </c>
      <c r="K5" s="8">
        <v>236900</v>
      </c>
      <c r="L5" s="8">
        <v>17</v>
      </c>
      <c r="M5" s="8">
        <v>19</v>
      </c>
      <c r="N5" s="8">
        <v>25</v>
      </c>
      <c r="O5" s="8">
        <v>30</v>
      </c>
      <c r="P5" s="8">
        <v>630</v>
      </c>
      <c r="Q5" s="8">
        <v>8000</v>
      </c>
      <c r="R5" s="8">
        <v>0</v>
      </c>
      <c r="S5" s="8">
        <v>0</v>
      </c>
      <c r="T5" s="8">
        <v>0</v>
      </c>
      <c r="U5" s="8">
        <v>0</v>
      </c>
      <c r="V5" s="8">
        <v>232270</v>
      </c>
      <c r="W5" s="8">
        <v>0.3</v>
      </c>
      <c r="X5" s="8">
        <v>3</v>
      </c>
      <c r="Y5" s="8">
        <v>0.5</v>
      </c>
      <c r="Z5" s="8">
        <v>7</v>
      </c>
      <c r="AA5" s="8">
        <v>90000</v>
      </c>
      <c r="AB5" s="8">
        <v>126000</v>
      </c>
      <c r="AC5" s="8">
        <v>675</v>
      </c>
      <c r="AD5" s="8">
        <v>162000</v>
      </c>
      <c r="AE5" s="8">
        <v>180</v>
      </c>
      <c r="AF5" s="8">
        <v>18000</v>
      </c>
      <c r="AG5" s="8">
        <v>45000</v>
      </c>
      <c r="AH5" s="8">
        <v>6</v>
      </c>
      <c r="AI5" s="8">
        <v>8</v>
      </c>
      <c r="AJ5" s="8">
        <v>441855</v>
      </c>
      <c r="AK5" s="8">
        <v>81000</v>
      </c>
      <c r="AL5" s="8">
        <v>117000</v>
      </c>
      <c r="AM5" s="8">
        <v>180</v>
      </c>
      <c r="AN5" s="8">
        <v>90</v>
      </c>
      <c r="AO5" s="8">
        <v>9000</v>
      </c>
      <c r="AP5" s="8">
        <v>36000</v>
      </c>
      <c r="AQ5" s="8">
        <v>6</v>
      </c>
      <c r="AR5" s="8">
        <v>8</v>
      </c>
      <c r="AS5" s="8">
        <v>254270</v>
      </c>
      <c r="AT5" s="8">
        <v>11000</v>
      </c>
      <c r="AU5" s="8">
        <v>500</v>
      </c>
      <c r="AV5" s="8">
        <v>0</v>
      </c>
      <c r="AW5" s="8">
        <v>10</v>
      </c>
      <c r="AX5" s="8">
        <v>0</v>
      </c>
      <c r="AY5" s="8">
        <v>20</v>
      </c>
      <c r="AZ5" s="8">
        <v>236270</v>
      </c>
      <c r="BA5" s="8">
        <v>22</v>
      </c>
    </row>
    <row r="6" customHeight="1" spans="3:53">
      <c r="C6" s="8" t="s">
        <v>93</v>
      </c>
      <c r="D6" s="8" t="s">
        <v>81</v>
      </c>
      <c r="E6" s="8" t="s">
        <v>94</v>
      </c>
      <c r="F6" s="10" t="s">
        <v>96</v>
      </c>
      <c r="G6" s="14">
        <v>44928</v>
      </c>
      <c r="H6" s="8">
        <v>6000</v>
      </c>
      <c r="I6" s="8">
        <v>2000</v>
      </c>
      <c r="J6" s="8">
        <v>10000</v>
      </c>
      <c r="K6" s="8">
        <v>10000</v>
      </c>
      <c r="L6" s="8">
        <v>17</v>
      </c>
      <c r="M6" s="8">
        <v>19</v>
      </c>
      <c r="N6" s="8">
        <v>26</v>
      </c>
      <c r="O6" s="8">
        <v>30</v>
      </c>
      <c r="P6" s="8">
        <v>34</v>
      </c>
      <c r="Q6" s="8">
        <v>10000</v>
      </c>
      <c r="R6" s="8">
        <v>0</v>
      </c>
      <c r="S6" s="8">
        <v>0</v>
      </c>
      <c r="T6" s="8">
        <v>0</v>
      </c>
      <c r="U6" s="8">
        <v>20</v>
      </c>
      <c r="V6" s="8">
        <v>10000</v>
      </c>
      <c r="W6" s="8">
        <v>0.3</v>
      </c>
      <c r="X6" s="8">
        <v>3</v>
      </c>
      <c r="Y6" s="8">
        <v>0.5</v>
      </c>
      <c r="Z6" s="8">
        <v>7</v>
      </c>
      <c r="AA6" s="8">
        <v>500</v>
      </c>
      <c r="AB6" s="8">
        <v>0</v>
      </c>
      <c r="AC6" s="8">
        <v>200</v>
      </c>
      <c r="AD6" s="8">
        <v>0</v>
      </c>
      <c r="AE6" s="8">
        <v>0</v>
      </c>
      <c r="AF6" s="8">
        <v>400</v>
      </c>
      <c r="AG6" s="8">
        <v>0</v>
      </c>
      <c r="AH6" s="8">
        <v>6</v>
      </c>
      <c r="AI6" s="8">
        <v>8</v>
      </c>
      <c r="AJ6" s="8">
        <v>10000</v>
      </c>
      <c r="AK6" s="8">
        <v>0</v>
      </c>
      <c r="AL6" s="8">
        <v>0</v>
      </c>
      <c r="AM6" s="8">
        <v>20</v>
      </c>
      <c r="AN6" s="8">
        <v>0</v>
      </c>
      <c r="AO6" s="8">
        <v>500</v>
      </c>
      <c r="AP6" s="8">
        <v>400</v>
      </c>
      <c r="AQ6" s="8">
        <v>6</v>
      </c>
      <c r="AR6" s="8">
        <v>8</v>
      </c>
      <c r="AS6" s="8">
        <v>10000</v>
      </c>
      <c r="AT6" s="8">
        <v>12000</v>
      </c>
      <c r="AU6" s="8">
        <v>2000</v>
      </c>
      <c r="AV6" s="8">
        <v>0</v>
      </c>
      <c r="AW6" s="8">
        <v>0</v>
      </c>
      <c r="AX6" s="8">
        <v>400</v>
      </c>
      <c r="AY6" s="8">
        <v>20</v>
      </c>
      <c r="AZ6" s="8">
        <v>10000</v>
      </c>
      <c r="BA6" s="8">
        <v>22</v>
      </c>
    </row>
    <row r="7" customHeight="1" spans="3:52">
      <c r="C7" s="8" t="s">
        <v>46</v>
      </c>
      <c r="D7" s="8" t="s">
        <v>81</v>
      </c>
      <c r="E7" s="8" t="s">
        <v>100</v>
      </c>
      <c r="F7" s="10" t="s">
        <v>102</v>
      </c>
      <c r="G7" s="14">
        <v>44562</v>
      </c>
      <c r="H7" s="8">
        <v>5000</v>
      </c>
      <c r="I7" s="8">
        <v>2000</v>
      </c>
      <c r="J7" s="8">
        <v>9000</v>
      </c>
      <c r="K7" s="8">
        <v>10000</v>
      </c>
      <c r="N7" s="8">
        <v>0</v>
      </c>
      <c r="O7" s="8">
        <v>40</v>
      </c>
      <c r="P7" s="8">
        <v>25</v>
      </c>
      <c r="Q7" s="8">
        <v>9500</v>
      </c>
      <c r="R7" s="8">
        <v>0</v>
      </c>
      <c r="S7" s="8">
        <v>0</v>
      </c>
      <c r="T7" s="8">
        <v>0</v>
      </c>
      <c r="U7" s="8">
        <v>30</v>
      </c>
      <c r="V7" s="8">
        <v>9000</v>
      </c>
      <c r="W7" s="8">
        <v>0.3</v>
      </c>
      <c r="Y7" s="8">
        <v>0.5</v>
      </c>
      <c r="AA7" s="8">
        <v>200</v>
      </c>
      <c r="AB7" s="8">
        <v>0</v>
      </c>
      <c r="AC7" s="8">
        <v>0</v>
      </c>
      <c r="AD7" s="8">
        <v>0</v>
      </c>
      <c r="AE7" s="8">
        <v>400</v>
      </c>
      <c r="AF7" s="8">
        <v>400</v>
      </c>
      <c r="AG7" s="8">
        <v>0</v>
      </c>
      <c r="AJ7" s="8">
        <v>9000</v>
      </c>
      <c r="AK7" s="8">
        <v>200</v>
      </c>
      <c r="AL7" s="8">
        <v>0</v>
      </c>
      <c r="AM7" s="8">
        <v>50</v>
      </c>
      <c r="AN7" s="8">
        <v>400</v>
      </c>
      <c r="AO7" s="8">
        <v>300</v>
      </c>
      <c r="AP7" s="8">
        <v>360</v>
      </c>
      <c r="AS7" s="8">
        <v>9000</v>
      </c>
      <c r="AT7" s="8">
        <v>10000</v>
      </c>
      <c r="AU7" s="8">
        <v>1000</v>
      </c>
      <c r="AV7" s="8">
        <v>0</v>
      </c>
      <c r="AW7" s="8">
        <v>0</v>
      </c>
      <c r="AX7" s="8">
        <v>300</v>
      </c>
      <c r="AZ7" s="8">
        <v>9000</v>
      </c>
    </row>
    <row r="8" customHeight="1" spans="3:52">
      <c r="C8" s="8" t="s">
        <v>41</v>
      </c>
      <c r="D8" s="8" t="s">
        <v>106</v>
      </c>
      <c r="E8" s="8" t="s">
        <v>82</v>
      </c>
      <c r="F8" s="10" t="s">
        <v>108</v>
      </c>
      <c r="G8" s="14">
        <v>45017</v>
      </c>
      <c r="H8" s="8">
        <v>3000</v>
      </c>
      <c r="I8" s="8">
        <v>200</v>
      </c>
      <c r="J8" s="8">
        <v>8500</v>
      </c>
      <c r="K8" s="8">
        <v>8500</v>
      </c>
      <c r="N8" s="8">
        <v>25</v>
      </c>
      <c r="O8" s="8">
        <v>41</v>
      </c>
      <c r="P8" s="8">
        <v>50</v>
      </c>
      <c r="Q8" s="8">
        <v>8500</v>
      </c>
      <c r="R8" s="8">
        <v>0</v>
      </c>
      <c r="S8" s="8">
        <v>0</v>
      </c>
      <c r="T8" s="8">
        <v>0</v>
      </c>
      <c r="U8" s="8">
        <v>50</v>
      </c>
      <c r="V8" s="8">
        <v>8500</v>
      </c>
      <c r="W8" s="8">
        <v>0.3</v>
      </c>
      <c r="Y8" s="8">
        <v>0.5</v>
      </c>
      <c r="AA8" s="8">
        <v>500</v>
      </c>
      <c r="AB8" s="8">
        <v>0</v>
      </c>
      <c r="AC8" s="8">
        <v>200</v>
      </c>
      <c r="AD8" s="8">
        <v>0</v>
      </c>
      <c r="AE8" s="8">
        <v>0</v>
      </c>
      <c r="AF8" s="8">
        <v>200</v>
      </c>
      <c r="AG8" s="8">
        <v>8500</v>
      </c>
      <c r="AJ8" s="8">
        <v>8500</v>
      </c>
      <c r="AK8" s="8">
        <v>0</v>
      </c>
      <c r="AL8" s="8">
        <v>0</v>
      </c>
      <c r="AM8" s="8">
        <v>500</v>
      </c>
      <c r="AN8" s="8">
        <v>200</v>
      </c>
      <c r="AO8" s="8">
        <v>200</v>
      </c>
      <c r="AP8" s="8">
        <v>340</v>
      </c>
      <c r="AS8" s="8">
        <v>8500</v>
      </c>
      <c r="AT8" s="8">
        <v>9500</v>
      </c>
      <c r="AU8" s="8">
        <v>500</v>
      </c>
      <c r="AV8" s="8">
        <v>0</v>
      </c>
      <c r="AW8" s="8">
        <v>0</v>
      </c>
      <c r="AX8" s="8">
        <v>300</v>
      </c>
      <c r="AZ8" s="8">
        <v>8500</v>
      </c>
    </row>
    <row r="9" customHeight="1" spans="3:52">
      <c r="C9" s="8" t="s">
        <v>114</v>
      </c>
      <c r="D9" s="8" t="s">
        <v>81</v>
      </c>
      <c r="E9" s="8" t="s">
        <v>82</v>
      </c>
      <c r="F9" s="10" t="s">
        <v>116</v>
      </c>
      <c r="G9" s="14">
        <v>43020</v>
      </c>
      <c r="H9" s="8">
        <v>5000</v>
      </c>
      <c r="I9" s="8">
        <v>450</v>
      </c>
      <c r="J9" s="8">
        <v>9000</v>
      </c>
      <c r="K9" s="8">
        <v>9000</v>
      </c>
      <c r="N9" s="8">
        <v>20</v>
      </c>
      <c r="O9" s="8">
        <v>40</v>
      </c>
      <c r="P9" s="8">
        <v>39</v>
      </c>
      <c r="Q9" s="8">
        <v>9500</v>
      </c>
      <c r="R9" s="8">
        <v>2</v>
      </c>
      <c r="S9" s="8">
        <v>0</v>
      </c>
      <c r="T9" s="8">
        <v>0</v>
      </c>
      <c r="U9" s="8">
        <v>100</v>
      </c>
      <c r="V9" s="8">
        <v>9000</v>
      </c>
      <c r="W9" s="8">
        <v>0.3</v>
      </c>
      <c r="Y9" s="8">
        <v>0.5</v>
      </c>
      <c r="AA9" s="8">
        <v>200</v>
      </c>
      <c r="AB9" s="8">
        <v>0</v>
      </c>
      <c r="AC9" s="8">
        <v>200</v>
      </c>
      <c r="AD9" s="8">
        <v>0</v>
      </c>
      <c r="AE9" s="8">
        <v>200</v>
      </c>
      <c r="AF9" s="8">
        <v>400</v>
      </c>
      <c r="AG9" s="8">
        <v>0</v>
      </c>
      <c r="AJ9" s="8">
        <v>9000</v>
      </c>
      <c r="AK9" s="8">
        <v>200</v>
      </c>
      <c r="AL9" s="8">
        <v>0</v>
      </c>
      <c r="AM9" s="8">
        <v>200</v>
      </c>
      <c r="AN9" s="8">
        <v>0</v>
      </c>
      <c r="AO9" s="8">
        <v>100</v>
      </c>
      <c r="AP9" s="8">
        <v>360</v>
      </c>
      <c r="AS9" s="8">
        <v>9000</v>
      </c>
      <c r="AT9" s="8">
        <v>10000</v>
      </c>
      <c r="AU9" s="8">
        <v>500</v>
      </c>
      <c r="AV9" s="8">
        <v>0</v>
      </c>
      <c r="AW9" s="8">
        <v>0</v>
      </c>
      <c r="AX9" s="8">
        <v>180</v>
      </c>
      <c r="AZ9" s="8">
        <v>9000</v>
      </c>
    </row>
    <row r="10" customHeight="1" spans="3:52">
      <c r="C10" s="8" t="s">
        <v>47</v>
      </c>
      <c r="D10" s="8" t="s">
        <v>106</v>
      </c>
      <c r="E10" s="8" t="s">
        <v>248</v>
      </c>
      <c r="F10" s="10" t="s">
        <v>249</v>
      </c>
      <c r="G10" s="14">
        <v>43154</v>
      </c>
      <c r="H10" s="8">
        <v>5000</v>
      </c>
      <c r="I10" s="8">
        <v>5000</v>
      </c>
      <c r="J10" s="8">
        <v>5000</v>
      </c>
      <c r="K10" s="8">
        <v>5000</v>
      </c>
      <c r="N10" s="8">
        <v>23</v>
      </c>
      <c r="O10" s="8">
        <v>20</v>
      </c>
      <c r="P10" s="8">
        <v>200</v>
      </c>
      <c r="Q10" s="8">
        <v>5000</v>
      </c>
      <c r="R10" s="8">
        <v>0</v>
      </c>
      <c r="S10" s="8">
        <v>90</v>
      </c>
      <c r="T10" s="8">
        <v>2</v>
      </c>
      <c r="U10" s="8">
        <v>100</v>
      </c>
      <c r="V10" s="8">
        <v>5000</v>
      </c>
      <c r="W10" s="8">
        <v>0.3</v>
      </c>
      <c r="Y10" s="8">
        <v>0.5</v>
      </c>
      <c r="AA10" s="8">
        <v>300</v>
      </c>
      <c r="AB10" s="8">
        <v>20</v>
      </c>
      <c r="AC10" s="8">
        <v>300</v>
      </c>
      <c r="AD10" s="8">
        <v>0</v>
      </c>
      <c r="AE10" s="8">
        <v>0</v>
      </c>
      <c r="AF10" s="8">
        <v>400</v>
      </c>
      <c r="AG10" s="8">
        <v>5000</v>
      </c>
      <c r="AJ10" s="8">
        <v>5000</v>
      </c>
      <c r="AK10" s="8">
        <v>210</v>
      </c>
      <c r="AL10" s="8">
        <v>0</v>
      </c>
      <c r="AM10" s="8">
        <v>100</v>
      </c>
      <c r="AN10" s="8">
        <v>200</v>
      </c>
      <c r="AO10" s="8">
        <v>230</v>
      </c>
      <c r="AP10" s="8">
        <v>200</v>
      </c>
      <c r="AS10" s="8">
        <v>5000</v>
      </c>
      <c r="AT10" s="8">
        <v>6000</v>
      </c>
      <c r="AU10" s="8">
        <v>1000</v>
      </c>
      <c r="AV10" s="8">
        <v>0</v>
      </c>
      <c r="AW10" s="8">
        <v>0</v>
      </c>
      <c r="AX10" s="8">
        <v>300</v>
      </c>
      <c r="AZ10" s="8">
        <v>5000</v>
      </c>
    </row>
    <row r="11" customHeight="1" spans="3:52">
      <c r="C11" s="8" t="s">
        <v>48</v>
      </c>
      <c r="D11" s="8" t="s">
        <v>106</v>
      </c>
      <c r="E11" s="8" t="s">
        <v>82</v>
      </c>
      <c r="F11" s="10" t="s">
        <v>127</v>
      </c>
      <c r="G11" s="14">
        <v>44412</v>
      </c>
      <c r="H11" s="8">
        <v>3000</v>
      </c>
      <c r="I11" s="8">
        <v>200</v>
      </c>
      <c r="J11" s="8">
        <v>7000</v>
      </c>
      <c r="K11" s="8">
        <v>7000</v>
      </c>
      <c r="N11" s="8">
        <v>23</v>
      </c>
      <c r="O11" s="8">
        <v>50</v>
      </c>
      <c r="P11" s="8">
        <v>350</v>
      </c>
      <c r="Q11" s="8">
        <v>7000</v>
      </c>
      <c r="R11" s="8">
        <v>0</v>
      </c>
      <c r="S11" s="8">
        <v>0</v>
      </c>
      <c r="T11" s="8">
        <v>2</v>
      </c>
      <c r="U11" s="8">
        <v>50</v>
      </c>
      <c r="V11" s="8">
        <v>7000</v>
      </c>
      <c r="W11" s="8">
        <v>0.3</v>
      </c>
      <c r="Y11" s="8">
        <v>0.5</v>
      </c>
      <c r="AA11" s="8">
        <v>300</v>
      </c>
      <c r="AB11" s="8">
        <v>0</v>
      </c>
      <c r="AC11" s="8">
        <v>300</v>
      </c>
      <c r="AD11" s="8">
        <v>200</v>
      </c>
      <c r="AE11" s="8">
        <v>200</v>
      </c>
      <c r="AF11" s="8">
        <v>310</v>
      </c>
      <c r="AG11" s="8">
        <v>7000</v>
      </c>
      <c r="AJ11" s="8">
        <v>7000</v>
      </c>
      <c r="AK11" s="8">
        <v>0</v>
      </c>
      <c r="AL11" s="8">
        <v>0</v>
      </c>
      <c r="AM11" s="8">
        <v>100</v>
      </c>
      <c r="AN11" s="8">
        <v>150</v>
      </c>
      <c r="AO11" s="8">
        <v>300</v>
      </c>
      <c r="AP11" s="8">
        <v>280</v>
      </c>
      <c r="AS11" s="8">
        <v>7000</v>
      </c>
      <c r="AT11" s="8">
        <v>8500</v>
      </c>
      <c r="AU11" s="8">
        <v>1500</v>
      </c>
      <c r="AV11" s="8">
        <v>0</v>
      </c>
      <c r="AW11" s="8">
        <v>0</v>
      </c>
      <c r="AX11" s="8">
        <v>400</v>
      </c>
      <c r="AZ11" s="8">
        <v>7000</v>
      </c>
    </row>
    <row r="12" customHeight="1" spans="3:52">
      <c r="C12" s="8" t="s">
        <v>49</v>
      </c>
      <c r="D12" s="8" t="s">
        <v>131</v>
      </c>
      <c r="E12" s="8" t="s">
        <v>82</v>
      </c>
      <c r="F12" s="10" t="s">
        <v>133</v>
      </c>
      <c r="G12" s="14">
        <v>45006</v>
      </c>
      <c r="H12" s="8">
        <v>5000</v>
      </c>
      <c r="I12" s="8">
        <v>200</v>
      </c>
      <c r="J12" s="8">
        <v>4950</v>
      </c>
      <c r="K12" s="8">
        <v>4950</v>
      </c>
      <c r="N12" s="8">
        <v>22</v>
      </c>
      <c r="O12" s="8">
        <v>40</v>
      </c>
      <c r="P12" s="8">
        <v>400</v>
      </c>
      <c r="Q12" s="8">
        <v>5500</v>
      </c>
      <c r="R12" s="8">
        <v>0</v>
      </c>
      <c r="S12" s="8">
        <v>200</v>
      </c>
      <c r="T12" s="8">
        <v>3</v>
      </c>
      <c r="U12" s="8">
        <v>300</v>
      </c>
      <c r="V12" s="8">
        <v>4950</v>
      </c>
      <c r="W12" s="8">
        <v>0.3</v>
      </c>
      <c r="Y12" s="8">
        <v>0.5</v>
      </c>
      <c r="AA12" s="8">
        <v>150</v>
      </c>
      <c r="AB12" s="8">
        <v>200</v>
      </c>
      <c r="AC12" s="8">
        <v>375</v>
      </c>
      <c r="AD12" s="8">
        <v>140</v>
      </c>
      <c r="AE12" s="8">
        <v>100</v>
      </c>
      <c r="AF12" s="8">
        <v>100</v>
      </c>
      <c r="AG12" s="8">
        <v>250</v>
      </c>
      <c r="AJ12" s="8">
        <v>840</v>
      </c>
      <c r="AK12" s="8">
        <v>175</v>
      </c>
      <c r="AL12" s="8">
        <v>150</v>
      </c>
      <c r="AM12" s="8">
        <v>100</v>
      </c>
      <c r="AN12" s="8">
        <v>50</v>
      </c>
      <c r="AO12" s="8">
        <v>500</v>
      </c>
      <c r="AP12" s="8">
        <v>150</v>
      </c>
      <c r="AS12" s="8">
        <v>4950</v>
      </c>
      <c r="AT12" s="8">
        <v>5200</v>
      </c>
      <c r="AU12" s="8">
        <v>200</v>
      </c>
      <c r="AV12" s="8">
        <v>0</v>
      </c>
      <c r="AW12" s="8">
        <v>0</v>
      </c>
      <c r="AX12" s="8">
        <v>0</v>
      </c>
      <c r="AZ12" s="8">
        <v>4250150</v>
      </c>
    </row>
    <row r="13" customHeight="1" spans="3:52">
      <c r="C13" s="8" t="s">
        <v>50</v>
      </c>
      <c r="D13" s="8" t="s">
        <v>137</v>
      </c>
      <c r="E13" s="8" t="s">
        <v>82</v>
      </c>
      <c r="F13" s="10" t="s">
        <v>139</v>
      </c>
      <c r="G13" s="14">
        <v>45017</v>
      </c>
      <c r="H13" s="8">
        <v>5000</v>
      </c>
      <c r="I13" s="8">
        <v>300</v>
      </c>
      <c r="J13" s="8">
        <v>6790</v>
      </c>
      <c r="K13" s="8">
        <v>6790</v>
      </c>
      <c r="N13" s="8">
        <v>22</v>
      </c>
      <c r="O13" s="8">
        <v>50</v>
      </c>
      <c r="P13" s="8">
        <v>350</v>
      </c>
      <c r="Q13" s="8">
        <v>7000</v>
      </c>
      <c r="R13" s="8">
        <v>0</v>
      </c>
      <c r="S13" s="8">
        <v>300</v>
      </c>
      <c r="T13" s="8">
        <v>5</v>
      </c>
      <c r="U13" s="8">
        <v>500</v>
      </c>
      <c r="V13" s="8">
        <v>6791</v>
      </c>
      <c r="W13" s="8">
        <v>0.3</v>
      </c>
      <c r="Y13" s="8">
        <v>0.5</v>
      </c>
      <c r="AA13" s="8">
        <v>900000</v>
      </c>
      <c r="AB13" s="8">
        <v>120</v>
      </c>
      <c r="AC13" s="8">
        <v>225</v>
      </c>
      <c r="AD13" s="8">
        <v>840</v>
      </c>
      <c r="AE13" s="8">
        <v>60</v>
      </c>
      <c r="AF13" s="8">
        <v>600</v>
      </c>
      <c r="AG13" s="8">
        <v>150</v>
      </c>
      <c r="AJ13" s="8">
        <v>6790</v>
      </c>
      <c r="AK13" s="8">
        <v>1050000</v>
      </c>
      <c r="AL13" s="8">
        <v>900</v>
      </c>
      <c r="AM13" s="8">
        <v>60</v>
      </c>
      <c r="AN13" s="8">
        <v>30</v>
      </c>
      <c r="AO13" s="8">
        <v>300</v>
      </c>
      <c r="AP13" s="8">
        <v>900</v>
      </c>
      <c r="AS13" s="8">
        <v>315</v>
      </c>
      <c r="AT13" s="8">
        <v>7000</v>
      </c>
      <c r="AU13" s="8">
        <v>297</v>
      </c>
      <c r="AV13" s="8">
        <v>0.1</v>
      </c>
      <c r="AW13" s="8">
        <v>0</v>
      </c>
      <c r="AX13" s="8">
        <v>303</v>
      </c>
      <c r="AZ13" s="8">
        <v>6790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I11" sqref="I11"/>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5">
      <c r="B1" s="1">
        <f ca="1">TODAY()</f>
        <v>45131</v>
      </c>
      <c r="C1" s="2">
        <v>45078</v>
      </c>
      <c r="D1" s="3">
        <f>WEEKDAY(C1)</f>
        <v>5</v>
      </c>
      <c r="E1" s="1"/>
    </row>
    <row r="2" ht="40" customHeight="1" spans="3:3">
      <c r="C2" s="4" t="s">
        <v>289</v>
      </c>
    </row>
    <row r="3" ht="30" customHeight="1"/>
    <row r="4" ht="30" customHeight="1" spans="3:9">
      <c r="C4" s="5" t="s">
        <v>290</v>
      </c>
      <c r="D4" s="5" t="s">
        <v>291</v>
      </c>
      <c r="E4" s="5" t="s">
        <v>292</v>
      </c>
      <c r="F4" s="6" t="s">
        <v>293</v>
      </c>
      <c r="G4" s="7" t="s">
        <v>294</v>
      </c>
      <c r="H4" s="5" t="s">
        <v>295</v>
      </c>
      <c r="I4" s="5" t="s">
        <v>296</v>
      </c>
    </row>
    <row r="5" customHeight="1" spans="3:12">
      <c r="C5" s="8"/>
      <c r="D5" s="8"/>
      <c r="E5" s="8"/>
      <c r="F5" s="8"/>
      <c r="G5" s="8"/>
      <c r="H5" s="8"/>
      <c r="I5" s="8"/>
      <c r="K5" s="13" t="s">
        <v>80</v>
      </c>
      <c r="L5" s="13">
        <v>45096</v>
      </c>
    </row>
    <row r="6" customHeight="1" spans="3:12">
      <c r="C6" s="8"/>
      <c r="D6" s="8"/>
      <c r="E6" s="9"/>
      <c r="F6" s="8"/>
      <c r="G6" s="8"/>
      <c r="H6" s="8"/>
      <c r="I6" s="8"/>
      <c r="K6" s="13" t="s">
        <v>46</v>
      </c>
      <c r="L6" s="13">
        <v>34859</v>
      </c>
    </row>
    <row r="7" customHeight="1" spans="3:12">
      <c r="C7" s="8">
        <v>1</v>
      </c>
      <c r="D7" s="8">
        <v>2</v>
      </c>
      <c r="E7" s="8">
        <v>3</v>
      </c>
      <c r="F7" s="8">
        <v>4</v>
      </c>
      <c r="G7" s="8">
        <v>5</v>
      </c>
      <c r="H7" s="8">
        <v>6</v>
      </c>
      <c r="I7" s="8">
        <v>7</v>
      </c>
      <c r="L7" s="13"/>
    </row>
    <row r="8" customHeight="1" spans="3:9">
      <c r="C8" s="8"/>
      <c r="D8" s="8"/>
      <c r="E8" s="8"/>
      <c r="F8" s="8"/>
      <c r="G8" s="8"/>
      <c r="H8" s="8"/>
      <c r="I8" s="8"/>
    </row>
    <row r="9" customHeight="1" spans="3:9">
      <c r="C9" s="8">
        <v>8</v>
      </c>
      <c r="D9" s="8">
        <v>9</v>
      </c>
      <c r="E9" s="8">
        <v>10</v>
      </c>
      <c r="F9" s="8">
        <v>11</v>
      </c>
      <c r="G9" s="8">
        <v>12</v>
      </c>
      <c r="H9" s="8">
        <v>13</v>
      </c>
      <c r="I9" s="8">
        <v>14</v>
      </c>
    </row>
    <row r="10" customHeight="1" spans="3:9">
      <c r="C10" s="8"/>
      <c r="D10" s="8" t="s">
        <v>297</v>
      </c>
      <c r="E10" s="8"/>
      <c r="F10" s="8"/>
      <c r="G10" s="8"/>
      <c r="H10" s="8"/>
      <c r="I10" s="8"/>
    </row>
    <row r="11" customHeight="1" spans="3:9">
      <c r="C11" s="8">
        <v>15</v>
      </c>
      <c r="D11" s="8">
        <v>16</v>
      </c>
      <c r="E11" s="8">
        <v>17</v>
      </c>
      <c r="F11" s="8">
        <v>18</v>
      </c>
      <c r="G11" s="8">
        <v>19</v>
      </c>
      <c r="H11" s="8">
        <v>20</v>
      </c>
      <c r="I11" s="8">
        <v>21</v>
      </c>
    </row>
    <row r="12" customHeight="1" spans="3:9">
      <c r="C12" s="8"/>
      <c r="D12" s="8"/>
      <c r="E12" s="8"/>
      <c r="F12" s="8"/>
      <c r="G12" s="8" t="s">
        <v>298</v>
      </c>
      <c r="H12" s="8"/>
      <c r="I12" s="8"/>
    </row>
    <row r="13" customHeight="1" spans="3:9">
      <c r="C13" s="8">
        <v>22</v>
      </c>
      <c r="D13" s="8">
        <v>23</v>
      </c>
      <c r="E13" s="8">
        <v>24</v>
      </c>
      <c r="F13" s="8">
        <v>25</v>
      </c>
      <c r="G13" s="8">
        <v>26</v>
      </c>
      <c r="H13" s="8">
        <v>27</v>
      </c>
      <c r="I13" s="8">
        <v>28</v>
      </c>
    </row>
    <row r="14" customHeight="1" spans="3:9">
      <c r="C14" s="8"/>
      <c r="D14" s="8"/>
      <c r="E14" s="8"/>
      <c r="F14" s="8"/>
      <c r="G14" s="8"/>
      <c r="H14" s="8"/>
      <c r="I14" s="8"/>
    </row>
    <row r="15" customHeight="1" spans="3:9">
      <c r="C15" s="8">
        <v>29</v>
      </c>
      <c r="D15" s="8">
        <v>30</v>
      </c>
      <c r="E15" s="8"/>
      <c r="F15" s="10"/>
      <c r="G15" s="8"/>
      <c r="H15" s="8"/>
      <c r="I15" s="10"/>
    </row>
    <row r="16" customHeight="1" spans="3:9">
      <c r="C16" s="8"/>
      <c r="D16" s="8"/>
      <c r="E16" s="8"/>
      <c r="F16" s="10"/>
      <c r="G16" s="8"/>
      <c r="H16" s="8"/>
      <c r="I16" s="10"/>
    </row>
    <row r="17" customHeight="1" spans="3:9">
      <c r="C17" s="11"/>
      <c r="D17" s="11"/>
      <c r="E17" s="12"/>
      <c r="F17" s="12"/>
      <c r="G17" s="12"/>
      <c r="H17" s="12"/>
      <c r="I17" s="12"/>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2023-07-24T02:12:16Z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ies>
</file>