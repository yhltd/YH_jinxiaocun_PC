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<sst xmlns="http://schemas.openxmlformats.org/spreadsheetml/2006/main" count="1862" uniqueCount="508">
  <si>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</si>
  <si>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</si>
  <si>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</si>
  <si>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</si>
  <si>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</si>
  <si>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</si>
  <si>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</si>
  <si>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</si>
  <si>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</si>
  <si>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</si>
  <si>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</si>
  <si>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</si>
  <si>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</si>
  <si>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</si>
  <si>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</si>
  <si>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</si>
  <si>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</si>
  <si>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</si>
  <si>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</si>
  <si>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</si>
  <si>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</si>
  <si>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</si>
  <si>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</si>
  <si>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</si>
  <si>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</si>
  <si>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</si>
  <si>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</si>
  <si>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</si>
  <si>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</si>
  <si>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</si>
  <si>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</si>
  <si>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</si>
  <si>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</si>
  <si>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</si>
  <si>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</si>
  <si>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</si>
  <si>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</si>
  <si>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</si>
  <si>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</si>
  <si>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</si>
  <si>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</si>
  <si>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</si>
  <si>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</si>
  <si>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</si>
  <si>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</si>
  <si>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</si>
  <si>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</si>
  <si>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</si>
  <si>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</si>
  <si>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</si>
  <si>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</si>
  <si>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</si>
  <si>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</si>
  <si>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</si>
  <si>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</si>
  <si>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张三三</t>
  </si>
  <si>
    <t>秦岚</t>
  </si>
  <si>
    <t>刘锋</t>
  </si>
  <si>
    <t>管理员1</t>
  </si>
  <si>
    <t>测试</t>
  </si>
  <si>
    <t>请输入</t>
  </si>
  <si>
    <t>刘海</t>
  </si>
  <si>
    <t>赵海波</t>
  </si>
  <si>
    <t>赵海生</t>
  </si>
  <si>
    <t>王伟</t>
  </si>
  <si>
    <t>丽丽</t>
  </si>
  <si>
    <t>二月张</t>
  </si>
  <si>
    <t>张三丰</t>
  </si>
  <si>
    <t>测试员1</t>
  </si>
  <si>
    <t>大李</t>
  </si>
  <si>
    <t>管理员</t>
  </si>
  <si>
    <t>管理</t>
  </si>
  <si>
    <t>测试员</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</si>
  <si>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</si>
  <si>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</si>
  <si>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</si>
  <si>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</si>
  <si>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</si>
  <si>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</si>
  <si>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</si>
  <si>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</si>
  <si>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</si>
  <si>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</si>
  <si>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</si>
  <si>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</si>
  <si>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</si>
  <si>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</si>
  <si>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</si>
  <si>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</si>
  <si>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</si>
  <si>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</si>
  <si>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</si>
  <si>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</si>
  <si>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</si>
  <si>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</si>
  <si>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</si>
  <si>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</si>
  <si>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</si>
  <si>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</si>
  <si>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</si>
  <si>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</si>
  <si>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</si>
  <si>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</si>
  <si>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</si>
  <si>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</si>
  <si>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</si>
  <si>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</si>
  <si>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</si>
  <si>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</si>
  <si>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</si>
  <si>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</si>
  <si>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</si>
  <si>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</si>
  <si>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</si>
  <si>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</si>
  <si>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</si>
  <si>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</si>
  <si>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</si>
  <si>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</si>
  <si>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</si>
  <si>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</si>
  <si>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</si>
  <si>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</si>
  <si>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</si>
  <si>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</si>
  <si>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</si>
  <si>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</si>
  <si>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</si>
  <si>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</si>
  <si>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</si>
  <si>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</si>
  <si>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</si>
  <si>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</si>
  <si>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</si>
  <si>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</si>
  <si>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</si>
  <si>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</si>
  <si>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</si>
  <si>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</si>
  <si>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</si>
  <si>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</si>
  <si>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</si>
  <si>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</si>
  <si>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</si>
  <si>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</si>
  <si>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</si>
  <si>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</si>
  <si>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</si>
  <si>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</si>
  <si>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</si>
  <si>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</si>
  <si>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187666202602044946</t>
  </si>
  <si>
    <t>辽宁省</t>
  </si>
  <si>
    <t>13845594</t>
  </si>
  <si>
    <t>cs1</t>
  </si>
  <si>
    <t>342423</t>
  </si>
  <si>
    <t>130284200302031240</t>
  </si>
  <si>
    <t>123123123</t>
  </si>
  <si>
    <t>正常</t>
  </si>
  <si>
    <t>21321312321312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</si>
  <si>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</si>
  <si>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</si>
  <si>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</si>
  <si>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</si>
  <si>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</si>
  <si>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</si>
  <si>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</si>
  <si>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</si>
  <si>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</si>
  <si>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</si>
  <si>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</si>
  <si>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</si>
  <si>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</si>
  <si>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</si>
  <si>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</si>
  <si>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</si>
  <si>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</si>
  <si>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</si>
  <si>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</si>
  <si>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</si>
  <si>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</si>
  <si>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</si>
  <si>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</si>
  <si>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</si>
  <si>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</si>
  <si>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</si>
  <si>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</si>
  <si>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</si>
  <si>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</si>
  <si>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</si>
  <si>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</si>
  <si>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</si>
  <si>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</si>
  <si>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</si>
  <si>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</si>
  <si>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</si>
  <si>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</si>
  <si>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</si>
  <si>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</si>
  <si>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</si>
  <si>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</si>
  <si>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</si>
  <si>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</si>
  <si>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</si>
  <si>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</si>
  <si>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</si>
  <si>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</si>
  <si>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</si>
  <si>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</si>
  <si>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</si>
  <si>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</si>
  <si>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</si>
  <si>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</si>
  <si>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</si>
  <si>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</si>
  <si>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</si>
  <si>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</si>
  <si>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</si>
  <si>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</si>
  <si>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驳回</t>
  </si>
  <si>
    <t>去掉周日</t>
  </si>
  <si>
    <t>人员信息管理</t>
  </si>
  <si>
    <t>员工</t>
  </si>
  <si>
    <t>通过</t>
  </si>
  <si>
    <t>双休</t>
  </si>
  <si>
    <t>报盘</t>
  </si>
  <si>
    <t>副部长</t>
  </si>
  <si>
    <t>210282199506092311</t>
  </si>
  <si>
    <t>1895283749587393</t>
  </si>
  <si>
    <t>配置表</t>
  </si>
  <si>
    <t>工资明细</t>
  </si>
  <si>
    <t>报税</t>
  </si>
  <si>
    <t>考勤记录</t>
  </si>
  <si>
    <t>部门汇总</t>
  </si>
  <si>
    <t>社保</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</si>
  <si>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</si>
  <si>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</si>
  <si>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</si>
  <si>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</si>
  <si>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</si>
  <si>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</si>
  <si>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</si>
  <si>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</si>
  <si>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</si>
  <si>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</si>
  <si>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</si>
  <si>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</si>
  <si>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</si>
  <si>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</si>
  <si>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</si>
  <si>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</si>
  <si>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</si>
  <si>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</si>
  <si>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</si>
  <si>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</si>
  <si>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</si>
  <si>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</si>
  <si>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</si>
  <si>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</si>
  <si>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1</t>
  </si>
  <si>
    <t>2023-04</t>
  </si>
  <si>
    <t>22</t>
  </si>
  <si>
    <t>20</t>
  </si>
  <si>
    <t>210282200103042311</t>
  </si>
  <si>
    <t>部门经理</t>
  </si>
  <si>
    <t>2026-06</t>
  </si>
  <si>
    <t>0.02</t>
  </si>
  <si>
    <t>▌  考勤记录</t>
  </si>
  <si>
    <t>应到</t>
  </si>
  <si>
    <t>实到</t>
  </si>
  <si>
    <t>加班</t>
  </si>
  <si>
    <t>▌  配置表</t>
  </si>
  <si>
    <t>部门配置</t>
  </si>
  <si>
    <t>职务配置</t>
  </si>
  <si>
    <t>个人年金</t>
  </si>
  <si>
    <t>工资</t>
  </si>
  <si>
    <t>职员</t>
  </si>
  <si>
    <t>0-5000</t>
  </si>
  <si>
    <t>开发部</t>
  </si>
  <si>
    <t>技术部</t>
  </si>
  <si>
    <t>6000-8000</t>
  </si>
  <si>
    <t>▌  报盘</t>
  </si>
  <si>
    <t>员工姓名</t>
  </si>
  <si>
    <t>录入日期</t>
  </si>
  <si>
    <t>个人支出</t>
  </si>
  <si>
    <t>企业支出</t>
  </si>
  <si>
    <t>▌  审批记录</t>
  </si>
  <si>
    <t>员工人数</t>
  </si>
  <si>
    <t>审批人</t>
  </si>
  <si>
    <t>日期</t>
  </si>
  <si>
    <t>李强</t>
  </si>
  <si>
    <t>管理员3</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</si>
  <si>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</si>
  <si>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</si>
  <si>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</si>
  <si>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</si>
  <si>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</si>
  <si>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</si>
  <si>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</si>
  <si>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</si>
  <si>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</si>
  <si>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</si>
  <si>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</si>
  <si>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</si>
  <si>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</si>
  <si>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</si>
  <si>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</si>
  <si>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14782958375</t>
  </si>
  <si>
    <t>2023-05-01;2023-04-04</t>
  </si>
  <si>
    <t>2023-05-01;2023-04-18</t>
  </si>
  <si>
    <t>2023-05-01;2023-04-03</t>
  </si>
  <si>
    <t>2020/4/1;2023-04-01</t>
  </si>
  <si>
    <t>15241844735</t>
  </si>
  <si>
    <t>2023-04-01;2023-04-13</t>
  </si>
  <si>
    <t>dd</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</si>
  <si>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</si>
  <si>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</si>
  <si>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</si>
  <si>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</si>
  <si>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</si>
  <si>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</si>
  <si>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</si>
  <si>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</si>
  <si>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</si>
  <si>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</si>
  <si>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</si>
  <si>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</si>
  <si>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</si>
  <si>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</si>
  <si>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</si>
  <si>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</si>
  <si>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</si>
  <si>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</si>
  <si>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</si>
  <si>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</si>
  <si>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http://yhocn.cn:9088/人事系统/简历文件/插单.jpg</t>
  </si>
  <si>
    <t>刘秦</t>
  </si>
  <si>
    <t>高中</t>
  </si>
  <si>
    <t>测试11</t>
  </si>
  <si>
    <t>2026-01-15</t>
  </si>
  <si>
    <t>双击查看</t>
  </si>
  <si>
    <t>双击上传</t>
  </si>
  <si>
    <t>http://yhocn.cn:9088/renshi/jianliwenjian/ceshi9.jpg,http://yhocn.cn:9088/renshi/jianliwenjian/ceshi10.jpg</t>
  </si>
  <si>
    <t>张流还好</t>
  </si>
  <si>
    <t>大学试试</t>
  </si>
  <si>
    <t>测试刚刚</t>
  </si>
  <si>
    <t>目标备哈哈哈</t>
  </si>
  <si>
    <t>http://yhocn.cn:9088/renshi/jianliwenjian/ceshi7.jpg,http://yhocn.cn:9088/renshi/jianliwenjian/ceshi8.jpg</t>
  </si>
  <si>
    <t>测试1</t>
  </si>
  <si>
    <t>2026-02-04</t>
  </si>
  <si>
    <t>http://yhocn.cn:9088/renshi/jianliwenjian/ceshi4.jpg</t>
  </si>
  <si>
    <t>http://yhocn.cn:9088/人事系统/简历文件/上传文件Excel.jpg</t>
  </si>
  <si>
    <t>3</t>
  </si>
  <si>
    <t>2026-02-11</t>
  </si>
  <si>
    <t>运营1</t>
  </si>
  <si>
    <t>2026-02-13</t>
  </si>
  <si>
    <t>待上传</t>
  </si>
  <si>
    <t>▌  简历审批</t>
  </si>
  <si>
    <t>▌  面试管理</t>
  </si>
  <si>
    <t>面试评价</t>
  </si>
  <si>
    <t>http://yhocn.cn:9088/人事系统/简历文件/张三简历报告.jpg</t>
  </si>
  <si>
    <t>王五</t>
  </si>
  <si>
    <t>研究生</t>
  </si>
  <si>
    <t>2026-01-13</t>
  </si>
  <si>
    <t>目标备注</t>
  </si>
  <si>
    <t>2026-01-14</t>
  </si>
  <si>
    <t>还可以</t>
  </si>
  <si>
    <t>孙强</t>
  </si>
  <si>
    <t>合格</t>
  </si>
  <si>
    <t>是</t>
  </si>
  <si>
    <t>http://yhocn.cn:9088/人事系统/简历文件/简历_管理员.jpg</t>
  </si>
  <si>
    <t>运营</t>
  </si>
  <si>
    <t>2026-02-06</t>
  </si>
  <si>
    <t>可以</t>
  </si>
  <si>
    <t>硕士</t>
  </si>
  <si>
    <t>维护运营</t>
  </si>
  <si>
    <t>2026-02-09</t>
  </si>
  <si>
    <t>http://yhocn.cn:9088/人事系统/简历文件/简历_测试.jpg</t>
  </si>
  <si>
    <t>2026/2/9</t>
  </si>
  <si>
    <t>▌  离职申请</t>
  </si>
  <si>
    <t>请假结果</t>
  </si>
  <si>
    <t>提交审批</t>
  </si>
  <si>
    <t>提交日期</t>
  </si>
  <si>
    <t>审批结果</t>
  </si>
  <si>
    <t>审批原因</t>
  </si>
  <si>
    <t>申请原因</t>
  </si>
  <si>
    <t>2026-02-25</t>
  </si>
  <si>
    <t>▌  离职审批</t>
  </si>
  <si>
    <t>请假原因</t>
  </si>
  <si>
    <t>审批状态</t>
  </si>
  <si>
    <t>销售部</t>
  </si>
  <si>
    <t>理由</t>
  </si>
  <si>
    <t>申请原因不详</t>
  </si>
  <si>
    <t>保安部</t>
  </si>
  <si>
    <t>出去理由</t>
  </si>
  <si>
    <t>管理部1</t>
  </si>
  <si>
    <t>刘海1</t>
  </si>
  <si>
    <t>申请离职1</t>
  </si>
  <si>
    <t>张海洋</t>
  </si>
  <si>
    <t>回家养病</t>
  </si>
  <si>
    <t>人事</t>
  </si>
  <si>
    <t>田七</t>
  </si>
  <si>
    <t>我的</t>
  </si>
  <si>
    <t>王庆伟</t>
  </si>
  <si>
    <t>鞍山市</t>
  </si>
  <si>
    <t>啊擦</t>
  </si>
  <si>
    <t>2026-01-21</t>
  </si>
  <si>
    <t>测试离职申请</t>
  </si>
  <si>
    <t>刘三</t>
  </si>
  <si>
    <t>2026-01-22</t>
  </si>
  <si>
    <t>as建瓯市AC</t>
  </si>
  <si>
    <t>语音</t>
  </si>
  <si>
    <t>我转转</t>
  </si>
  <si>
    <t>嘿嘿嘿</t>
  </si>
  <si>
    <t>请假回家 身体不舒服</t>
  </si>
  <si>
    <t>生病</t>
  </si>
  <si>
    <t>无</t>
  </si>
  <si>
    <t>有事</t>
  </si>
  <si>
    <t>刘改</t>
  </si>
  <si>
    <t>2026-02-12</t>
  </si>
  <si>
    <t>微微儿</t>
  </si>
  <si>
    <t>▌  请假审批</t>
  </si>
  <si>
    <t>起始请假时间</t>
  </si>
  <si>
    <t>截止请假时间</t>
  </si>
  <si>
    <t>测试部门</t>
  </si>
  <si>
    <t>2026-01-09</t>
  </si>
  <si>
    <t>2026-01-10</t>
  </si>
  <si>
    <t>不通过</t>
  </si>
  <si>
    <t>2026-01-09 04:47:55</t>
  </si>
  <si>
    <t>2026-01-11</t>
  </si>
  <si>
    <t>有时处理</t>
  </si>
  <si>
    <t>允许</t>
  </si>
  <si>
    <t>2026-01-14 00:53:11</t>
  </si>
  <si>
    <t>2026-01-16</t>
  </si>
  <si>
    <t>2026-01-18</t>
  </si>
  <si>
    <t>2026-01-21 14:40:39</t>
  </si>
  <si>
    <t>请假申请</t>
  </si>
  <si>
    <t>2026-01-23</t>
  </si>
  <si>
    <t>2026-01-25</t>
  </si>
  <si>
    <t>驱蚊器</t>
  </si>
  <si>
    <t>2026-01-22 12:04:01</t>
  </si>
  <si>
    <t>2026-01-22 12:14:13</t>
  </si>
  <si>
    <t>2026-01-17</t>
  </si>
  <si>
    <t>身边</t>
  </si>
  <si>
    <t>2026-01-22 17:38:08</t>
  </si>
  <si>
    <t>ii</t>
  </si>
  <si>
    <t>2026-01-23 12:09:46</t>
  </si>
  <si>
    <t>鼠标</t>
  </si>
  <si>
    <t>2026-02-05 13:12:44</t>
  </si>
  <si>
    <t>2026-02-08</t>
  </si>
  <si>
    <t>外出</t>
  </si>
  <si>
    <t>2026-02-05 16:46:12</t>
  </si>
  <si>
    <t>2026-02-05</t>
  </si>
  <si>
    <t>2026-02-15</t>
  </si>
  <si>
    <t>2026-02-09 05:29:39</t>
  </si>
  <si>
    <t>2026-02-12 06:44:51</t>
  </si>
  <si>
    <t>2026-02-18</t>
  </si>
  <si>
    <t>2026-02-26</t>
  </si>
  <si>
    <t>2026-02-22</t>
  </si>
  <si>
    <t>2026-02-28</t>
  </si>
  <si>
    <t>2026-02-27</t>
  </si>
  <si>
    <t>▌  动态工资明细</t>
  </si>
  <si>
    <t>职位</t>
  </si>
  <si>
    <t>工资标准</t>
  </si>
  <si>
    <t>合计天数</t>
  </si>
  <si>
    <t>已发工资</t>
  </si>
  <si>
    <t>结余</t>
  </si>
  <si>
    <t>李四</t>
  </si>
  <si>
    <t>主管</t>
  </si>
  <si>
    <t>和</t>
  </si>
  <si>
    <t>▌  统计图</t>
  </si>
  <si>
    <t>目标字段</t>
  </si>
  <si>
    <t>统计字段</t>
  </si>
  <si>
    <t>▌  动态公式</t>
  </si>
  <si>
    <t>公式</t>
  </si>
  <si>
    <t xml:space="preserve">工资标准 * 合计天数 </t>
  </si>
  <si>
    <t>实发工资-已发工资</t>
  </si>
  <si>
    <t>数据1+数据2</t>
  </si>
  <si>
    <t>▌  签到</t>
  </si>
  <si>
    <t>签到信息</t>
  </si>
  <si>
    <t>起始时间</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</si>
  <si>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</si>
  <si>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</si>
  <si>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</si>
  <si>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</si>
  <si>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</si>
  <si>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</si>
  <si>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</si>
  <si>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</si>
  <si>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</si>
  <si>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</si>
  <si>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</si>
  <si>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</si>
  <si>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</si>
  <si>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-01-07","2026-01-08","2026-01-09","2026-01-12","2026-01-13","2026-01-14","2026-01-15","2026-01-16","2026-01-19","2026-01-20","2026-01-21","2026-01-22","2026-01-23","2026-01-26","2026-01-27","2026-01-28","2026-01-29","2026-01-30","2026-02-02","2026-02-03","2026-02-04","2026-02-05","2026-02-06"]</t>
  </si>
  <si>
    <t>["2026-01-16","2026-01-17","2026-01-18","2026-01-19","2026-01-20","2026-01-21","2026-01-22","2026-01-23","2026-01-24","2026-01-25","2026-01-26","2026-01-27","2026-01-28","2026-01-29","2026-01-30","2026-01-31","2026-02-01","2026-02-02","2026-02-03","2026-02-04","2026-02-05","2026-02-06","2026-02-07","2026-02-08","2026-02-09","2026-02-10","2026-02-11","2026-02-12","2026-02-13","2026-03-14"]</t>
  </si>
  <si>
    <t>工作开始日期</t>
  </si>
  <si>
    <t>["2026-01-16","2026-01-19","2026-01-20","2026-01-21","2026-01-22","2026-01-23","2026-01-26","2026-01-27","2026-01-28","2026-01-29","2026-01-30","2026-02-02","2026-02-03","2026-02-04","2026-02-05","2026-02-06","2026-02-09","2026-02-10","2026-02-11","2026-02-12","2026-02-13"]</t>
  </si>
  <si>
    <t>工作结束日期</t>
  </si>
  <si>
    <t>09:00</t>
  </si>
  <si>
    <t>["2026-02-12","2026-02-13","2026-02-15","2026-02-16","2026-02-17","2026-02-18","2026-02-19"]</t>
  </si>
  <si>
    <t>["2026-02-12","2026-02-13","2026-02-14","2026-02-15","2026-02-16","2026-02-17","2026-02-18","2026-02-19"]</t>
  </si>
  <si>
    <t>["2026-02-12","2026-02-13","2026-02-14","2026-02-15","2026-02-16","2026-02-17","2026-02-18","2026-02-19","2026-02-20","2026-02-21","2026-02-22","2026-02-23","2026-02-24","2026-02-25","2026-02-26","2026-02-27","2026-02-28"]</t>
  </si>
  <si>
    <t>工作配置</t>
  </si>
  <si>
    <t>▌  文件详情</t>
  </si>
  <si>
    <t>链接</t>
  </si>
  <si>
    <t>操作</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</si>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</sst>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8">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49" fontId="0" fillId="0" borderId="8" xfId="0" applyNumberFormat="1" applyFont="1" applyBorder="1" applyAlignment="1">
      <alignment horizontal="center" vertical="center"/>
    </xf>
    <xf numFmtId="14" fontId="0" fillId="0" borderId="2" xfId="0" applyNumberForma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0" fontId="0" fillId="0" borderId="8" xfId="0" applyNumberFormat="1" applyBorder="1" applyAlignment="1">
      <alignment horizontal="center" vertical="center"/>
    </xf>
    <xf numFmtId="178" fontId="0" fillId="2" borderId="8"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人事</c:v>
                </c:pt>
                <c:pt idx="1">
                  <c:v>和</c:v>
                </c:pt>
                <c:pt idx="2">
                  <c:v>人事部</c:v>
                </c:pt>
                <c:pt idx="3">
                  <c:v>管理部</c:v>
                </c:pt>
                <c:pt idx="4">
                  <c:v>保安部</c:v>
                </c:pt>
              </c:strCache>
            </c:strRef>
          </c:cat>
          <c:val>
            <c:numRef>
              <c:f>统计图!$C$8:$C$19</c:f>
              <c:numCache>
                <c:formatCode>General</c:formatCode>
                <c:ptCount val="12"/>
                <c:pt idx="0">
                  <c:v>39100</c:v>
                </c:pt>
                <c:pt idx="1">
                  <c:v>1900</c:v>
                </c:pt>
                <c:pt idx="2">
                  <c:v>0</c:v>
                </c:pt>
                <c:pt idx="3">
                  <c:v>0</c:v>
                </c:pt>
                <c:pt idx="4">
                  <c:v>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人事</c:v>
                </c:pt>
                <c:pt idx="1">
                  <c:v>和</c:v>
                </c:pt>
                <c:pt idx="2">
                  <c:v>人事部</c:v>
                </c:pt>
                <c:pt idx="3">
                  <c:v>管理部</c:v>
                </c:pt>
                <c:pt idx="4">
                  <c:v>保安部</c:v>
                </c:pt>
              </c:strCache>
            </c:strRef>
          </c:cat>
          <c:val>
            <c:numRef>
              <c:f>统计图!$C$8:$C$20</c:f>
              <c:numCache>
                <c:formatCode>General</c:formatCode>
                <c:ptCount val="13"/>
                <c:pt idx="0">
                  <c:v>39100</c:v>
                </c:pt>
                <c:pt idx="1">
                  <c:v>1900</c:v>
                </c:pt>
                <c:pt idx="2">
                  <c:v>0</c:v>
                </c:pt>
                <c:pt idx="3">
                  <c:v>0</c:v>
                </c:pt>
                <c:pt idx="4">
                  <c:v>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F13" sqref="F13"/>
    </sheetView>
  </sheetViews>
  <sheetFormatPr defaultColWidth="3.625" defaultRowHeight="17.1" customHeight="1"/>
  <cols>
    <col min="1" max="1" width="3.625" style="101" customWidth="1"/>
    <col min="2" max="16384" width="3.625" style="101"/>
  </cols>
  <sheetData>
    <row r="4" customHeight="1" spans="1:42">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row>
    <row r="5" customHeight="1" spans="1:42">
      <c r="A5" s="102"/>
      <c r="B5" s="102"/>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row>
    <row r="6" customHeight="1" spans="1:42">
      <c r="A6" s="103"/>
      <c r="B6" s="103"/>
      <c r="C6" s="103"/>
      <c r="D6" s="103"/>
      <c r="E6" s="103"/>
      <c r="F6" s="103"/>
      <c r="G6" s="103"/>
      <c r="H6" s="104"/>
      <c r="I6" s="104"/>
      <c r="J6" s="104"/>
      <c r="K6" s="104"/>
      <c r="L6" s="104"/>
      <c r="M6" s="104"/>
      <c r="N6" s="104"/>
      <c r="O6" s="104"/>
      <c r="P6" s="104"/>
      <c r="Q6" s="10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row>
    <row r="7" customHeight="1" spans="1:42">
      <c r="E7" s="105"/>
      <c r="F7" s="105"/>
      <c r="G7" s="105"/>
      <c r="H7" s="106"/>
      <c r="I7" s="106"/>
      <c r="J7" s="106"/>
      <c r="K7" s="106"/>
      <c r="L7" s="106"/>
      <c r="M7" s="106"/>
      <c r="N7" s="107"/>
      <c r="O7" s="107"/>
      <c r="P7" s="107"/>
      <c r="Q7" s="107"/>
      <c r="T7" s="107"/>
      <c r="U7" s="107"/>
      <c r="V7" s="107"/>
      <c r="W7" s="107"/>
    </row>
    <row r="8" customHeight="1" spans="1:42">
      <c r="H8" s="107"/>
      <c r="I8" s="107"/>
      <c r="J8" s="107"/>
      <c r="K8" s="107"/>
      <c r="L8" s="107"/>
      <c r="M8" s="107"/>
      <c r="N8" s="107"/>
      <c r="O8" s="107"/>
      <c r="P8" s="107"/>
      <c r="Q8" s="107"/>
      <c r="T8" s="107"/>
      <c r="U8" s="107"/>
      <c r="V8" s="107"/>
      <c r="W8" s="107"/>
    </row>
    <row r="9" customHeight="1" spans="1:42">
      <c r="H9" s="107"/>
      <c r="I9" s="107"/>
      <c r="J9" s="107"/>
      <c r="K9" s="107"/>
      <c r="L9" s="107"/>
      <c r="M9" s="107"/>
      <c r="N9" s="107"/>
      <c r="O9" s="107"/>
      <c r="P9" s="107"/>
      <c r="Q9" s="107"/>
      <c r="R9" s="107"/>
      <c r="S9" s="107"/>
      <c r="T9" s="107"/>
      <c r="U9" s="107"/>
      <c r="V9" s="107"/>
      <c r="W9" s="107"/>
    </row>
    <row r="10" customHeight="1" spans="1:42">
      <c r="Q10" s="107"/>
      <c r="R10" s="107"/>
      <c r="S10" s="107"/>
      <c r="T10" s="107"/>
      <c r="U10" s="107"/>
      <c r="V10" s="107"/>
      <c r="W10" s="107"/>
    </row>
    <row r="11" customHeight="1" spans="1:42">
      <c r="Q11" s="107"/>
      <c r="R11" s="107"/>
      <c r="S11" s="107"/>
      <c r="T11" s="107"/>
      <c r="U11" s="107"/>
      <c r="V11" s="107"/>
      <c r="W11" s="107"/>
    </row>
    <row r="12" customHeight="1" spans="1:42">
      <c r="Q12" s="107"/>
      <c r="R12" s="107"/>
      <c r="S12" s="107"/>
      <c r="T12" s="107"/>
      <c r="U12" s="107"/>
      <c r="V12" s="107"/>
      <c r="W12" s="107"/>
    </row>
    <row r="13" customHeight="1" spans="1:42">
      <c r="Q13" s="107"/>
      <c r="R13" s="107"/>
      <c r="S13" s="107"/>
      <c r="T13" s="107"/>
      <c r="U13" s="107"/>
      <c r="V13" s="107"/>
      <c r="W13" s="107"/>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F13" sqref="F13"/>
    </sheetView>
  </sheetViews>
  <sheetFormatPr defaultColWidth="9" defaultRowHeight="21.95" customHeight="1"/>
  <cols>
    <col min="1" max="1" width="1.625" style="83" customWidth="1"/>
    <col min="2" max="2" width="2.625" style="84" customWidth="1"/>
    <col min="3" max="3" width="15.25" style="85" customWidth="1"/>
    <col min="4" max="4" width="19.125" style="86" customWidth="1"/>
    <col min="5" max="5" width="10.5" style="86" customWidth="1"/>
    <col min="6" max="8" width="24.625" style="86" customWidth="1"/>
    <col min="9" max="9" width="2.625" style="84" customWidth="1"/>
    <col min="10" max="10" width="4.25" style="83" customWidth="1"/>
    <col min="11" max="16384" width="9" style="83"/>
  </cols>
  <sheetData>
    <row r="1" s="81" customFormat="1" ht="54.95" customHeight="1" spans="1:10">
      <c r="A1" s="87"/>
      <c r="C1" s="88"/>
      <c r="J1" s="89"/>
    </row>
    <row r="2" ht="15.95" customHeight="1" spans="1:10">
      <c r="B2" s="83"/>
      <c r="C2" s="90"/>
      <c r="D2" s="83"/>
      <c r="E2" s="83"/>
      <c r="F2" s="83"/>
      <c r="G2" s="83"/>
      <c r="H2" s="83"/>
      <c r="I2" s="83"/>
    </row>
    <row r="3" ht="15.95" customHeight="1" spans="1:10">
      <c r="C3" s="91"/>
      <c r="D3" s="84"/>
      <c r="E3" s="84"/>
      <c r="F3" s="84"/>
      <c r="G3" s="84"/>
      <c r="H3" s="84"/>
    </row>
    <row r="4" ht="75.95" customHeight="1" spans="1:10">
      <c r="C4" s="92" t="s">
        <v>0</v>
      </c>
      <c r="D4" s="93"/>
      <c r="E4" s="93"/>
      <c r="F4" s="94">
        <f>D7</f>
        <v>1</v>
      </c>
      <c r="G4" s="95" t="s">
        <v>1</v>
      </c>
      <c r="H4" s="95"/>
    </row>
    <row r="5" ht="6" customHeight="1" spans="1:10">
      <c r="C5" s="96"/>
      <c r="D5" s="93"/>
      <c r="E5" s="93"/>
      <c r="F5" s="97"/>
      <c r="G5" s="97"/>
      <c r="H5" s="97"/>
    </row>
    <row r="6" s="82" customFormat="1" ht="9" customHeight="1" spans="1:10">
      <c r="B6" s="84"/>
      <c r="C6" s="98"/>
      <c r="D6" s="99"/>
      <c r="E6" s="99"/>
      <c r="F6" s="100"/>
      <c r="G6" s="100"/>
      <c r="H6" s="100"/>
      <c r="I6" s="84"/>
    </row>
    <row r="7" hidden="1" customHeight="1" spans="1:10">
      <c r="B7" s="84" t="s">
        <v>2</v>
      </c>
      <c r="D7" s="86">
        <v>1</v>
      </c>
    </row>
    <row r="8" customHeight="1" spans="1:10">
      <c r="C8" s="85" t="s">
        <v>3</v>
      </c>
      <c r="D8" s="86" t="s">
        <v>4</v>
      </c>
    </row>
    <row r="9" customHeight="1" spans="1:10">
      <c r="C9" s="85" t="s">
        <v>5</v>
      </c>
      <c r="D9" s="86" t="s">
        <v>6</v>
      </c>
    </row>
    <row r="10" customHeight="1" spans="1:10">
      <c r="C10" s="85" t="s">
        <v>7</v>
      </c>
      <c r="D10" s="86" t="s">
        <v>8</v>
      </c>
    </row>
    <row r="11" customHeight="1" spans="1:10">
      <c r="C11" s="85" t="s">
        <v>9</v>
      </c>
      <c r="D11" s="86" t="s">
        <v>10</v>
      </c>
    </row>
    <row r="18" hidden="1" customHeight="1" spans="3:4">
      <c r="C18" s="85" t="s">
        <v>3</v>
      </c>
      <c r="D18" s="86" t="s">
        <v>11</v>
      </c>
    </row>
    <row r="19" hidden="1" customHeight="1" spans="3:4">
      <c r="C19" s="85" t="s">
        <v>5</v>
      </c>
      <c r="D19" s="86" t="s">
        <v>6</v>
      </c>
    </row>
    <row r="20" hidden="1" customHeight="1" spans="3:4">
      <c r="C20" s="85" t="s">
        <v>7</v>
      </c>
      <c r="D20" s="86" t="s">
        <v>8</v>
      </c>
    </row>
    <row r="21" hidden="1" customHeight="1" spans="3:4">
      <c r="C21" s="85" t="s">
        <v>9</v>
      </c>
      <c r="D21" s="86" t="s">
        <v>12</v>
      </c>
    </row>
    <row r="22" hidden="1" customHeight="1" spans="3:4">
      <c r="C22" s="85" t="s">
        <v>13</v>
      </c>
      <c r="D22" s="86" t="s">
        <v>10</v>
      </c>
    </row>
    <row r="23" hidden="1" customHeight="1"/>
    <row r="24" hidden="1" customHeight="1"/>
    <row r="25" hidden="1" customHeight="1"/>
    <row r="26" hidden="1" customHeight="1"/>
    <row r="27" hidden="1" customHeight="1"/>
    <row r="28" hidden="1" customHeight="1" spans="3:4">
      <c r="C28" s="85" t="s">
        <v>3</v>
      </c>
      <c r="D28" s="86" t="s">
        <v>14</v>
      </c>
    </row>
    <row r="29" hidden="1" customHeight="1" spans="3:4">
      <c r="C29" s="85" t="s">
        <v>5</v>
      </c>
      <c r="D29" s="86" t="s">
        <v>15</v>
      </c>
    </row>
    <row r="30" hidden="1" customHeight="1" spans="3:4">
      <c r="D30" s="86" t="s">
        <v>16</v>
      </c>
    </row>
    <row r="31" hidden="1" customHeight="1" spans="3:4">
      <c r="C31" s="85" t="s">
        <v>7</v>
      </c>
      <c r="D31" s="86" t="s">
        <v>17</v>
      </c>
    </row>
    <row r="32" hidden="1" customHeight="1" spans="3:4">
      <c r="C32" s="85" t="s">
        <v>9</v>
      </c>
      <c r="D32" s="86" t="s">
        <v>8</v>
      </c>
    </row>
    <row r="33" hidden="1" customHeight="1" spans="3:4">
      <c r="C33" s="85" t="s">
        <v>13</v>
      </c>
      <c r="D33" s="86" t="s">
        <v>10</v>
      </c>
    </row>
    <row r="34" hidden="1" customHeight="1"/>
    <row r="35" hidden="1" customHeight="1"/>
    <row r="36" hidden="1" customHeight="1"/>
    <row r="37" hidden="1" customHeight="1"/>
    <row r="38" hidden="1" customHeight="1" spans="3:4">
      <c r="C38" s="85" t="s">
        <v>3</v>
      </c>
      <c r="D38" s="86" t="s">
        <v>18</v>
      </c>
    </row>
    <row r="39" hidden="1" customHeight="1" spans="3:4">
      <c r="C39" s="85" t="s">
        <v>5</v>
      </c>
      <c r="D39" s="86"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5" t="s">
        <v>3</v>
      </c>
      <c r="D48" s="86" t="s">
        <v>19</v>
      </c>
    </row>
    <row r="49" hidden="1" customHeight="1" spans="3:4">
      <c r="C49" s="85" t="s">
        <v>5</v>
      </c>
      <c r="D49" s="86" t="s">
        <v>6</v>
      </c>
    </row>
    <row r="50" hidden="1" customHeight="1" spans="3:4">
      <c r="C50" s="85" t="s">
        <v>7</v>
      </c>
      <c r="D50" s="86" t="s">
        <v>8</v>
      </c>
    </row>
    <row r="51" hidden="1" customHeight="1"/>
    <row r="52" hidden="1" customHeight="1"/>
    <row r="53" hidden="1" customHeight="1"/>
    <row r="54" hidden="1" customHeight="1"/>
    <row r="55" hidden="1" customHeight="1"/>
    <row r="56" hidden="1" customHeight="1"/>
    <row r="57" hidden="1" customHeight="1"/>
    <row r="58" hidden="1" customHeight="1" spans="3:4">
      <c r="C58" s="85" t="s">
        <v>3</v>
      </c>
      <c r="D58" s="86" t="s">
        <v>20</v>
      </c>
    </row>
    <row r="59" hidden="1" customHeight="1" spans="3:4">
      <c r="C59" s="85" t="s">
        <v>5</v>
      </c>
      <c r="D59" s="86" t="s">
        <v>10</v>
      </c>
    </row>
    <row r="60" hidden="1" customHeight="1" spans="3:4">
      <c r="C60" s="85" t="s">
        <v>7</v>
      </c>
      <c r="D60" s="86" t="s">
        <v>21</v>
      </c>
    </row>
    <row r="61" hidden="1" customHeight="1" spans="3:4">
      <c r="D61" s="86" t="s">
        <v>22</v>
      </c>
    </row>
    <row r="62" hidden="1" customHeight="1"/>
    <row r="63" hidden="1" customHeight="1"/>
    <row r="64" hidden="1" customHeight="1"/>
    <row r="65" hidden="1" customHeight="1"/>
    <row r="66" hidden="1" customHeight="1"/>
    <row r="67" hidden="1" customHeight="1"/>
    <row r="68" hidden="1" customHeight="1" spans="3:4">
      <c r="C68" s="85" t="s">
        <v>3</v>
      </c>
      <c r="D68" s="86" t="s">
        <v>23</v>
      </c>
    </row>
    <row r="69" hidden="1" customHeight="1" spans="3:4">
      <c r="C69" s="85" t="s">
        <v>5</v>
      </c>
      <c r="D69" s="86" t="s">
        <v>24</v>
      </c>
    </row>
    <row r="70" hidden="1" customHeight="1" spans="3:4">
      <c r="C70" s="85" t="s">
        <v>7</v>
      </c>
      <c r="D70" s="86" t="s">
        <v>8</v>
      </c>
    </row>
    <row r="71" hidden="1" customHeight="1" spans="3:4">
      <c r="C71" s="85" t="s">
        <v>9</v>
      </c>
      <c r="D71" s="86" t="s">
        <v>10</v>
      </c>
    </row>
    <row r="72" hidden="1" customHeight="1"/>
    <row r="73" hidden="1" customHeight="1"/>
    <row r="74" hidden="1" customHeight="1"/>
    <row r="75" hidden="1" customHeight="1"/>
    <row r="76" hidden="1" customHeight="1"/>
    <row r="77" hidden="1" customHeight="1"/>
    <row r="78" hidden="1" customHeight="1" spans="3:4">
      <c r="C78" s="85" t="s">
        <v>3</v>
      </c>
      <c r="D78" s="86" t="s">
        <v>25</v>
      </c>
    </row>
    <row r="79" hidden="1" customHeight="1" spans="3:4">
      <c r="C79" s="85" t="s">
        <v>5</v>
      </c>
      <c r="D79" s="86" t="s">
        <v>6</v>
      </c>
    </row>
    <row r="80" hidden="1" customHeight="1" spans="3:4">
      <c r="C80" s="85" t="s">
        <v>7</v>
      </c>
      <c r="D80" s="86" t="s">
        <v>8</v>
      </c>
    </row>
    <row r="81" hidden="1" customHeight="1" spans="3:4">
      <c r="C81" s="85" t="s">
        <v>9</v>
      </c>
      <c r="D81" s="86" t="s">
        <v>10</v>
      </c>
    </row>
    <row r="82" hidden="1" customHeight="1"/>
    <row r="83" hidden="1" customHeight="1"/>
    <row r="84" hidden="1" customHeight="1"/>
    <row r="85" hidden="1" customHeight="1"/>
    <row r="86" hidden="1" customHeight="1"/>
    <row r="87" hidden="1" customHeight="1"/>
    <row r="88" hidden="1" customHeight="1" spans="3:4">
      <c r="C88" s="85" t="s">
        <v>3</v>
      </c>
      <c r="D88" s="86" t="s">
        <v>26</v>
      </c>
    </row>
    <row r="89" hidden="1" customHeight="1" spans="3:4">
      <c r="C89" s="85" t="s">
        <v>5</v>
      </c>
      <c r="D89" s="86" t="s">
        <v>10</v>
      </c>
    </row>
    <row r="90" hidden="1" customHeight="1" spans="3:4">
      <c r="C90" s="85" t="s">
        <v>7</v>
      </c>
      <c r="D90" s="86" t="s">
        <v>27</v>
      </c>
    </row>
    <row r="91" hidden="1" customHeight="1"/>
    <row r="92" hidden="1" customHeight="1"/>
    <row r="93" hidden="1" customHeight="1"/>
    <row r="94" hidden="1" customHeight="1"/>
    <row r="95" hidden="1" customHeight="1"/>
    <row r="96" hidden="1" customHeight="1"/>
    <row r="97" hidden="1" customHeight="1"/>
    <row r="98" hidden="1" customHeight="1" spans="3:4">
      <c r="C98" s="85" t="s">
        <v>3</v>
      </c>
      <c r="D98" s="86" t="s">
        <v>28</v>
      </c>
    </row>
    <row r="99" hidden="1" customHeight="1" spans="3:4">
      <c r="C99" s="85" t="s">
        <v>5</v>
      </c>
      <c r="D99" s="86" t="s">
        <v>10</v>
      </c>
    </row>
    <row r="100" hidden="1" customHeight="1" spans="3:4">
      <c r="C100" s="85" t="s">
        <v>7</v>
      </c>
      <c r="D100" s="86"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5" t="s">
        <v>3</v>
      </c>
      <c r="D108" s="86" t="s">
        <v>29</v>
      </c>
    </row>
    <row r="109" hidden="1" customHeight="1" spans="3:4">
      <c r="C109" s="85" t="s">
        <v>5</v>
      </c>
      <c r="D109" s="86"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5" t="s">
        <v>3</v>
      </c>
      <c r="D118" s="86"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5" t="s">
        <v>3</v>
      </c>
      <c r="D128" s="86" t="s">
        <v>31</v>
      </c>
    </row>
    <row r="129" hidden="1" customHeight="1" spans="3:4">
      <c r="C129" s="85" t="s">
        <v>5</v>
      </c>
      <c r="D129" s="86"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F13" sqref="F13"/>
    </sheetView>
  </sheetViews>
  <sheetFormatPr defaultColWidth="9" defaultRowHeight="14.25" outlineLevelRow="2" outlineLevelCol="4"/>
  <cols>
    <col min="1" max="1" width="9.375"/>
    <col min="3" max="3" width="11.5"/>
  </cols>
  <sheetData>
    <row r="1" spans="1:5">
      <c r="A1" s="71">
        <v>58441</v>
      </c>
      <c r="C1" s="71">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32"/>
  <sheetViews>
    <sheetView showGridLines="0" workbookViewId="0">
      <pane ySplit="4" topLeftCell="A26" activePane="bottomLeft" state="frozen"/>
      <selection/>
      <selection pane="bottomLeft" activeCell="G22" sqref="G22"/>
    </sheetView>
  </sheetViews>
  <sheetFormatPr defaultColWidth="9" defaultRowHeight="20" customHeight="1"/>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0">
        <f ca="1">TODAY()</f>
        <v>46079</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768</v>
      </c>
      <c r="C5" s="1">
        <v>2023</v>
      </c>
      <c r="D5" s="1">
        <v>1</v>
      </c>
      <c r="E5" s="1" t="s">
        <v>42</v>
      </c>
      <c r="F5" s="1" t="s">
        <v>43</v>
      </c>
      <c r="G5" s="1" t="s">
        <v>44</v>
      </c>
      <c r="H5" s="1" t="s">
        <v>44</v>
      </c>
      <c r="I5" s="1" t="s">
        <v>44</v>
      </c>
      <c r="J5" s="1" t="s">
        <v>44</v>
      </c>
      <c r="K5" s="1" t="s">
        <v>44</v>
      </c>
      <c r="L5" s="1" t="s">
        <v>43</v>
      </c>
      <c r="M5" s="1" t="s">
        <v>43</v>
      </c>
      <c r="N5" s="1" t="s">
        <v>44</v>
      </c>
      <c r="O5" s="1" t="s">
        <v>44</v>
      </c>
      <c r="P5" s="1" t="s">
        <v>44</v>
      </c>
      <c r="Q5" s="1" t="s">
        <v>44</v>
      </c>
      <c r="R5" s="1" t="s">
        <v>44</v>
      </c>
      <c r="S5" s="67" t="s">
        <v>43</v>
      </c>
      <c r="T5" s="1" t="s">
        <v>43</v>
      </c>
      <c r="U5" s="1" t="s">
        <v>44</v>
      </c>
      <c r="V5" s="1" t="s">
        <v>44</v>
      </c>
      <c r="W5" s="1" t="s">
        <v>44</v>
      </c>
      <c r="X5" s="1" t="s">
        <v>44</v>
      </c>
      <c r="Y5" s="1" t="s">
        <v>44</v>
      </c>
      <c r="Z5" s="1" t="s">
        <v>43</v>
      </c>
      <c r="AA5" s="1" t="s">
        <v>43</v>
      </c>
      <c r="AB5" s="1" t="s">
        <v>44</v>
      </c>
      <c r="AC5" s="1" t="s">
        <v>44</v>
      </c>
      <c r="AD5" s="1" t="s">
        <v>44</v>
      </c>
      <c r="AE5" s="1" t="s">
        <v>44</v>
      </c>
      <c r="AF5" s="1" t="s">
        <v>44</v>
      </c>
      <c r="AG5" s="1" t="s">
        <v>43</v>
      </c>
      <c r="AH5" s="1" t="s">
        <v>43</v>
      </c>
      <c r="AI5" s="1" t="s">
        <v>44</v>
      </c>
      <c r="AJ5" s="1" t="s">
        <v>44</v>
      </c>
      <c r="AK5" s="1">
        <v>22</v>
      </c>
      <c r="AL5" s="1">
        <v>0</v>
      </c>
      <c r="AM5" s="1">
        <v>0</v>
      </c>
      <c r="AN5" s="1">
        <v>0</v>
      </c>
      <c r="AO5" s="1">
        <v>0</v>
      </c>
    </row>
    <row r="6" customHeight="1" spans="2:41">
      <c r="B6">
        <v>771</v>
      </c>
      <c r="C6" s="1">
        <v>2023</v>
      </c>
      <c r="D6" s="1">
        <v>2</v>
      </c>
      <c r="E6" s="1" t="s">
        <v>45</v>
      </c>
      <c r="F6" s="1" t="s">
        <v>44</v>
      </c>
      <c r="G6" s="1" t="s">
        <v>44</v>
      </c>
      <c r="H6" s="1" t="s">
        <v>44</v>
      </c>
      <c r="I6" s="1" t="s">
        <v>43</v>
      </c>
      <c r="J6" s="1" t="s">
        <v>43</v>
      </c>
      <c r="K6" s="1" t="s">
        <v>44</v>
      </c>
      <c r="L6" s="1" t="s">
        <v>44</v>
      </c>
      <c r="M6" s="1" t="s">
        <v>44</v>
      </c>
      <c r="N6" s="1" t="s">
        <v>44</v>
      </c>
      <c r="O6" s="1" t="s">
        <v>44</v>
      </c>
      <c r="P6" s="1" t="s">
        <v>43</v>
      </c>
      <c r="Q6" s="1" t="s">
        <v>43</v>
      </c>
      <c r="R6" s="1" t="s">
        <v>44</v>
      </c>
      <c r="S6" s="1" t="s">
        <v>44</v>
      </c>
      <c r="T6" s="1" t="s">
        <v>44</v>
      </c>
      <c r="U6" s="1" t="s">
        <v>44</v>
      </c>
      <c r="V6" s="1" t="s">
        <v>44</v>
      </c>
      <c r="W6" s="1" t="s">
        <v>43</v>
      </c>
      <c r="X6" s="1" t="s">
        <v>43</v>
      </c>
      <c r="Y6" s="1" t="s">
        <v>46</v>
      </c>
      <c r="Z6" s="1" t="s">
        <v>44</v>
      </c>
      <c r="AA6" s="1" t="s">
        <v>44</v>
      </c>
      <c r="AB6" s="1" t="s">
        <v>44</v>
      </c>
      <c r="AC6" s="1" t="s">
        <v>44</v>
      </c>
      <c r="AD6" s="1" t="s">
        <v>43</v>
      </c>
      <c r="AE6" s="1" t="s">
        <v>43</v>
      </c>
      <c r="AF6" s="1" t="s">
        <v>44</v>
      </c>
      <c r="AG6" s="1" t="s">
        <v>44</v>
      </c>
      <c r="AH6" s="1" t="s">
        <v>44</v>
      </c>
      <c r="AI6" s="1" t="s">
        <v>44</v>
      </c>
      <c r="AJ6" s="1" t="s">
        <v>44</v>
      </c>
      <c r="AK6" s="1">
        <v>21</v>
      </c>
      <c r="AL6" s="1">
        <v>0</v>
      </c>
      <c r="AM6" s="1">
        <v>0</v>
      </c>
      <c r="AN6" s="1">
        <v>0</v>
      </c>
      <c r="AO6" s="1">
        <v>0</v>
      </c>
    </row>
    <row r="7" customHeight="1" spans="2:41">
      <c r="B7">
        <v>772</v>
      </c>
      <c r="C7" s="1">
        <v>2023</v>
      </c>
      <c r="D7" s="1">
        <v>4</v>
      </c>
      <c r="E7" s="1" t="s">
        <v>47</v>
      </c>
      <c r="F7" s="1" t="s">
        <v>44</v>
      </c>
      <c r="G7" s="1" t="s">
        <v>44</v>
      </c>
      <c r="H7" s="1" t="s">
        <v>44</v>
      </c>
      <c r="I7" s="1" t="s">
        <v>44</v>
      </c>
      <c r="J7" s="1" t="s">
        <v>44</v>
      </c>
      <c r="K7" s="1" t="s">
        <v>44</v>
      </c>
      <c r="L7" s="1" t="s">
        <v>44</v>
      </c>
      <c r="M7" s="1" t="s">
        <v>44</v>
      </c>
      <c r="N7" s="1" t="s">
        <v>44</v>
      </c>
      <c r="O7" s="1" t="s">
        <v>44</v>
      </c>
      <c r="P7" s="1" t="s">
        <v>44</v>
      </c>
      <c r="Q7" s="1" t="s">
        <v>44</v>
      </c>
      <c r="R7" s="1" t="s">
        <v>44</v>
      </c>
      <c r="S7" s="1" t="s">
        <v>44</v>
      </c>
      <c r="T7" s="1" t="s">
        <v>44</v>
      </c>
      <c r="U7" s="1" t="s">
        <v>44</v>
      </c>
      <c r="V7" s="1" t="s">
        <v>44</v>
      </c>
      <c r="W7" s="1" t="s">
        <v>44</v>
      </c>
      <c r="X7" s="1" t="s">
        <v>44</v>
      </c>
      <c r="Y7" s="1" t="s">
        <v>44</v>
      </c>
      <c r="Z7" s="1" t="s">
        <v>44</v>
      </c>
      <c r="AA7" s="1" t="s">
        <v>44</v>
      </c>
      <c r="AB7" s="1" t="s">
        <v>44</v>
      </c>
      <c r="AC7" s="1" t="s">
        <v>44</v>
      </c>
      <c r="AD7" s="1" t="s">
        <v>44</v>
      </c>
      <c r="AE7" s="1" t="s">
        <v>44</v>
      </c>
      <c r="AF7" s="1" t="s">
        <v>44</v>
      </c>
      <c r="AG7" s="1" t="s">
        <v>44</v>
      </c>
      <c r="AH7" s="1" t="s">
        <v>44</v>
      </c>
      <c r="AI7" s="1" t="s">
        <v>44</v>
      </c>
      <c r="AJ7" s="1" t="s">
        <v>44</v>
      </c>
      <c r="AK7" s="1">
        <v>30</v>
      </c>
      <c r="AL7" s="1">
        <v>0</v>
      </c>
      <c r="AM7" s="1">
        <v>0</v>
      </c>
      <c r="AN7" s="1">
        <v>0</v>
      </c>
      <c r="AO7" s="1">
        <v>0</v>
      </c>
    </row>
    <row r="8" customHeight="1" spans="2:41">
      <c r="B8">
        <v>773</v>
      </c>
      <c r="C8" s="1">
        <v>2023</v>
      </c>
      <c r="D8" s="1">
        <v>1</v>
      </c>
      <c r="E8" s="1" t="s">
        <v>48</v>
      </c>
      <c r="F8" s="1" t="s">
        <v>43</v>
      </c>
      <c r="G8" s="1" t="s">
        <v>44</v>
      </c>
      <c r="H8" s="1" t="s">
        <v>44</v>
      </c>
      <c r="I8" s="1" t="s">
        <v>44</v>
      </c>
      <c r="J8" s="1" t="s">
        <v>44</v>
      </c>
      <c r="K8" s="1" t="s">
        <v>44</v>
      </c>
      <c r="L8" s="1" t="s">
        <v>43</v>
      </c>
      <c r="M8" s="1" t="s">
        <v>43</v>
      </c>
      <c r="N8" s="1" t="s">
        <v>44</v>
      </c>
      <c r="O8" s="1" t="s">
        <v>44</v>
      </c>
      <c r="P8" s="1" t="s">
        <v>44</v>
      </c>
      <c r="Q8" s="1" t="s">
        <v>44</v>
      </c>
      <c r="R8" s="1" t="s">
        <v>44</v>
      </c>
      <c r="S8" s="1" t="s">
        <v>43</v>
      </c>
      <c r="T8" s="1" t="s">
        <v>43</v>
      </c>
      <c r="U8" s="1" t="s">
        <v>44</v>
      </c>
      <c r="V8" s="1" t="s">
        <v>44</v>
      </c>
      <c r="W8" s="1" t="s">
        <v>44</v>
      </c>
      <c r="X8" s="1" t="s">
        <v>44</v>
      </c>
      <c r="Y8" s="1" t="s">
        <v>44</v>
      </c>
      <c r="Z8" s="1" t="s">
        <v>43</v>
      </c>
      <c r="AA8" s="1" t="s">
        <v>43</v>
      </c>
      <c r="AB8" s="1" t="s">
        <v>44</v>
      </c>
      <c r="AC8" s="1" t="s">
        <v>44</v>
      </c>
      <c r="AD8" s="1" t="s">
        <v>44</v>
      </c>
      <c r="AE8" s="1" t="s">
        <v>44</v>
      </c>
      <c r="AF8" s="1" t="s">
        <v>44</v>
      </c>
      <c r="AG8" s="1" t="s">
        <v>43</v>
      </c>
      <c r="AH8" s="1" t="s">
        <v>43</v>
      </c>
      <c r="AI8" s="1" t="s">
        <v>44</v>
      </c>
      <c r="AJ8" s="1" t="s">
        <v>44</v>
      </c>
      <c r="AK8" s="1">
        <v>22</v>
      </c>
      <c r="AL8" s="1">
        <v>0</v>
      </c>
      <c r="AM8" s="1">
        <v>0</v>
      </c>
      <c r="AN8" s="1">
        <v>0</v>
      </c>
      <c r="AO8" s="1">
        <v>0</v>
      </c>
    </row>
    <row r="9" customHeight="1" spans="2:41">
      <c r="B9">
        <v>774</v>
      </c>
      <c r="C9" s="1">
        <v>2023</v>
      </c>
      <c r="D9" s="1">
        <v>4</v>
      </c>
      <c r="E9" s="1" t="s">
        <v>49</v>
      </c>
      <c r="F9" s="1" t="s">
        <v>44</v>
      </c>
      <c r="G9" s="1" t="s">
        <v>44</v>
      </c>
      <c r="H9" s="1" t="s">
        <v>44</v>
      </c>
      <c r="I9" s="1" t="s">
        <v>44</v>
      </c>
      <c r="J9" s="1" t="s">
        <v>44</v>
      </c>
      <c r="K9" s="1" t="s">
        <v>44</v>
      </c>
      <c r="L9" s="1" t="s">
        <v>44</v>
      </c>
      <c r="M9" s="1" t="s">
        <v>44</v>
      </c>
      <c r="N9" s="1" t="s">
        <v>44</v>
      </c>
      <c r="O9" s="1" t="s">
        <v>44</v>
      </c>
      <c r="P9" s="1" t="s">
        <v>44</v>
      </c>
      <c r="Q9" s="1" t="s">
        <v>44</v>
      </c>
      <c r="R9" s="1" t="s">
        <v>44</v>
      </c>
      <c r="S9" s="1" t="s">
        <v>44</v>
      </c>
      <c r="T9" s="1" t="s">
        <v>44</v>
      </c>
      <c r="U9" s="1" t="s">
        <v>44</v>
      </c>
      <c r="V9" s="1" t="s">
        <v>44</v>
      </c>
      <c r="W9" s="1" t="s">
        <v>44</v>
      </c>
      <c r="X9" s="1" t="s">
        <v>44</v>
      </c>
      <c r="Y9" s="1" t="s">
        <v>44</v>
      </c>
      <c r="Z9" s="1" t="s">
        <v>44</v>
      </c>
      <c r="AA9" s="1" t="s">
        <v>44</v>
      </c>
      <c r="AB9" s="1" t="s">
        <v>44</v>
      </c>
      <c r="AC9" s="1" t="s">
        <v>44</v>
      </c>
      <c r="AD9" s="1" t="s">
        <v>44</v>
      </c>
      <c r="AE9" s="1" t="s">
        <v>44</v>
      </c>
      <c r="AF9" s="1" t="s">
        <v>44</v>
      </c>
      <c r="AG9" s="1" t="s">
        <v>44</v>
      </c>
      <c r="AH9" s="1" t="s">
        <v>44</v>
      </c>
      <c r="AI9" s="1" t="s">
        <v>44</v>
      </c>
      <c r="AJ9" s="1" t="s">
        <v>44</v>
      </c>
      <c r="AK9" s="1">
        <v>30</v>
      </c>
      <c r="AL9" s="1">
        <v>0</v>
      </c>
      <c r="AM9" s="1">
        <v>0</v>
      </c>
      <c r="AN9" s="1">
        <v>0</v>
      </c>
      <c r="AO9" s="1">
        <v>0</v>
      </c>
    </row>
    <row r="10" customHeight="1" spans="2:41">
      <c r="B10">
        <v>775</v>
      </c>
      <c r="C10" s="1">
        <v>2023</v>
      </c>
      <c r="D10" s="1">
        <v>4</v>
      </c>
      <c r="E10" s="1" t="s">
        <v>50</v>
      </c>
      <c r="F10" s="1" t="s">
        <v>44</v>
      </c>
      <c r="G10" s="1" t="s">
        <v>44</v>
      </c>
      <c r="H10" s="1" t="s">
        <v>44</v>
      </c>
      <c r="I10" s="1" t="s">
        <v>44</v>
      </c>
      <c r="J10" s="1" t="s">
        <v>44</v>
      </c>
      <c r="K10" s="1" t="s">
        <v>44</v>
      </c>
      <c r="L10" s="1" t="s">
        <v>44</v>
      </c>
      <c r="M10" s="1" t="s">
        <v>44</v>
      </c>
      <c r="N10" s="1" t="s">
        <v>44</v>
      </c>
      <c r="O10" s="1" t="s">
        <v>44</v>
      </c>
      <c r="P10" s="1" t="s">
        <v>44</v>
      </c>
      <c r="Q10" s="1" t="s">
        <v>44</v>
      </c>
      <c r="R10" s="1" t="s">
        <v>44</v>
      </c>
      <c r="S10" s="1" t="s">
        <v>44</v>
      </c>
      <c r="T10" s="1" t="s">
        <v>44</v>
      </c>
      <c r="U10" s="1" t="s">
        <v>44</v>
      </c>
      <c r="V10" s="1" t="s">
        <v>44</v>
      </c>
      <c r="W10" s="1" t="s">
        <v>44</v>
      </c>
      <c r="X10" s="1" t="s">
        <v>44</v>
      </c>
      <c r="Y10" s="1" t="s">
        <v>44</v>
      </c>
      <c r="Z10" s="1" t="s">
        <v>44</v>
      </c>
      <c r="AA10" s="1" t="s">
        <v>44</v>
      </c>
      <c r="AB10" s="1" t="s">
        <v>44</v>
      </c>
      <c r="AC10" s="1" t="s">
        <v>44</v>
      </c>
      <c r="AD10" s="1" t="s">
        <v>44</v>
      </c>
      <c r="AE10" s="1" t="s">
        <v>44</v>
      </c>
      <c r="AF10" s="1" t="s">
        <v>44</v>
      </c>
      <c r="AG10" s="1" t="s">
        <v>51</v>
      </c>
      <c r="AH10" s="1" t="s">
        <v>46</v>
      </c>
      <c r="AI10" s="1" t="s">
        <v>46</v>
      </c>
      <c r="AJ10" s="1" t="s">
        <v>52</v>
      </c>
      <c r="AK10" s="1">
        <v>30</v>
      </c>
      <c r="AL10" s="1">
        <v>0</v>
      </c>
      <c r="AM10" s="1">
        <v>0</v>
      </c>
      <c r="AN10" s="1">
        <v>0</v>
      </c>
      <c r="AO10" s="1">
        <v>0</v>
      </c>
    </row>
    <row r="11" customHeight="1" spans="2:41">
      <c r="B11">
        <v>794</v>
      </c>
      <c r="C11" s="1">
        <v>2023</v>
      </c>
      <c r="D11" s="1">
        <v>9</v>
      </c>
      <c r="E11" s="1" t="s">
        <v>53</v>
      </c>
      <c r="F11" s="1" t="s">
        <v>44</v>
      </c>
      <c r="G11" s="1" t="s">
        <v>54</v>
      </c>
      <c r="H11" s="1" t="s">
        <v>51</v>
      </c>
      <c r="I11" s="1" t="s">
        <v>51</v>
      </c>
      <c r="J11" s="1" t="s">
        <v>44</v>
      </c>
      <c r="K11" s="1" t="s">
        <v>44</v>
      </c>
      <c r="L11" s="1" t="s">
        <v>44</v>
      </c>
      <c r="M11" s="1" t="s">
        <v>44</v>
      </c>
      <c r="N11" s="1" t="s">
        <v>44</v>
      </c>
      <c r="O11" s="1" t="s">
        <v>44</v>
      </c>
      <c r="P11" s="1" t="s">
        <v>44</v>
      </c>
      <c r="Q11" s="1" t="s">
        <v>44</v>
      </c>
      <c r="R11" s="1" t="s">
        <v>44</v>
      </c>
      <c r="AK11" s="1">
        <v>30</v>
      </c>
      <c r="AL11" s="1">
        <v>0</v>
      </c>
      <c r="AM11" s="1">
        <v>0</v>
      </c>
      <c r="AN11" s="1">
        <v>0</v>
      </c>
      <c r="AO11" s="1">
        <v>0</v>
      </c>
    </row>
    <row r="12" customHeight="1" spans="2:41">
      <c r="B12">
        <v>867</v>
      </c>
      <c r="C12" s="1">
        <v>2026</v>
      </c>
      <c r="D12" s="1">
        <v>1</v>
      </c>
      <c r="E12" s="1" t="s">
        <v>55</v>
      </c>
      <c r="AK12" s="1">
        <v>31</v>
      </c>
      <c r="AL12" s="1">
        <v>0</v>
      </c>
      <c r="AM12" s="1">
        <v>0</v>
      </c>
      <c r="AN12" s="1">
        <v>0</v>
      </c>
      <c r="AO12" s="1">
        <v>0</v>
      </c>
    </row>
    <row r="13" customHeight="1" spans="2:41">
      <c r="B13">
        <v>872</v>
      </c>
      <c r="C13" s="1">
        <v>2026</v>
      </c>
      <c r="D13" s="1">
        <v>1</v>
      </c>
      <c r="E13" s="1" t="s">
        <v>53</v>
      </c>
      <c r="AK13" s="1">
        <v>31</v>
      </c>
      <c r="AL13" s="1">
        <v>0</v>
      </c>
      <c r="AM13" s="1">
        <v>0</v>
      </c>
      <c r="AN13" s="1">
        <v>0</v>
      </c>
      <c r="AO13" s="1">
        <v>0</v>
      </c>
    </row>
    <row r="14" customHeight="1" spans="2:41">
      <c r="B14">
        <v>873</v>
      </c>
      <c r="C14" s="1">
        <v>2026</v>
      </c>
      <c r="D14" s="1">
        <v>1</v>
      </c>
      <c r="E14" s="1" t="s">
        <v>56</v>
      </c>
      <c r="AK14" s="1">
        <v>31</v>
      </c>
      <c r="AL14" s="1">
        <v>0</v>
      </c>
      <c r="AM14" s="1">
        <v>0</v>
      </c>
      <c r="AN14" s="1">
        <v>0</v>
      </c>
      <c r="AO14" s="1">
        <v>0</v>
      </c>
    </row>
    <row r="15" customHeight="1" spans="2:41">
      <c r="B15">
        <v>887</v>
      </c>
      <c r="C15" s="1">
        <v>2026</v>
      </c>
      <c r="D15" s="1">
        <v>1</v>
      </c>
      <c r="E15" s="1" t="s">
        <v>57</v>
      </c>
      <c r="AK15" s="1">
        <v>31</v>
      </c>
      <c r="AL15" s="1">
        <v>0</v>
      </c>
      <c r="AM15" s="1">
        <v>0</v>
      </c>
      <c r="AN15" s="1">
        <v>0</v>
      </c>
      <c r="AO15" s="1">
        <v>0</v>
      </c>
    </row>
    <row r="16" customHeight="1" spans="2:41">
      <c r="B16">
        <v>903</v>
      </c>
      <c r="C16" s="1">
        <v>2026</v>
      </c>
      <c r="D16" s="1">
        <v>2</v>
      </c>
      <c r="E16" s="1" t="s">
        <v>58</v>
      </c>
    </row>
    <row r="17" customHeight="1" spans="2:41">
      <c r="B17">
        <v>906</v>
      </c>
      <c r="C17" s="1">
        <v>2026</v>
      </c>
      <c r="D17" s="1">
        <v>2</v>
      </c>
      <c r="E17" s="1" t="s">
        <v>59</v>
      </c>
    </row>
    <row r="18" customHeight="1" spans="2:41">
      <c r="B18">
        <v>910</v>
      </c>
      <c r="C18" s="1">
        <v>2026</v>
      </c>
      <c r="D18" s="1">
        <v>2</v>
      </c>
      <c r="E18" s="1" t="s">
        <v>53</v>
      </c>
    </row>
    <row r="19" customHeight="1" spans="2:41">
      <c r="B19">
        <v>913</v>
      </c>
      <c r="C19" s="1">
        <v>2026</v>
      </c>
      <c r="D19" s="1">
        <v>2</v>
      </c>
      <c r="E19" s="1" t="s">
        <v>60</v>
      </c>
    </row>
    <row r="20" customHeight="1" spans="2:41">
      <c r="B20">
        <v>914</v>
      </c>
      <c r="C20" s="1">
        <v>2026</v>
      </c>
      <c r="D20" s="1">
        <v>2</v>
      </c>
      <c r="E20" s="1" t="s">
        <v>61</v>
      </c>
    </row>
    <row r="21" customHeight="1" spans="2:41">
      <c r="B21">
        <v>822</v>
      </c>
      <c r="C21" s="1">
        <v>2024</v>
      </c>
      <c r="D21" s="1">
        <v>9</v>
      </c>
      <c r="E21" s="1" t="s">
        <v>62</v>
      </c>
      <c r="F21" s="1" t="s">
        <v>44</v>
      </c>
      <c r="L21" s="1" t="s">
        <v>43</v>
      </c>
      <c r="M21" s="1" t="s">
        <v>43</v>
      </c>
      <c r="S21" s="1" t="s">
        <v>43</v>
      </c>
      <c r="T21" s="1" t="s">
        <v>43</v>
      </c>
      <c r="Z21" s="1" t="s">
        <v>43</v>
      </c>
      <c r="AA21" s="1" t="s">
        <v>43</v>
      </c>
      <c r="AG21" s="1" t="s">
        <v>43</v>
      </c>
      <c r="AH21" s="1" t="s">
        <v>43</v>
      </c>
      <c r="AK21" s="1">
        <v>21</v>
      </c>
      <c r="AL21" s="1">
        <v>1</v>
      </c>
      <c r="AM21" s="1">
        <v>0</v>
      </c>
      <c r="AN21" s="1">
        <v>0</v>
      </c>
      <c r="AO21" s="1">
        <v>0</v>
      </c>
    </row>
    <row r="22" customHeight="1" spans="2:41">
      <c r="B22">
        <v>823</v>
      </c>
      <c r="C22" s="1">
        <v>2024</v>
      </c>
      <c r="D22" s="1">
        <v>9</v>
      </c>
      <c r="E22" s="1" t="s">
        <v>63</v>
      </c>
      <c r="F22" s="1" t="s">
        <v>43</v>
      </c>
      <c r="L22" s="1" t="s">
        <v>43</v>
      </c>
      <c r="M22" s="1" t="s">
        <v>43</v>
      </c>
      <c r="S22" s="1" t="s">
        <v>43</v>
      </c>
      <c r="T22" s="1" t="s">
        <v>43</v>
      </c>
      <c r="Z22" s="1" t="s">
        <v>43</v>
      </c>
      <c r="AA22" s="1" t="s">
        <v>43</v>
      </c>
      <c r="AG22" s="1" t="s">
        <v>43</v>
      </c>
      <c r="AH22" s="1" t="s">
        <v>43</v>
      </c>
      <c r="AK22" s="1">
        <v>21</v>
      </c>
      <c r="AL22" s="1">
        <v>0</v>
      </c>
      <c r="AM22" s="1">
        <v>0</v>
      </c>
      <c r="AN22" s="1">
        <v>0</v>
      </c>
      <c r="AO22" s="1">
        <v>0</v>
      </c>
    </row>
    <row r="23" customHeight="1" spans="2:41">
      <c r="B23">
        <v>824</v>
      </c>
      <c r="C23" s="1">
        <v>2024</v>
      </c>
      <c r="D23" s="1">
        <v>9</v>
      </c>
      <c r="E23" s="1" t="s">
        <v>64</v>
      </c>
      <c r="F23" s="1" t="s">
        <v>43</v>
      </c>
      <c r="L23" s="1" t="s">
        <v>43</v>
      </c>
      <c r="M23" s="1" t="s">
        <v>43</v>
      </c>
      <c r="S23" s="1" t="s">
        <v>43</v>
      </c>
      <c r="T23" s="1" t="s">
        <v>43</v>
      </c>
      <c r="Z23" s="1" t="s">
        <v>43</v>
      </c>
      <c r="AA23" s="1" t="s">
        <v>43</v>
      </c>
      <c r="AG23" s="1" t="s">
        <v>43</v>
      </c>
      <c r="AH23" s="1" t="s">
        <v>43</v>
      </c>
      <c r="AK23" s="1">
        <v>21</v>
      </c>
      <c r="AL23" s="1">
        <v>0</v>
      </c>
      <c r="AM23" s="1">
        <v>0</v>
      </c>
      <c r="AN23" s="1">
        <v>0</v>
      </c>
      <c r="AO23" s="1">
        <v>0</v>
      </c>
    </row>
    <row r="24" customHeight="1" spans="2:41">
      <c r="B24">
        <v>831</v>
      </c>
      <c r="C24" s="1">
        <v>2024</v>
      </c>
      <c r="D24" s="1">
        <v>10</v>
      </c>
      <c r="E24" s="1" t="s">
        <v>65</v>
      </c>
      <c r="AK24" s="1">
        <v>31</v>
      </c>
      <c r="AL24" s="1">
        <v>0</v>
      </c>
      <c r="AM24" s="1">
        <v>0</v>
      </c>
      <c r="AN24" s="1">
        <v>0</v>
      </c>
      <c r="AO24" s="1">
        <v>0</v>
      </c>
    </row>
    <row r="25" customHeight="1" spans="2:41">
      <c r="B25">
        <v>909</v>
      </c>
      <c r="C25" s="1">
        <v>2026</v>
      </c>
      <c r="D25" s="1">
        <v>2</v>
      </c>
      <c r="E25" s="1" t="s">
        <v>66</v>
      </c>
    </row>
    <row r="26" customHeight="1" spans="2:41">
      <c r="B26">
        <v>888</v>
      </c>
      <c r="C26" s="1">
        <v>2026</v>
      </c>
      <c r="D26" s="1">
        <v>1</v>
      </c>
      <c r="E26" s="1" t="s">
        <v>67</v>
      </c>
      <c r="F26" s="1" t="s">
        <v>44</v>
      </c>
      <c r="G26" s="1" t="s">
        <v>44</v>
      </c>
      <c r="H26" s="1" t="s">
        <v>44</v>
      </c>
      <c r="I26" s="1" t="s">
        <v>51</v>
      </c>
      <c r="J26" s="1" t="s">
        <v>44</v>
      </c>
      <c r="K26" s="1" t="s">
        <v>51</v>
      </c>
      <c r="L26" s="1" t="s">
        <v>51</v>
      </c>
      <c r="M26" s="1" t="s">
        <v>44</v>
      </c>
      <c r="N26" s="1" t="s">
        <v>54</v>
      </c>
      <c r="O26" s="1" t="s">
        <v>46</v>
      </c>
      <c r="AK26" s="1">
        <v>31</v>
      </c>
      <c r="AL26" s="1">
        <v>0</v>
      </c>
      <c r="AM26" s="1">
        <v>0</v>
      </c>
      <c r="AN26" s="1">
        <v>0</v>
      </c>
      <c r="AO26" s="1">
        <v>0</v>
      </c>
    </row>
    <row r="27" customHeight="1" spans="2:41">
      <c r="B27">
        <v>901</v>
      </c>
      <c r="C27" s="1">
        <v>2026</v>
      </c>
      <c r="D27" s="1">
        <v>2</v>
      </c>
      <c r="E27" s="1" t="s">
        <v>68</v>
      </c>
    </row>
    <row r="28" customHeight="1" spans="2:41">
      <c r="B28">
        <v>912</v>
      </c>
      <c r="C28" s="1">
        <v>2026</v>
      </c>
      <c r="D28" s="1">
        <v>2</v>
      </c>
      <c r="E28" s="1" t="s">
        <v>69</v>
      </c>
    </row>
    <row r="29" customHeight="1" spans="2:41">
      <c r="B29">
        <v>900</v>
      </c>
      <c r="C29" s="1">
        <v>2026</v>
      </c>
      <c r="D29" s="1">
        <v>2</v>
      </c>
      <c r="E29" s="1" t="s">
        <v>68</v>
      </c>
    </row>
    <row r="30" customHeight="1" spans="2:41">
      <c r="B30">
        <v>902</v>
      </c>
      <c r="C30" s="1">
        <v>2026</v>
      </c>
      <c r="D30" s="1">
        <v>2</v>
      </c>
      <c r="E30" s="1" t="s">
        <v>70</v>
      </c>
    </row>
    <row r="31" customHeight="1" spans="2:41">
      <c r="B31">
        <v>904</v>
      </c>
      <c r="C31" s="1">
        <v>2026</v>
      </c>
      <c r="D31" s="1">
        <v>2</v>
      </c>
      <c r="E31" s="1" t="s">
        <v>71</v>
      </c>
    </row>
    <row r="32" customHeight="1" spans="2:41">
      <c r="B32">
        <v>905</v>
      </c>
      <c r="C32" s="1">
        <v>2026</v>
      </c>
      <c r="D32" s="1">
        <v>2</v>
      </c>
      <c r="E32" s="1" t="s">
        <v>72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8" activePane="bottomLeft" state="frozen"/>
      <selection/>
      <selection pane="bottomLeft" activeCell="H15" sqref="H15"/>
    </sheetView>
  </sheetViews>
  <sheetFormatPr defaultColWidth="9" defaultRowHeight="20" customHeight="1"/>
  <cols>
    <col min="1" max="1" width="4.625" customWidth="1"/>
    <col min="2" max="2" width="4.625" hidden="1" customWidth="1"/>
    <col min="3" max="5" width="12.625" style="77" customWidth="1"/>
    <col min="6" max="7" width="12.625" style="63" customWidth="1"/>
    <col min="8" max="8" width="20" style="63" customWidth="1"/>
    <col min="9" max="10" width="12.625" style="77" customWidth="1"/>
    <col min="11" max="11" width="12.625" style="63" customWidth="1"/>
    <col min="12" max="17" width="12.625" style="77" customWidth="1"/>
    <col min="18" max="18" width="22.75" style="63" customWidth="1"/>
    <col min="19" max="26" width="12.625" style="77" customWidth="1"/>
    <col min="27" max="27" width="21.625" style="77" customWidth="1"/>
    <col min="28" max="28" width="22" style="77" customWidth="1"/>
    <col min="29" max="29" width="12.625" style="77" customWidth="1"/>
    <col min="30" max="30" width="22.25" style="77"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73</v>
      </c>
      <c r="D2"/>
      <c r="E2"/>
      <c r="F2" s="48"/>
      <c r="G2" s="48"/>
      <c r="H2" s="48"/>
      <c r="I2"/>
      <c r="J2"/>
      <c r="K2" s="48"/>
      <c r="L2"/>
      <c r="M2"/>
      <c r="N2"/>
      <c r="O2"/>
      <c r="P2"/>
      <c r="Q2"/>
      <c r="R2" s="48"/>
      <c r="S2"/>
      <c r="T2"/>
      <c r="U2"/>
      <c r="V2"/>
      <c r="W2"/>
      <c r="X2"/>
      <c r="Y2"/>
      <c r="Z2" s="71"/>
      <c r="AA2"/>
      <c r="AB2"/>
      <c r="AC2"/>
      <c r="AD2"/>
    </row>
    <row r="3" ht="30" customHeight="1" spans="2:30">
      <c r="C3"/>
      <c r="D3"/>
      <c r="E3"/>
      <c r="F3" s="48"/>
      <c r="G3" s="48"/>
      <c r="H3" s="48"/>
      <c r="I3"/>
      <c r="J3"/>
      <c r="K3" s="48"/>
      <c r="L3"/>
      <c r="M3"/>
      <c r="N3"/>
      <c r="O3"/>
      <c r="P3"/>
      <c r="Q3"/>
      <c r="R3" s="48"/>
      <c r="S3"/>
      <c r="T3"/>
      <c r="U3"/>
      <c r="V3"/>
      <c r="W3"/>
      <c r="X3"/>
      <c r="Y3"/>
      <c r="Z3" s="71"/>
      <c r="AA3"/>
      <c r="AB3"/>
      <c r="AC3"/>
      <c r="AD3"/>
    </row>
    <row r="4" ht="30" customHeight="1" spans="2:30">
      <c r="C4" s="78" t="s">
        <v>36</v>
      </c>
      <c r="D4" s="78" t="s">
        <v>74</v>
      </c>
      <c r="E4" s="78" t="s">
        <v>75</v>
      </c>
      <c r="F4" s="64" t="s">
        <v>76</v>
      </c>
      <c r="G4" s="64" t="s">
        <v>77</v>
      </c>
      <c r="H4" s="64" t="s">
        <v>78</v>
      </c>
      <c r="I4" s="78" t="s">
        <v>79</v>
      </c>
      <c r="J4" s="78" t="s">
        <v>80</v>
      </c>
      <c r="K4" s="64" t="s">
        <v>81</v>
      </c>
      <c r="L4" s="78" t="s">
        <v>82</v>
      </c>
      <c r="M4" s="79" t="s">
        <v>83</v>
      </c>
      <c r="N4" s="78" t="s">
        <v>84</v>
      </c>
      <c r="O4" s="78" t="s">
        <v>85</v>
      </c>
      <c r="P4" s="78" t="s">
        <v>86</v>
      </c>
      <c r="Q4" s="78" t="s">
        <v>87</v>
      </c>
      <c r="R4" s="64" t="s">
        <v>88</v>
      </c>
      <c r="S4" s="79" t="s">
        <v>89</v>
      </c>
      <c r="T4" s="78" t="s">
        <v>90</v>
      </c>
      <c r="U4" s="78" t="s">
        <v>91</v>
      </c>
      <c r="V4" s="78" t="s">
        <v>92</v>
      </c>
      <c r="W4" s="78" t="s">
        <v>93</v>
      </c>
      <c r="X4" s="78" t="s">
        <v>94</v>
      </c>
      <c r="Y4" s="78" t="s">
        <v>95</v>
      </c>
      <c r="Z4" s="79" t="s">
        <v>96</v>
      </c>
      <c r="AA4" s="78" t="s">
        <v>97</v>
      </c>
      <c r="AB4" s="78" t="s">
        <v>98</v>
      </c>
      <c r="AC4" s="78" t="s">
        <v>99</v>
      </c>
      <c r="AD4" s="78" t="s">
        <v>100</v>
      </c>
    </row>
    <row r="5" customHeight="1" spans="2:30">
      <c r="B5">
        <v>76</v>
      </c>
      <c r="C5" s="77" t="s">
        <v>63</v>
      </c>
      <c r="D5" s="77" t="s">
        <v>101</v>
      </c>
      <c r="E5" s="77" t="s">
        <v>102</v>
      </c>
      <c r="F5" s="63" t="s">
        <v>103</v>
      </c>
      <c r="G5" s="63" t="s">
        <v>103</v>
      </c>
      <c r="H5" s="63" t="s">
        <v>104</v>
      </c>
      <c r="I5" s="77" t="s">
        <v>105</v>
      </c>
      <c r="J5" s="77" t="s">
        <v>106</v>
      </c>
      <c r="K5" s="63" t="s">
        <v>107</v>
      </c>
      <c r="L5" s="77" t="s">
        <v>108</v>
      </c>
      <c r="M5" s="67">
        <v>45583</v>
      </c>
      <c r="N5" s="77" t="s">
        <v>109</v>
      </c>
      <c r="O5" s="77" t="s">
        <v>110</v>
      </c>
      <c r="P5" s="77">
        <v>9000</v>
      </c>
      <c r="Q5" s="77">
        <v>2000</v>
      </c>
      <c r="R5" s="63" t="s">
        <v>111</v>
      </c>
      <c r="S5" s="67">
        <v>43922</v>
      </c>
      <c r="T5" s="77">
        <v>3</v>
      </c>
      <c r="Z5" s="67"/>
      <c r="AD5" s="77" t="s">
        <v>112</v>
      </c>
    </row>
    <row r="6" customHeight="1" spans="2:30">
      <c r="B6">
        <v>94</v>
      </c>
      <c r="C6" s="77" t="s">
        <v>113</v>
      </c>
      <c r="D6" s="77" t="s">
        <v>101</v>
      </c>
      <c r="E6" s="77" t="s">
        <v>114</v>
      </c>
      <c r="F6" s="63" t="s">
        <v>115</v>
      </c>
      <c r="G6" s="63" t="s">
        <v>115</v>
      </c>
      <c r="H6" s="63" t="s">
        <v>116</v>
      </c>
      <c r="I6" s="77" t="s">
        <v>105</v>
      </c>
      <c r="J6" s="77" t="s">
        <v>106</v>
      </c>
      <c r="K6" s="63" t="s">
        <v>117</v>
      </c>
      <c r="L6" s="77" t="s">
        <v>108</v>
      </c>
      <c r="M6" s="67">
        <v>36047</v>
      </c>
      <c r="N6" s="77" t="s">
        <v>109</v>
      </c>
      <c r="O6" s="77" t="s">
        <v>110</v>
      </c>
      <c r="P6" s="77">
        <v>6000</v>
      </c>
      <c r="Q6" s="77">
        <v>2000</v>
      </c>
      <c r="R6" s="63" t="s">
        <v>118</v>
      </c>
      <c r="S6" s="67">
        <v>43908</v>
      </c>
      <c r="T6" s="77">
        <v>3</v>
      </c>
      <c r="Z6" s="67"/>
      <c r="AD6" s="77" t="s">
        <v>119</v>
      </c>
    </row>
    <row r="7" customHeight="1" spans="2:30">
      <c r="B7">
        <v>174</v>
      </c>
      <c r="C7" s="77" t="s">
        <v>42</v>
      </c>
      <c r="D7" s="77" t="s">
        <v>120</v>
      </c>
      <c r="E7" s="77" t="s">
        <v>102</v>
      </c>
      <c r="F7" s="63" t="s">
        <v>121</v>
      </c>
      <c r="G7" s="63" t="s">
        <v>121</v>
      </c>
      <c r="H7" s="63" t="s">
        <v>122</v>
      </c>
      <c r="I7" s="77" t="s">
        <v>105</v>
      </c>
      <c r="J7" s="77" t="s">
        <v>123</v>
      </c>
      <c r="K7" s="63" t="s">
        <v>124</v>
      </c>
      <c r="L7" s="77" t="s">
        <v>125</v>
      </c>
      <c r="M7" s="67">
        <v>38204</v>
      </c>
      <c r="N7" s="77" t="s">
        <v>109</v>
      </c>
      <c r="O7" s="77" t="s">
        <v>110</v>
      </c>
      <c r="P7" s="77">
        <v>3000</v>
      </c>
      <c r="Q7" s="77">
        <v>200</v>
      </c>
      <c r="R7" s="63" t="s">
        <v>126</v>
      </c>
      <c r="S7" s="67">
        <v>45017</v>
      </c>
      <c r="T7" s="77">
        <v>1</v>
      </c>
      <c r="Z7" s="67"/>
      <c r="AD7" s="77" t="s">
        <v>127</v>
      </c>
    </row>
    <row r="8" customHeight="1" spans="2:30">
      <c r="B8">
        <v>175</v>
      </c>
      <c r="C8" s="77" t="s">
        <v>128</v>
      </c>
      <c r="D8" s="77" t="s">
        <v>101</v>
      </c>
      <c r="E8" s="77" t="s">
        <v>102</v>
      </c>
      <c r="F8" s="63" t="s">
        <v>129</v>
      </c>
      <c r="G8" s="63" t="s">
        <v>129</v>
      </c>
      <c r="H8" s="63" t="s">
        <v>130</v>
      </c>
      <c r="I8" s="77" t="s">
        <v>105</v>
      </c>
      <c r="J8" s="77" t="s">
        <v>123</v>
      </c>
      <c r="K8" s="63" t="s">
        <v>131</v>
      </c>
      <c r="L8" s="77" t="s">
        <v>108</v>
      </c>
      <c r="M8" s="67">
        <v>32998</v>
      </c>
      <c r="N8" s="77" t="s">
        <v>132</v>
      </c>
      <c r="O8" s="77" t="s">
        <v>110</v>
      </c>
      <c r="P8" s="77">
        <v>5000</v>
      </c>
      <c r="Q8" s="77">
        <v>450</v>
      </c>
      <c r="R8" s="63" t="s">
        <v>126</v>
      </c>
      <c r="S8" s="67">
        <v>43020</v>
      </c>
      <c r="T8" s="77">
        <v>6</v>
      </c>
      <c r="Z8" s="67"/>
      <c r="AD8" s="67" t="s">
        <v>133</v>
      </c>
    </row>
    <row r="9" customHeight="1" spans="2:30">
      <c r="B9">
        <v>176</v>
      </c>
      <c r="C9" s="77" t="s">
        <v>134</v>
      </c>
      <c r="D9" s="77" t="s">
        <v>120</v>
      </c>
      <c r="E9" s="77" t="s">
        <v>114</v>
      </c>
      <c r="F9" s="63" t="s">
        <v>135</v>
      </c>
      <c r="G9" s="63" t="s">
        <v>135</v>
      </c>
      <c r="H9" s="63" t="s">
        <v>136</v>
      </c>
      <c r="I9" s="77" t="s">
        <v>137</v>
      </c>
      <c r="J9" s="77" t="s">
        <v>123</v>
      </c>
      <c r="K9" s="63" t="s">
        <v>138</v>
      </c>
      <c r="L9" s="77" t="s">
        <v>125</v>
      </c>
      <c r="M9" s="67">
        <v>36915</v>
      </c>
      <c r="N9" s="77" t="s">
        <v>109</v>
      </c>
      <c r="O9" s="77" t="s">
        <v>110</v>
      </c>
      <c r="P9" s="77">
        <v>3000</v>
      </c>
      <c r="Q9" s="77">
        <v>200</v>
      </c>
      <c r="R9" s="63" t="s">
        <v>139</v>
      </c>
      <c r="S9" s="67">
        <v>43922</v>
      </c>
      <c r="T9" s="77">
        <v>3</v>
      </c>
      <c r="Z9" s="67"/>
      <c r="AD9" s="67">
        <v>43922</v>
      </c>
    </row>
    <row r="10" customHeight="1" spans="2:30">
      <c r="B10">
        <v>177</v>
      </c>
      <c r="C10" s="77" t="s">
        <v>48</v>
      </c>
      <c r="D10" s="77" t="s">
        <v>120</v>
      </c>
      <c r="E10" s="77" t="s">
        <v>102</v>
      </c>
      <c r="F10" s="63" t="s">
        <v>140</v>
      </c>
      <c r="G10" s="63" t="s">
        <v>140</v>
      </c>
      <c r="H10" s="63" t="s">
        <v>141</v>
      </c>
      <c r="I10" s="77" t="s">
        <v>105</v>
      </c>
      <c r="J10" s="77" t="s">
        <v>106</v>
      </c>
      <c r="K10" s="63" t="s">
        <v>142</v>
      </c>
      <c r="L10" s="77" t="s">
        <v>125</v>
      </c>
      <c r="M10" s="67">
        <v>36894</v>
      </c>
      <c r="N10" s="77" t="s">
        <v>109</v>
      </c>
      <c r="O10" s="77" t="s">
        <v>110</v>
      </c>
      <c r="P10" s="77">
        <v>3000</v>
      </c>
      <c r="Q10" s="77">
        <v>200</v>
      </c>
      <c r="R10" s="63" t="s">
        <v>143</v>
      </c>
      <c r="S10" s="67">
        <v>43922</v>
      </c>
      <c r="T10" s="77">
        <v>3</v>
      </c>
      <c r="Z10" s="67"/>
      <c r="AD10" s="67" t="s">
        <v>144</v>
      </c>
    </row>
    <row r="11" customHeight="1" spans="2:30">
      <c r="B11">
        <v>178</v>
      </c>
      <c r="C11" s="77" t="s">
        <v>49</v>
      </c>
      <c r="D11" s="77" t="s">
        <v>145</v>
      </c>
      <c r="E11" s="77" t="s">
        <v>102</v>
      </c>
      <c r="F11" s="63" t="s">
        <v>146</v>
      </c>
      <c r="G11" s="63" t="s">
        <v>146</v>
      </c>
      <c r="H11" s="63" t="s">
        <v>147</v>
      </c>
      <c r="I11" s="77" t="s">
        <v>105</v>
      </c>
      <c r="J11" s="77" t="s">
        <v>123</v>
      </c>
      <c r="K11" s="63" t="s">
        <v>148</v>
      </c>
      <c r="L11" s="77" t="s">
        <v>125</v>
      </c>
      <c r="M11" s="67">
        <v>34235</v>
      </c>
      <c r="N11" s="77" t="s">
        <v>109</v>
      </c>
      <c r="O11" s="77" t="s">
        <v>110</v>
      </c>
      <c r="P11" s="77">
        <v>5000</v>
      </c>
      <c r="Q11" s="77">
        <v>200</v>
      </c>
      <c r="R11" s="63" t="s">
        <v>149</v>
      </c>
      <c r="S11" s="67">
        <v>45006</v>
      </c>
      <c r="T11" s="77">
        <v>1</v>
      </c>
      <c r="U11" s="77">
        <v>1</v>
      </c>
      <c r="V11" s="77">
        <v>2</v>
      </c>
      <c r="W11" s="77">
        <v>3</v>
      </c>
      <c r="X11" s="77">
        <v>4</v>
      </c>
      <c r="Y11" s="77">
        <v>5</v>
      </c>
      <c r="Z11" s="67">
        <v>5</v>
      </c>
      <c r="AA11" s="77">
        <v>7</v>
      </c>
      <c r="AB11" s="77">
        <v>8</v>
      </c>
      <c r="AC11" s="77">
        <v>9</v>
      </c>
      <c r="AD11" s="77" t="s">
        <v>150</v>
      </c>
    </row>
    <row r="12" customHeight="1" spans="2:30">
      <c r="B12">
        <v>195</v>
      </c>
      <c r="C12" s="77" t="s">
        <v>70</v>
      </c>
      <c r="D12" s="77" t="s">
        <v>101</v>
      </c>
      <c r="E12" s="77" t="s">
        <v>72</v>
      </c>
      <c r="H12" s="63" t="s">
        <v>151</v>
      </c>
      <c r="I12" s="77" t="s">
        <v>105</v>
      </c>
      <c r="J12" s="77" t="s">
        <v>152</v>
      </c>
      <c r="K12" s="63" t="s">
        <v>153</v>
      </c>
      <c r="L12" s="77" t="s">
        <v>108</v>
      </c>
      <c r="M12" s="67">
        <v>46058</v>
      </c>
      <c r="S12" s="67">
        <v>46058</v>
      </c>
      <c r="AD12" s="67"/>
    </row>
    <row r="13" customHeight="1" spans="2:30">
      <c r="B13">
        <v>198</v>
      </c>
      <c r="C13" s="77" t="s">
        <v>72</v>
      </c>
      <c r="D13" s="77" t="s">
        <v>145</v>
      </c>
      <c r="E13" s="77" t="s">
        <v>59</v>
      </c>
      <c r="F13" s="63" t="s">
        <v>154</v>
      </c>
      <c r="G13" s="63" t="s">
        <v>155</v>
      </c>
      <c r="H13" s="63" t="s">
        <v>156</v>
      </c>
      <c r="I13" s="77" t="s">
        <v>105</v>
      </c>
      <c r="J13" s="77" t="s">
        <v>152</v>
      </c>
      <c r="K13" s="63" t="s">
        <v>157</v>
      </c>
      <c r="L13" s="77" t="s">
        <v>108</v>
      </c>
      <c r="M13" s="67">
        <v>46062</v>
      </c>
      <c r="N13" s="77" t="s">
        <v>109</v>
      </c>
      <c r="O13" s="77" t="s">
        <v>158</v>
      </c>
      <c r="P13" s="77">
        <v>10000</v>
      </c>
      <c r="Q13" s="77">
        <v>1000</v>
      </c>
      <c r="R13" s="63" t="s">
        <v>159</v>
      </c>
      <c r="S13" s="67">
        <v>46029</v>
      </c>
      <c r="T13" s="77">
        <v>1</v>
      </c>
    </row>
    <row r="14" customHeight="1" spans="2:30">
      <c r="B14">
        <v>203</v>
      </c>
      <c r="M14" s="67">
        <v>46078</v>
      </c>
      <c r="S14" s="67">
        <v>46080</v>
      </c>
      <c r="AD14" s="67"/>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J26" sqref="J26"/>
    </sheetView>
  </sheetViews>
  <sheetFormatPr defaultColWidth="9" defaultRowHeight="14.25"/>
  <cols>
    <col min="25" max="25" width="12.625" style="48"/>
    <col min="26" max="26" width="11.5" style="74"/>
    <col min="29" max="29" width="12.625" style="48"/>
    <col min="81" max="81" width="11.5" style="27"/>
    <col min="82" max="82" width="9" style="27"/>
    <col min="83" max="83" width="12.375" style="74" customWidth="1"/>
    <col min="84" max="84" width="9" style="74"/>
  </cols>
  <sheetData>
    <row r="1" spans="1:151">
      <c r="A1" t="s">
        <v>160</v>
      </c>
      <c r="B1" t="s">
        <v>36</v>
      </c>
      <c r="C1" t="s">
        <v>76</v>
      </c>
      <c r="D1" t="s">
        <v>77</v>
      </c>
      <c r="E1" t="s">
        <v>161</v>
      </c>
      <c r="J1" t="s">
        <v>162</v>
      </c>
      <c r="K1" t="s">
        <v>163</v>
      </c>
      <c r="L1" t="s">
        <v>164</v>
      </c>
      <c r="M1" t="s">
        <v>165</v>
      </c>
      <c r="N1" t="s">
        <v>166</v>
      </c>
      <c r="O1" t="s">
        <v>167</v>
      </c>
      <c r="P1" t="s">
        <v>168</v>
      </c>
      <c r="V1" s="27" t="s">
        <v>36</v>
      </c>
      <c r="W1" s="27" t="s">
        <v>74</v>
      </c>
      <c r="X1" s="27" t="s">
        <v>169</v>
      </c>
      <c r="Y1" s="48" t="s">
        <v>78</v>
      </c>
      <c r="Z1" s="74" t="s">
        <v>89</v>
      </c>
      <c r="AA1" s="27" t="s">
        <v>86</v>
      </c>
      <c r="AB1" s="27" t="s">
        <v>87</v>
      </c>
      <c r="AC1" s="48" t="s">
        <v>170</v>
      </c>
      <c r="AI1" t="s">
        <v>74</v>
      </c>
      <c r="AJ1" t="s">
        <v>36</v>
      </c>
      <c r="AK1" t="s">
        <v>169</v>
      </c>
      <c r="AL1" t="s">
        <v>86</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27" t="s">
        <v>209</v>
      </c>
      <c r="CD1" s="27" t="s">
        <v>210</v>
      </c>
      <c r="CE1" s="74" t="s">
        <v>211</v>
      </c>
      <c r="CF1"/>
      <c r="CK1" t="s">
        <v>36</v>
      </c>
      <c r="CL1" t="s">
        <v>74</v>
      </c>
      <c r="CM1" t="s">
        <v>169</v>
      </c>
      <c r="CN1" t="s">
        <v>188</v>
      </c>
      <c r="CO1" t="s">
        <v>198</v>
      </c>
      <c r="CP1" t="s">
        <v>212</v>
      </c>
      <c r="CQ1" t="s">
        <v>189</v>
      </c>
      <c r="CR1" t="s">
        <v>199</v>
      </c>
      <c r="CS1" t="s">
        <v>213</v>
      </c>
      <c r="CT1" t="s">
        <v>191</v>
      </c>
      <c r="CU1" t="s">
        <v>192</v>
      </c>
      <c r="CV1" t="s">
        <v>214</v>
      </c>
      <c r="CW1" t="s">
        <v>215</v>
      </c>
      <c r="CX1" t="s">
        <v>211</v>
      </c>
      <c r="ES1" t="s">
        <v>216</v>
      </c>
      <c r="ET1" t="s">
        <v>217</v>
      </c>
      <c r="EU1" t="s">
        <v>218</v>
      </c>
    </row>
    <row r="2" spans="1:151">
      <c r="A2">
        <v>94</v>
      </c>
      <c r="B2" t="s">
        <v>113</v>
      </c>
      <c r="C2" t="s">
        <v>115</v>
      </c>
      <c r="D2" t="s">
        <v>115</v>
      </c>
      <c r="E2" t="s">
        <v>32</v>
      </c>
      <c r="J2">
        <v>94</v>
      </c>
      <c r="K2">
        <v>1</v>
      </c>
      <c r="L2">
        <v>1</v>
      </c>
      <c r="M2">
        <v>1</v>
      </c>
      <c r="N2">
        <v>1</v>
      </c>
      <c r="O2">
        <v>1</v>
      </c>
      <c r="P2" t="s">
        <v>1</v>
      </c>
      <c r="V2" t="s">
        <v>63</v>
      </c>
      <c r="W2" t="s">
        <v>101</v>
      </c>
      <c r="X2" t="s">
        <v>102</v>
      </c>
      <c r="Y2" s="48" t="s">
        <v>104</v>
      </c>
      <c r="Z2" s="74">
        <v>43922</v>
      </c>
      <c r="AA2">
        <v>9000</v>
      </c>
      <c r="AB2">
        <v>2000</v>
      </c>
      <c r="AC2" s="48" t="s">
        <v>111</v>
      </c>
      <c r="CK2" t="s">
        <v>42</v>
      </c>
      <c r="CL2" t="s">
        <v>120</v>
      </c>
      <c r="CM2" t="s">
        <v>102</v>
      </c>
      <c r="CN2">
        <v>60</v>
      </c>
      <c r="CO2">
        <v>60</v>
      </c>
      <c r="CP2">
        <v>120</v>
      </c>
      <c r="CQ2">
        <v>60</v>
      </c>
      <c r="CR2">
        <v>0</v>
      </c>
      <c r="CS2">
        <v>60</v>
      </c>
      <c r="CT2">
        <v>60</v>
      </c>
      <c r="CU2">
        <v>60</v>
      </c>
      <c r="CV2">
        <v>240</v>
      </c>
      <c r="CW2">
        <v>60</v>
      </c>
      <c r="CX2" s="71">
        <v>45005</v>
      </c>
      <c r="ES2" t="s">
        <v>219</v>
      </c>
      <c r="ET2" t="s">
        <v>219</v>
      </c>
      <c r="EU2" t="s">
        <v>220</v>
      </c>
    </row>
    <row r="3" spans="1:151">
      <c r="J3">
        <v>94</v>
      </c>
      <c r="K3">
        <v>1</v>
      </c>
      <c r="L3">
        <v>1</v>
      </c>
      <c r="M3">
        <v>1</v>
      </c>
      <c r="N3">
        <v>1</v>
      </c>
      <c r="O3">
        <v>1</v>
      </c>
      <c r="P3" t="s">
        <v>221</v>
      </c>
      <c r="V3" t="s">
        <v>113</v>
      </c>
      <c r="W3" t="s">
        <v>101</v>
      </c>
      <c r="X3" t="s">
        <v>114</v>
      </c>
      <c r="Y3" s="48" t="s">
        <v>116</v>
      </c>
      <c r="Z3" s="74">
        <v>43908</v>
      </c>
      <c r="AA3">
        <v>6000</v>
      </c>
      <c r="AB3">
        <v>2000</v>
      </c>
      <c r="AC3" s="48" t="s">
        <v>118</v>
      </c>
      <c r="CK3" t="s">
        <v>47</v>
      </c>
      <c r="CL3" t="s">
        <v>120</v>
      </c>
      <c r="CM3" t="s">
        <v>222</v>
      </c>
      <c r="CN3">
        <v>100</v>
      </c>
      <c r="CO3">
        <v>100</v>
      </c>
      <c r="CP3">
        <v>200</v>
      </c>
      <c r="CQ3">
        <v>100</v>
      </c>
      <c r="CR3">
        <v>0</v>
      </c>
      <c r="CS3">
        <v>100</v>
      </c>
      <c r="CT3">
        <v>100</v>
      </c>
      <c r="CU3">
        <v>100</v>
      </c>
      <c r="CV3">
        <v>400</v>
      </c>
      <c r="CW3">
        <v>100</v>
      </c>
      <c r="CX3" s="71">
        <v>45046</v>
      </c>
      <c r="ES3" t="s">
        <v>223</v>
      </c>
      <c r="ET3" t="s">
        <v>223</v>
      </c>
      <c r="EU3" t="s">
        <v>224</v>
      </c>
    </row>
    <row r="4" spans="1:151">
      <c r="J4">
        <v>94</v>
      </c>
      <c r="K4">
        <v>1</v>
      </c>
      <c r="L4">
        <v>1</v>
      </c>
      <c r="M4">
        <v>1</v>
      </c>
      <c r="N4">
        <v>1</v>
      </c>
      <c r="O4">
        <v>1</v>
      </c>
      <c r="P4" t="s">
        <v>225</v>
      </c>
      <c r="V4" t="s">
        <v>45</v>
      </c>
      <c r="W4" t="s">
        <v>101</v>
      </c>
      <c r="X4" t="s">
        <v>226</v>
      </c>
      <c r="Y4" s="48" t="s">
        <v>227</v>
      </c>
      <c r="Z4" s="74">
        <v>44378</v>
      </c>
      <c r="AA4">
        <v>5000</v>
      </c>
      <c r="AB4">
        <v>2000</v>
      </c>
      <c r="AC4" s="48" t="s">
        <v>228</v>
      </c>
      <c r="CK4" t="s">
        <v>48</v>
      </c>
      <c r="CL4" t="s">
        <v>120</v>
      </c>
      <c r="CM4" t="s">
        <v>102</v>
      </c>
      <c r="CN4">
        <v>60</v>
      </c>
      <c r="CO4">
        <v>60</v>
      </c>
      <c r="CP4">
        <v>120</v>
      </c>
      <c r="CQ4">
        <v>60</v>
      </c>
      <c r="CR4">
        <v>1000</v>
      </c>
      <c r="CS4">
        <v>1060</v>
      </c>
      <c r="CT4">
        <v>60</v>
      </c>
      <c r="CU4">
        <v>60</v>
      </c>
      <c r="CV4">
        <v>240</v>
      </c>
      <c r="CW4">
        <v>1060</v>
      </c>
      <c r="CX4" s="71">
        <v>45032</v>
      </c>
    </row>
    <row r="5" spans="1:151">
      <c r="J5">
        <v>94</v>
      </c>
      <c r="K5">
        <v>1</v>
      </c>
      <c r="L5">
        <v>1</v>
      </c>
      <c r="M5">
        <v>1</v>
      </c>
      <c r="N5">
        <v>1</v>
      </c>
      <c r="O5">
        <v>1</v>
      </c>
      <c r="P5" t="s">
        <v>229</v>
      </c>
      <c r="V5" t="s">
        <v>42</v>
      </c>
      <c r="W5" t="s">
        <v>120</v>
      </c>
      <c r="X5" t="s">
        <v>102</v>
      </c>
      <c r="Y5" s="48" t="s">
        <v>122</v>
      </c>
      <c r="Z5" s="74">
        <v>45017</v>
      </c>
      <c r="AA5">
        <v>3000</v>
      </c>
      <c r="AB5">
        <v>200</v>
      </c>
      <c r="AC5" s="48" t="s">
        <v>126</v>
      </c>
      <c r="CK5" t="s">
        <v>134</v>
      </c>
      <c r="CL5" t="s">
        <v>120</v>
      </c>
      <c r="CM5" t="s">
        <v>114</v>
      </c>
      <c r="CN5">
        <v>60</v>
      </c>
      <c r="CO5">
        <v>60</v>
      </c>
      <c r="CP5">
        <v>120</v>
      </c>
      <c r="CQ5">
        <v>60</v>
      </c>
      <c r="CR5">
        <v>60</v>
      </c>
      <c r="CS5">
        <v>120</v>
      </c>
      <c r="CT5">
        <v>60</v>
      </c>
      <c r="CU5">
        <v>60</v>
      </c>
      <c r="CV5">
        <v>240</v>
      </c>
      <c r="CW5">
        <v>120</v>
      </c>
      <c r="CX5" s="71">
        <v>46057</v>
      </c>
    </row>
    <row r="6" spans="1:151">
      <c r="J6">
        <v>94</v>
      </c>
      <c r="K6">
        <v>1</v>
      </c>
      <c r="L6">
        <v>1</v>
      </c>
      <c r="M6">
        <v>1</v>
      </c>
      <c r="N6">
        <v>1</v>
      </c>
      <c r="O6">
        <v>1</v>
      </c>
      <c r="P6" t="s">
        <v>230</v>
      </c>
      <c r="V6" t="s">
        <v>128</v>
      </c>
      <c r="W6" t="s">
        <v>101</v>
      </c>
      <c r="X6" t="s">
        <v>102</v>
      </c>
      <c r="Y6" s="48" t="s">
        <v>130</v>
      </c>
      <c r="Z6" s="74">
        <v>43020</v>
      </c>
      <c r="AA6">
        <v>5000</v>
      </c>
      <c r="AB6">
        <v>450</v>
      </c>
      <c r="AC6" s="48" t="s">
        <v>126</v>
      </c>
      <c r="CK6" t="s">
        <v>134</v>
      </c>
      <c r="CL6" t="s">
        <v>120</v>
      </c>
      <c r="CM6" t="s">
        <v>114</v>
      </c>
      <c r="CN6">
        <v>60</v>
      </c>
      <c r="CO6">
        <v>60</v>
      </c>
      <c r="CP6">
        <v>120</v>
      </c>
      <c r="CQ6">
        <v>60</v>
      </c>
      <c r="CR6">
        <v>60</v>
      </c>
      <c r="CS6">
        <v>120</v>
      </c>
      <c r="CT6">
        <v>60</v>
      </c>
      <c r="CU6">
        <v>60</v>
      </c>
      <c r="CV6">
        <v>240</v>
      </c>
      <c r="CW6">
        <v>120</v>
      </c>
      <c r="CX6" s="71">
        <v>46057</v>
      </c>
    </row>
    <row r="7" spans="1:151">
      <c r="J7">
        <v>94</v>
      </c>
      <c r="K7">
        <v>1</v>
      </c>
      <c r="L7">
        <v>1</v>
      </c>
      <c r="M7">
        <v>1</v>
      </c>
      <c r="N7">
        <v>1</v>
      </c>
      <c r="O7">
        <v>1</v>
      </c>
      <c r="P7" t="s">
        <v>231</v>
      </c>
      <c r="V7" t="s">
        <v>134</v>
      </c>
      <c r="W7" t="s">
        <v>120</v>
      </c>
      <c r="X7" t="s">
        <v>114</v>
      </c>
      <c r="Y7" s="48" t="s">
        <v>136</v>
      </c>
      <c r="Z7" s="74">
        <v>43922</v>
      </c>
      <c r="AA7">
        <v>3000</v>
      </c>
      <c r="AB7">
        <v>200</v>
      </c>
      <c r="AC7" s="48" t="s">
        <v>139</v>
      </c>
      <c r="CX7" s="71"/>
    </row>
    <row r="8" spans="1:151">
      <c r="J8">
        <v>94</v>
      </c>
      <c r="K8">
        <v>1</v>
      </c>
      <c r="L8">
        <v>1</v>
      </c>
      <c r="M8">
        <v>1</v>
      </c>
      <c r="N8">
        <v>1</v>
      </c>
      <c r="O8">
        <v>1</v>
      </c>
      <c r="P8" t="s">
        <v>232</v>
      </c>
      <c r="V8" t="s">
        <v>48</v>
      </c>
      <c r="W8" t="s">
        <v>120</v>
      </c>
      <c r="X8" t="s">
        <v>102</v>
      </c>
      <c r="Y8" s="48" t="s">
        <v>141</v>
      </c>
      <c r="Z8" s="74">
        <v>43922</v>
      </c>
      <c r="AA8">
        <v>3000</v>
      </c>
      <c r="AB8">
        <v>200</v>
      </c>
      <c r="AC8" s="48" t="s">
        <v>143</v>
      </c>
      <c r="CX8" s="71"/>
    </row>
    <row r="9" spans="1:151">
      <c r="J9">
        <v>94</v>
      </c>
      <c r="K9">
        <v>1</v>
      </c>
      <c r="L9">
        <v>1</v>
      </c>
      <c r="M9">
        <v>1</v>
      </c>
      <c r="N9">
        <v>1</v>
      </c>
      <c r="O9">
        <v>1</v>
      </c>
      <c r="P9" t="s">
        <v>233</v>
      </c>
      <c r="V9" t="s">
        <v>49</v>
      </c>
      <c r="W9" t="s">
        <v>145</v>
      </c>
      <c r="X9" t="s">
        <v>102</v>
      </c>
      <c r="Y9" s="48" t="s">
        <v>147</v>
      </c>
      <c r="Z9" s="74">
        <v>45006</v>
      </c>
      <c r="AA9">
        <v>5000</v>
      </c>
      <c r="AB9">
        <v>200</v>
      </c>
      <c r="AC9" s="48" t="s">
        <v>149</v>
      </c>
    </row>
    <row r="10" spans="1:151">
      <c r="J10">
        <v>94</v>
      </c>
      <c r="K10">
        <v>1</v>
      </c>
      <c r="L10">
        <v>1</v>
      </c>
      <c r="M10">
        <v>1</v>
      </c>
      <c r="N10">
        <v>1</v>
      </c>
      <c r="O10">
        <v>1</v>
      </c>
      <c r="P10" t="s">
        <v>234</v>
      </c>
      <c r="V10" t="s">
        <v>50</v>
      </c>
      <c r="W10" t="s">
        <v>235</v>
      </c>
      <c r="X10" t="s">
        <v>102</v>
      </c>
      <c r="Y10" s="48" t="s">
        <v>236</v>
      </c>
      <c r="Z10" s="74">
        <v>45017</v>
      </c>
      <c r="AA10">
        <v>3000</v>
      </c>
      <c r="AB10">
        <v>300</v>
      </c>
      <c r="AC10" s="48" t="s">
        <v>237</v>
      </c>
    </row>
    <row r="11" spans="1:151">
      <c r="J11">
        <v>94</v>
      </c>
      <c r="K11">
        <v>1</v>
      </c>
      <c r="L11">
        <v>1</v>
      </c>
      <c r="M11">
        <v>1</v>
      </c>
      <c r="N11">
        <v>1</v>
      </c>
      <c r="O11">
        <v>1</v>
      </c>
      <c r="P11" t="s">
        <v>238</v>
      </c>
    </row>
    <row r="12" spans="1:151">
      <c r="J12">
        <v>94</v>
      </c>
      <c r="K12">
        <v>1</v>
      </c>
      <c r="L12">
        <v>1</v>
      </c>
      <c r="M12">
        <v>1</v>
      </c>
      <c r="N12">
        <v>1</v>
      </c>
      <c r="O12">
        <v>1</v>
      </c>
      <c r="P12" t="s">
        <v>239</v>
      </c>
    </row>
    <row r="13" spans="1:151">
      <c r="J13">
        <v>94</v>
      </c>
      <c r="K13">
        <v>1</v>
      </c>
      <c r="L13">
        <v>1</v>
      </c>
      <c r="M13">
        <v>1</v>
      </c>
      <c r="N13">
        <v>1</v>
      </c>
      <c r="O13">
        <v>1</v>
      </c>
      <c r="P13" t="s">
        <v>240</v>
      </c>
    </row>
    <row r="14" spans="1:151">
      <c r="J14">
        <v>94</v>
      </c>
      <c r="K14">
        <v>1</v>
      </c>
      <c r="L14">
        <v>1</v>
      </c>
      <c r="M14">
        <v>1</v>
      </c>
      <c r="N14">
        <v>1</v>
      </c>
      <c r="O14">
        <v>1</v>
      </c>
      <c r="P14" t="s">
        <v>241</v>
      </c>
    </row>
    <row r="15" spans="1:151">
      <c r="J15">
        <v>94</v>
      </c>
      <c r="K15">
        <v>1</v>
      </c>
      <c r="L15">
        <v>1</v>
      </c>
      <c r="M15">
        <v>1</v>
      </c>
      <c r="N15">
        <v>1</v>
      </c>
      <c r="O15">
        <v>1</v>
      </c>
      <c r="P15" t="s">
        <v>242</v>
      </c>
    </row>
    <row r="16" spans="1:151">
      <c r="J16">
        <v>94</v>
      </c>
      <c r="K16">
        <v>1</v>
      </c>
      <c r="L16">
        <v>1</v>
      </c>
      <c r="M16">
        <v>1</v>
      </c>
      <c r="N16">
        <v>1</v>
      </c>
      <c r="O16">
        <v>1</v>
      </c>
      <c r="P16" t="s">
        <v>243</v>
      </c>
    </row>
    <row r="17" spans="10:16">
      <c r="J17">
        <v>94</v>
      </c>
      <c r="K17">
        <v>1</v>
      </c>
      <c r="L17">
        <v>1</v>
      </c>
      <c r="M17">
        <v>1</v>
      </c>
      <c r="N17">
        <v>1</v>
      </c>
      <c r="O17">
        <v>1</v>
      </c>
      <c r="P17" t="s">
        <v>244</v>
      </c>
    </row>
    <row r="18" spans="10:16">
      <c r="J18">
        <v>94</v>
      </c>
      <c r="K18">
        <v>1</v>
      </c>
      <c r="L18">
        <v>1</v>
      </c>
      <c r="M18">
        <v>1</v>
      </c>
      <c r="N18">
        <v>1</v>
      </c>
      <c r="O18">
        <v>1</v>
      </c>
      <c r="P18" t="s">
        <v>245</v>
      </c>
    </row>
    <row r="19" spans="10:16">
      <c r="J19">
        <v>94</v>
      </c>
      <c r="K19">
        <v>1</v>
      </c>
      <c r="L19">
        <v>1</v>
      </c>
      <c r="M19">
        <v>1</v>
      </c>
      <c r="N19">
        <v>1</v>
      </c>
      <c r="O19">
        <v>1</v>
      </c>
      <c r="P19" t="s">
        <v>246</v>
      </c>
    </row>
    <row r="20" spans="10:16">
      <c r="J20">
        <v>94</v>
      </c>
      <c r="K20">
        <v>1</v>
      </c>
      <c r="L20">
        <v>1</v>
      </c>
      <c r="M20">
        <v>1</v>
      </c>
      <c r="N20">
        <v>1</v>
      </c>
      <c r="O20">
        <v>1</v>
      </c>
      <c r="P20" t="s">
        <v>247</v>
      </c>
    </row>
    <row r="21" spans="10:16">
      <c r="J21">
        <v>94</v>
      </c>
      <c r="K21">
        <v>1</v>
      </c>
      <c r="L21">
        <v>1</v>
      </c>
      <c r="M21">
        <v>1</v>
      </c>
      <c r="N21">
        <v>1</v>
      </c>
      <c r="O21">
        <v>1</v>
      </c>
      <c r="P21" t="s">
        <v>248</v>
      </c>
    </row>
    <row r="22" spans="10:16">
      <c r="J22">
        <v>94</v>
      </c>
      <c r="K22">
        <v>1</v>
      </c>
      <c r="L22">
        <v>1</v>
      </c>
      <c r="M22">
        <v>1</v>
      </c>
      <c r="N22">
        <v>1</v>
      </c>
      <c r="O22">
        <v>1</v>
      </c>
      <c r="P22" t="s">
        <v>249</v>
      </c>
    </row>
    <row r="23" spans="10:16">
      <c r="J23">
        <v>94</v>
      </c>
      <c r="K23">
        <v>1</v>
      </c>
      <c r="L23">
        <v>1</v>
      </c>
      <c r="M23">
        <v>1</v>
      </c>
      <c r="N23">
        <v>1</v>
      </c>
      <c r="O23">
        <v>1</v>
      </c>
      <c r="P23" t="s">
        <v>250</v>
      </c>
    </row>
    <row r="24" spans="10:16">
      <c r="J24">
        <v>94</v>
      </c>
      <c r="K24">
        <v>1</v>
      </c>
      <c r="L24">
        <v>1</v>
      </c>
      <c r="M24">
        <v>1</v>
      </c>
      <c r="N24">
        <v>1</v>
      </c>
      <c r="O24">
        <v>1</v>
      </c>
      <c r="P24" t="s">
        <v>251</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7"/>
  <sheetViews>
    <sheetView showGridLines="0" workbookViewId="0">
      <pane ySplit="4" topLeftCell="A5" activePane="bottomLeft" state="frozen"/>
      <selection/>
      <selection pane="bottomLeft" activeCell="C13" sqref="C13"/>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3" customWidth="1"/>
    <col min="8" max="52" width="12.625" style="1" customWidth="1"/>
    <col min="53" max="53" width="12.625" style="63" customWidth="1"/>
    <col min="54" max="54" width="23.375" style="63" customWidth="1"/>
    <col min="55" max="56" width="12.625" style="73" customWidth="1"/>
    <col min="57" max="57" width="12.625" style="63" customWidth="1"/>
  </cols>
  <sheetData>
    <row r="1" ht="54.75" customHeight="1" spans="2:57">
      <c r="C1" s="27"/>
      <c r="D1" s="27"/>
      <c r="E1" s="27"/>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4"/>
      <c r="BD1" s="74"/>
      <c r="BE1" s="48"/>
    </row>
    <row r="2" ht="40" customHeight="1" spans="2:57">
      <c r="C2" s="4" t="s">
        <v>252</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4"/>
      <c r="BD2" s="74"/>
      <c r="BE2" s="48"/>
    </row>
    <row r="3" ht="30" customHeight="1" spans="2:57">
      <c r="C3" s="27"/>
      <c r="D3" s="27"/>
      <c r="E3" s="27"/>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4"/>
      <c r="BD3" s="74"/>
      <c r="BE3" s="48"/>
    </row>
    <row r="4" ht="30" customHeight="1" spans="2:57">
      <c r="C4" s="7" t="s">
        <v>36</v>
      </c>
      <c r="D4" s="7" t="s">
        <v>74</v>
      </c>
      <c r="E4" s="7" t="s">
        <v>169</v>
      </c>
      <c r="F4" s="64" t="s">
        <v>78</v>
      </c>
      <c r="G4" s="75" t="s">
        <v>89</v>
      </c>
      <c r="H4" s="7" t="s">
        <v>86</v>
      </c>
      <c r="I4" s="7" t="s">
        <v>87</v>
      </c>
      <c r="J4" s="7" t="s">
        <v>172</v>
      </c>
      <c r="K4" s="7" t="s">
        <v>253</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64" t="s">
        <v>257</v>
      </c>
      <c r="BB4" s="64" t="s">
        <v>170</v>
      </c>
      <c r="BC4" s="75" t="s">
        <v>100</v>
      </c>
      <c r="BD4" s="75" t="s">
        <v>211</v>
      </c>
      <c r="BE4" s="64" t="s">
        <v>258</v>
      </c>
    </row>
    <row r="5" customHeight="1" spans="2:57">
      <c r="B5">
        <v>234</v>
      </c>
      <c r="C5" s="1" t="s">
        <v>63</v>
      </c>
      <c r="D5" s="1" t="s">
        <v>101</v>
      </c>
      <c r="E5" s="1" t="s">
        <v>102</v>
      </c>
      <c r="F5" s="63" t="s">
        <v>104</v>
      </c>
      <c r="G5" s="73">
        <v>44684</v>
      </c>
      <c r="H5" s="1">
        <v>9000</v>
      </c>
      <c r="I5" s="1">
        <v>2000</v>
      </c>
      <c r="J5" s="1">
        <v>5000</v>
      </c>
      <c r="K5" s="1">
        <v>13130</v>
      </c>
      <c r="L5" s="1">
        <v>0.02</v>
      </c>
      <c r="M5" s="1">
        <v>300</v>
      </c>
      <c r="N5" s="1">
        <v>25</v>
      </c>
      <c r="O5" s="1">
        <v>30</v>
      </c>
      <c r="P5" s="1">
        <v>1500</v>
      </c>
      <c r="Q5" s="1">
        <v>8000</v>
      </c>
      <c r="R5" s="1">
        <v>0</v>
      </c>
      <c r="S5" s="1">
        <v>0</v>
      </c>
      <c r="T5" s="1">
        <v>0</v>
      </c>
      <c r="U5" s="1">
        <v>0</v>
      </c>
      <c r="V5" s="1">
        <v>10010</v>
      </c>
      <c r="W5" s="1">
        <v>0.3</v>
      </c>
      <c r="X5" s="1">
        <v>0.02</v>
      </c>
      <c r="Y5" s="1">
        <v>0.5</v>
      </c>
      <c r="Z5" s="1">
        <v>0.02</v>
      </c>
      <c r="AA5" s="1">
        <v>180</v>
      </c>
      <c r="AB5" s="1">
        <v>180</v>
      </c>
      <c r="AC5" s="1">
        <v>675</v>
      </c>
      <c r="AD5" s="1">
        <v>180</v>
      </c>
      <c r="AE5" s="1">
        <v>180</v>
      </c>
      <c r="AF5" s="1">
        <v>180</v>
      </c>
      <c r="AG5" s="1">
        <v>180</v>
      </c>
      <c r="AH5" s="1">
        <v>0.02</v>
      </c>
      <c r="AI5" s="1">
        <v>0.03</v>
      </c>
      <c r="AJ5" s="1">
        <v>1755</v>
      </c>
      <c r="AK5" s="1">
        <v>180</v>
      </c>
      <c r="AL5" s="1">
        <v>180</v>
      </c>
      <c r="AM5" s="1">
        <v>180</v>
      </c>
      <c r="AN5" s="1">
        <v>90</v>
      </c>
      <c r="AO5" s="1">
        <v>180</v>
      </c>
      <c r="AP5" s="1">
        <v>180</v>
      </c>
      <c r="AQ5" s="1">
        <v>0.02</v>
      </c>
      <c r="AR5" s="1">
        <v>0.03</v>
      </c>
      <c r="AS5" s="1">
        <v>11990</v>
      </c>
      <c r="AT5" s="1">
        <v>11000</v>
      </c>
      <c r="AU5" s="1">
        <v>11000</v>
      </c>
      <c r="AV5" s="1">
        <v>0</v>
      </c>
      <c r="AW5" s="1">
        <v>10</v>
      </c>
      <c r="AX5" s="1">
        <v>0</v>
      </c>
      <c r="AY5" s="1">
        <v>0.02</v>
      </c>
      <c r="AZ5" s="1">
        <v>11630</v>
      </c>
      <c r="BA5" s="63" t="s">
        <v>259</v>
      </c>
      <c r="BB5" s="63" t="s">
        <v>111</v>
      </c>
      <c r="BE5" s="63" t="s">
        <v>260</v>
      </c>
    </row>
    <row r="6" customHeight="1" spans="2:57">
      <c r="B6">
        <v>235</v>
      </c>
      <c r="C6" s="1" t="s">
        <v>113</v>
      </c>
      <c r="D6" s="1" t="s">
        <v>101</v>
      </c>
      <c r="E6" s="1" t="s">
        <v>114</v>
      </c>
      <c r="F6" s="63" t="s">
        <v>116</v>
      </c>
      <c r="G6" s="73">
        <v>44928</v>
      </c>
      <c r="H6" s="1">
        <v>6000</v>
      </c>
      <c r="I6" s="1">
        <v>2000</v>
      </c>
      <c r="J6" s="1">
        <v>10000</v>
      </c>
      <c r="K6" s="1">
        <v>2340</v>
      </c>
      <c r="L6" s="1">
        <v>17</v>
      </c>
      <c r="M6" s="1">
        <v>19</v>
      </c>
      <c r="N6" s="1">
        <v>26</v>
      </c>
      <c r="O6" s="1">
        <v>30</v>
      </c>
      <c r="P6" s="1">
        <v>1500</v>
      </c>
      <c r="Q6" s="1">
        <v>10000</v>
      </c>
      <c r="R6" s="1">
        <v>0</v>
      </c>
      <c r="S6" s="1">
        <v>0</v>
      </c>
      <c r="T6" s="1">
        <v>0</v>
      </c>
      <c r="U6" s="1">
        <v>0</v>
      </c>
      <c r="V6" s="1">
        <v>-660</v>
      </c>
      <c r="W6" s="1">
        <v>0.3</v>
      </c>
      <c r="X6" s="1">
        <v>3</v>
      </c>
      <c r="Y6" s="1">
        <v>0.5</v>
      </c>
      <c r="Z6" s="1">
        <v>7</v>
      </c>
      <c r="AA6" s="1">
        <v>120</v>
      </c>
      <c r="AB6" s="1">
        <v>120</v>
      </c>
      <c r="AC6" s="1">
        <v>450</v>
      </c>
      <c r="AD6" s="1">
        <v>120</v>
      </c>
      <c r="AE6" s="1">
        <v>120</v>
      </c>
      <c r="AF6" s="1">
        <v>120</v>
      </c>
      <c r="AG6" s="1">
        <v>120</v>
      </c>
      <c r="AH6" s="1">
        <v>6</v>
      </c>
      <c r="AI6" s="1">
        <v>8</v>
      </c>
      <c r="AJ6" s="1">
        <v>1170</v>
      </c>
      <c r="AK6" s="1">
        <v>120</v>
      </c>
      <c r="AL6" s="1">
        <v>120</v>
      </c>
      <c r="AM6" s="1">
        <v>120</v>
      </c>
      <c r="AN6" s="1">
        <v>60</v>
      </c>
      <c r="AO6" s="1">
        <v>120</v>
      </c>
      <c r="AP6" s="1">
        <v>120</v>
      </c>
      <c r="AQ6" s="1">
        <v>6</v>
      </c>
      <c r="AR6" s="1">
        <v>8</v>
      </c>
      <c r="AS6" s="1">
        <v>8660</v>
      </c>
      <c r="AT6" s="1">
        <v>8000</v>
      </c>
      <c r="AU6" s="1">
        <v>8000</v>
      </c>
      <c r="AV6" s="1">
        <v>0</v>
      </c>
      <c r="AW6" s="1">
        <v>0</v>
      </c>
      <c r="AX6" s="1">
        <v>0</v>
      </c>
      <c r="AY6" s="1">
        <v>20</v>
      </c>
      <c r="AZ6" s="1">
        <v>-660</v>
      </c>
      <c r="BA6" s="63" t="s">
        <v>261</v>
      </c>
      <c r="BB6" s="63" t="s">
        <v>118</v>
      </c>
      <c r="BC6" s="73">
        <v>45029</v>
      </c>
      <c r="BD6" s="73">
        <v>45011</v>
      </c>
      <c r="BE6" s="63" t="s">
        <v>260</v>
      </c>
    </row>
    <row r="7" customHeight="1" spans="2:57">
      <c r="B7">
        <v>236</v>
      </c>
      <c r="C7" s="1" t="s">
        <v>45</v>
      </c>
      <c r="D7" s="1" t="s">
        <v>101</v>
      </c>
      <c r="E7" s="1" t="s">
        <v>226</v>
      </c>
      <c r="F7" s="63" t="s">
        <v>227</v>
      </c>
      <c r="G7" s="73">
        <v>44562</v>
      </c>
      <c r="H7" s="1">
        <v>5000</v>
      </c>
      <c r="I7" s="1">
        <v>2000</v>
      </c>
      <c r="J7" s="1">
        <v>9000</v>
      </c>
      <c r="K7" s="1">
        <v>33850</v>
      </c>
      <c r="L7" s="1">
        <v>0</v>
      </c>
      <c r="M7" s="1">
        <v>0</v>
      </c>
      <c r="N7" s="1">
        <v>0</v>
      </c>
      <c r="O7" s="1">
        <v>40</v>
      </c>
      <c r="P7" s="1">
        <v>17200</v>
      </c>
      <c r="Q7" s="1">
        <v>9500</v>
      </c>
      <c r="R7" s="1">
        <v>0</v>
      </c>
      <c r="S7" s="1">
        <v>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2500875</v>
      </c>
      <c r="AK7" s="1">
        <v>100</v>
      </c>
      <c r="AL7" s="1">
        <v>100</v>
      </c>
      <c r="AM7" s="1">
        <v>100</v>
      </c>
      <c r="AN7" s="1">
        <v>50</v>
      </c>
      <c r="AO7" s="1">
        <v>100</v>
      </c>
      <c r="AP7" s="1">
        <v>100</v>
      </c>
      <c r="AQ7" s="1">
        <v>0</v>
      </c>
      <c r="AR7" s="1">
        <v>0</v>
      </c>
      <c r="AS7" s="1">
        <v>7550</v>
      </c>
      <c r="AT7" s="1">
        <v>7000</v>
      </c>
      <c r="AU7" s="1">
        <v>7000</v>
      </c>
      <c r="AV7" s="1">
        <v>0</v>
      </c>
      <c r="AW7" s="1">
        <v>0</v>
      </c>
      <c r="AX7" s="1">
        <v>0</v>
      </c>
      <c r="AY7" s="1">
        <v>20</v>
      </c>
      <c r="AZ7" s="1">
        <v>-550</v>
      </c>
      <c r="BA7" s="63" t="s">
        <v>262</v>
      </c>
      <c r="BB7" s="63" t="s">
        <v>228</v>
      </c>
      <c r="BC7" s="73">
        <v>45020</v>
      </c>
      <c r="BD7" s="73">
        <v>45029</v>
      </c>
      <c r="BE7" s="63" t="s">
        <v>260</v>
      </c>
    </row>
    <row r="8" customHeight="1" spans="2:57">
      <c r="B8">
        <v>237</v>
      </c>
      <c r="C8" s="1" t="s">
        <v>42</v>
      </c>
      <c r="D8" s="1" t="s">
        <v>120</v>
      </c>
      <c r="E8" s="1" t="s">
        <v>102</v>
      </c>
      <c r="F8" s="63" t="s">
        <v>122</v>
      </c>
      <c r="G8" s="73">
        <v>45017</v>
      </c>
      <c r="H8" s="1">
        <v>3000</v>
      </c>
      <c r="I8" s="1">
        <v>200</v>
      </c>
      <c r="J8" s="1">
        <v>8500</v>
      </c>
      <c r="K8" s="1">
        <v>34610</v>
      </c>
      <c r="L8" s="1">
        <v>0</v>
      </c>
      <c r="M8" s="1">
        <v>0</v>
      </c>
      <c r="N8" s="1">
        <v>25</v>
      </c>
      <c r="O8" s="1">
        <v>41</v>
      </c>
      <c r="P8" s="1">
        <v>17630</v>
      </c>
      <c r="Q8" s="1">
        <v>8500</v>
      </c>
      <c r="R8" s="1">
        <v>0</v>
      </c>
      <c r="S8" s="1">
        <v>0</v>
      </c>
      <c r="T8" s="1">
        <v>0</v>
      </c>
      <c r="U8" s="1">
        <v>0</v>
      </c>
      <c r="V8" s="1">
        <v>-650</v>
      </c>
      <c r="W8" s="1">
        <v>0.3</v>
      </c>
      <c r="X8" s="1">
        <v>0</v>
      </c>
      <c r="Y8" s="1">
        <v>0.5</v>
      </c>
      <c r="Z8" s="1">
        <v>0</v>
      </c>
      <c r="AA8" s="1">
        <v>60</v>
      </c>
      <c r="AB8" s="1">
        <v>60</v>
      </c>
      <c r="AC8" s="1">
        <v>225</v>
      </c>
      <c r="AD8" s="1">
        <v>60</v>
      </c>
      <c r="AE8" s="1">
        <v>60</v>
      </c>
      <c r="AF8" s="1">
        <v>60</v>
      </c>
      <c r="AG8" s="1">
        <v>1500000</v>
      </c>
      <c r="AH8" s="1">
        <v>0</v>
      </c>
      <c r="AI8" s="1">
        <v>0</v>
      </c>
      <c r="AJ8" s="1">
        <v>1500525</v>
      </c>
      <c r="AK8" s="1">
        <v>60</v>
      </c>
      <c r="AL8" s="1">
        <v>60</v>
      </c>
      <c r="AM8" s="1">
        <v>60</v>
      </c>
      <c r="AN8" s="1">
        <v>30</v>
      </c>
      <c r="AO8" s="1">
        <v>60</v>
      </c>
      <c r="AP8" s="1">
        <v>60</v>
      </c>
      <c r="AQ8" s="1">
        <v>0</v>
      </c>
      <c r="AR8" s="1">
        <v>0</v>
      </c>
      <c r="AS8" s="1">
        <v>3530</v>
      </c>
      <c r="AT8" s="1">
        <v>3200</v>
      </c>
      <c r="AU8" s="1">
        <v>2880</v>
      </c>
      <c r="AV8" s="1">
        <v>0.1</v>
      </c>
      <c r="AW8" s="1">
        <v>0</v>
      </c>
      <c r="AX8" s="1">
        <v>320</v>
      </c>
      <c r="AY8" s="1">
        <v>20</v>
      </c>
      <c r="AZ8" s="1">
        <v>-650</v>
      </c>
      <c r="BA8" s="63" t="s">
        <v>262</v>
      </c>
      <c r="BB8" s="63" t="s">
        <v>126</v>
      </c>
      <c r="BC8" s="73">
        <v>45034</v>
      </c>
      <c r="BD8" s="73">
        <v>45005</v>
      </c>
      <c r="BE8" s="63" t="s">
        <v>260</v>
      </c>
    </row>
    <row r="9" customHeight="1" spans="2:57">
      <c r="B9">
        <v>238</v>
      </c>
      <c r="C9" s="1" t="s">
        <v>128</v>
      </c>
      <c r="D9" s="1" t="s">
        <v>101</v>
      </c>
      <c r="E9" s="1" t="s">
        <v>102</v>
      </c>
      <c r="F9" s="63" t="s">
        <v>130</v>
      </c>
      <c r="G9" s="73">
        <v>43020</v>
      </c>
      <c r="H9" s="1">
        <v>5000</v>
      </c>
      <c r="I9" s="1">
        <v>450</v>
      </c>
      <c r="J9" s="1">
        <v>9000</v>
      </c>
      <c r="K9" s="1">
        <v>33250</v>
      </c>
      <c r="L9" s="1">
        <v>0</v>
      </c>
      <c r="M9" s="1">
        <v>0</v>
      </c>
      <c r="N9" s="1">
        <v>20</v>
      </c>
      <c r="O9" s="1">
        <v>40</v>
      </c>
      <c r="P9" s="1">
        <v>17200</v>
      </c>
      <c r="Q9" s="1">
        <v>9500</v>
      </c>
      <c r="R9" s="1">
        <v>2</v>
      </c>
      <c r="S9" s="1">
        <v>600</v>
      </c>
      <c r="T9" s="1">
        <v>0</v>
      </c>
      <c r="U9" s="1">
        <v>0</v>
      </c>
      <c r="V9" s="1">
        <v>-550</v>
      </c>
      <c r="W9" s="1">
        <v>0.3</v>
      </c>
      <c r="X9" s="1">
        <v>0</v>
      </c>
      <c r="Y9" s="1">
        <v>0.5</v>
      </c>
      <c r="Z9" s="1">
        <v>0</v>
      </c>
      <c r="AA9" s="1">
        <v>100</v>
      </c>
      <c r="AB9" s="1">
        <v>100</v>
      </c>
      <c r="AC9" s="1">
        <v>375</v>
      </c>
      <c r="AD9" s="1">
        <v>100</v>
      </c>
      <c r="AE9" s="1">
        <v>100</v>
      </c>
      <c r="AF9" s="1">
        <v>100</v>
      </c>
      <c r="AG9" s="1">
        <v>2500000</v>
      </c>
      <c r="AH9" s="1">
        <v>0</v>
      </c>
      <c r="AI9" s="1">
        <v>0</v>
      </c>
      <c r="AJ9" s="1">
        <v>2500875</v>
      </c>
      <c r="AK9" s="1">
        <v>100</v>
      </c>
      <c r="AL9" s="1">
        <v>100</v>
      </c>
      <c r="AM9" s="1">
        <v>100</v>
      </c>
      <c r="AN9" s="1">
        <v>50</v>
      </c>
      <c r="AO9" s="1">
        <v>100</v>
      </c>
      <c r="AP9" s="1">
        <v>100</v>
      </c>
      <c r="AQ9" s="1">
        <v>0</v>
      </c>
      <c r="AR9" s="1">
        <v>0</v>
      </c>
      <c r="AS9" s="1">
        <v>6000</v>
      </c>
      <c r="AT9" s="1">
        <v>5450</v>
      </c>
      <c r="AU9" s="1">
        <v>5450</v>
      </c>
      <c r="AV9" s="1">
        <v>0</v>
      </c>
      <c r="AW9" s="1">
        <v>0</v>
      </c>
      <c r="AX9" s="1">
        <v>0</v>
      </c>
      <c r="AY9" s="1">
        <v>20</v>
      </c>
      <c r="AZ9" s="1">
        <v>-550</v>
      </c>
      <c r="BA9" s="63" t="s">
        <v>262</v>
      </c>
      <c r="BB9" s="63" t="s">
        <v>126</v>
      </c>
      <c r="BC9" s="73">
        <v>45019</v>
      </c>
      <c r="BD9" s="73">
        <v>45028</v>
      </c>
      <c r="BE9" s="63" t="s">
        <v>260</v>
      </c>
    </row>
    <row r="10" customHeight="1" spans="2:57">
      <c r="B10">
        <v>239</v>
      </c>
      <c r="C10" s="1" t="s">
        <v>47</v>
      </c>
      <c r="D10" s="1" t="s">
        <v>120</v>
      </c>
      <c r="E10" s="1" t="s">
        <v>222</v>
      </c>
      <c r="F10" s="63" t="s">
        <v>263</v>
      </c>
      <c r="G10" s="73">
        <v>43154</v>
      </c>
      <c r="H10" s="1">
        <v>5000</v>
      </c>
      <c r="I10" s="1">
        <v>5000</v>
      </c>
      <c r="J10" s="1">
        <v>5000</v>
      </c>
      <c r="K10" s="1">
        <v>16450</v>
      </c>
      <c r="L10" s="1">
        <v>0</v>
      </c>
      <c r="M10" s="1">
        <v>0</v>
      </c>
      <c r="N10" s="1">
        <v>23</v>
      </c>
      <c r="O10" s="1">
        <v>20</v>
      </c>
      <c r="P10" s="1">
        <v>8600</v>
      </c>
      <c r="Q10" s="1">
        <v>5000</v>
      </c>
      <c r="R10" s="1">
        <v>0</v>
      </c>
      <c r="S10" s="1">
        <v>0</v>
      </c>
      <c r="T10" s="1">
        <v>2</v>
      </c>
      <c r="U10" s="1">
        <v>200</v>
      </c>
      <c r="V10" s="1">
        <v>-550</v>
      </c>
      <c r="W10" s="1">
        <v>0.3</v>
      </c>
      <c r="X10" s="1">
        <v>0</v>
      </c>
      <c r="Y10" s="1">
        <v>0.5</v>
      </c>
      <c r="Z10" s="1">
        <v>0</v>
      </c>
      <c r="AA10" s="1">
        <v>100</v>
      </c>
      <c r="AB10" s="1">
        <v>100</v>
      </c>
      <c r="AC10" s="1">
        <v>375</v>
      </c>
      <c r="AD10" s="1">
        <v>100</v>
      </c>
      <c r="AE10" s="1">
        <v>100</v>
      </c>
      <c r="AF10" s="1">
        <v>100</v>
      </c>
      <c r="AG10" s="1">
        <v>2500000</v>
      </c>
      <c r="AH10" s="1">
        <v>0</v>
      </c>
      <c r="AI10" s="1">
        <v>0</v>
      </c>
      <c r="AJ10" s="1">
        <v>2500875</v>
      </c>
      <c r="AK10" s="1">
        <v>100</v>
      </c>
      <c r="AL10" s="1">
        <v>100</v>
      </c>
      <c r="AM10" s="1">
        <v>100</v>
      </c>
      <c r="AN10" s="1">
        <v>50</v>
      </c>
      <c r="AO10" s="1">
        <v>100</v>
      </c>
      <c r="AP10" s="1">
        <v>100</v>
      </c>
      <c r="AQ10" s="1">
        <v>0</v>
      </c>
      <c r="AR10" s="1">
        <v>0</v>
      </c>
      <c r="AS10" s="1">
        <v>10550</v>
      </c>
      <c r="AT10" s="1">
        <v>10000</v>
      </c>
      <c r="AU10" s="1">
        <v>10000</v>
      </c>
      <c r="AV10" s="1">
        <v>0</v>
      </c>
      <c r="AW10" s="1">
        <v>0</v>
      </c>
      <c r="AX10" s="1">
        <v>0</v>
      </c>
      <c r="AY10" s="1">
        <v>20</v>
      </c>
      <c r="AZ10" s="1">
        <v>-550</v>
      </c>
      <c r="BA10" s="63" t="s">
        <v>262</v>
      </c>
      <c r="BB10" s="63" t="s">
        <v>126</v>
      </c>
      <c r="BC10" s="73">
        <v>45021</v>
      </c>
      <c r="BD10" s="73">
        <v>45046</v>
      </c>
      <c r="BE10" s="63" t="s">
        <v>260</v>
      </c>
    </row>
    <row r="11" customHeight="1" spans="2:57">
      <c r="B11">
        <v>240</v>
      </c>
      <c r="C11" s="1" t="s">
        <v>48</v>
      </c>
      <c r="D11" s="1" t="s">
        <v>120</v>
      </c>
      <c r="E11" s="1" t="s">
        <v>102</v>
      </c>
      <c r="F11" s="63" t="s">
        <v>141</v>
      </c>
      <c r="G11" s="73">
        <v>44412</v>
      </c>
      <c r="H11" s="1">
        <v>3000</v>
      </c>
      <c r="I11" s="1">
        <v>200</v>
      </c>
      <c r="J11" s="1">
        <v>7000</v>
      </c>
      <c r="K11" s="1">
        <v>42150</v>
      </c>
      <c r="L11" s="1">
        <v>0</v>
      </c>
      <c r="M11" s="1">
        <v>0</v>
      </c>
      <c r="N11" s="1">
        <v>23</v>
      </c>
      <c r="O11" s="1">
        <v>50</v>
      </c>
      <c r="P11" s="1">
        <v>21500</v>
      </c>
      <c r="Q11" s="1">
        <v>7000</v>
      </c>
      <c r="R11" s="1">
        <v>0</v>
      </c>
      <c r="S11" s="1">
        <v>0</v>
      </c>
      <c r="T11" s="1">
        <v>2</v>
      </c>
      <c r="U11" s="1">
        <v>200</v>
      </c>
      <c r="V11" s="1">
        <v>-655</v>
      </c>
      <c r="W11" s="1">
        <v>0.3</v>
      </c>
      <c r="X11" s="1">
        <v>0</v>
      </c>
      <c r="Y11" s="1">
        <v>0.5</v>
      </c>
      <c r="Z11" s="1">
        <v>0</v>
      </c>
      <c r="AA11" s="1">
        <v>60</v>
      </c>
      <c r="AB11" s="1">
        <v>60</v>
      </c>
      <c r="AC11" s="1">
        <v>225</v>
      </c>
      <c r="AD11" s="1">
        <v>60</v>
      </c>
      <c r="AE11" s="1">
        <v>60</v>
      </c>
      <c r="AF11" s="1">
        <v>60</v>
      </c>
      <c r="AG11" s="1">
        <v>1500000</v>
      </c>
      <c r="AH11" s="1">
        <v>0</v>
      </c>
      <c r="AI11" s="1">
        <v>0</v>
      </c>
      <c r="AJ11" s="1">
        <v>1500525</v>
      </c>
      <c r="AK11" s="1">
        <v>60</v>
      </c>
      <c r="AL11" s="1">
        <v>60</v>
      </c>
      <c r="AM11" s="1">
        <v>60</v>
      </c>
      <c r="AN11" s="1">
        <v>30</v>
      </c>
      <c r="AO11" s="1">
        <v>60</v>
      </c>
      <c r="AP11" s="1">
        <v>60</v>
      </c>
      <c r="AQ11" s="1">
        <v>0</v>
      </c>
      <c r="AR11" s="1">
        <v>0</v>
      </c>
      <c r="AS11" s="1">
        <v>3530</v>
      </c>
      <c r="AT11" s="1">
        <v>3200</v>
      </c>
      <c r="AU11" s="1">
        <v>2880</v>
      </c>
      <c r="AV11" s="1">
        <v>0.1</v>
      </c>
      <c r="AW11" s="1">
        <v>0</v>
      </c>
      <c r="AX11" s="1">
        <v>320</v>
      </c>
      <c r="AY11" s="1">
        <v>20</v>
      </c>
      <c r="AZ11" s="1">
        <v>-650</v>
      </c>
      <c r="BA11" s="63" t="s">
        <v>262</v>
      </c>
      <c r="BB11" s="63" t="s">
        <v>143</v>
      </c>
      <c r="BC11" s="73">
        <v>45017</v>
      </c>
      <c r="BD11" s="73">
        <v>45032</v>
      </c>
      <c r="BE11" s="63" t="s">
        <v>260</v>
      </c>
    </row>
    <row r="12" customHeight="1" spans="2:57">
      <c r="B12">
        <v>273</v>
      </c>
      <c r="C12" s="1" t="s">
        <v>53</v>
      </c>
      <c r="D12" s="1" t="s">
        <v>101</v>
      </c>
      <c r="E12" s="1" t="s">
        <v>264</v>
      </c>
      <c r="F12" s="63" t="s">
        <v>156</v>
      </c>
      <c r="G12" s="73">
        <v>46029</v>
      </c>
      <c r="H12" s="1">
        <v>10000</v>
      </c>
      <c r="I12" s="1">
        <v>2000</v>
      </c>
      <c r="J12" s="1">
        <v>61</v>
      </c>
      <c r="K12" s="1">
        <v>-600</v>
      </c>
      <c r="N12" s="1">
        <v>22</v>
      </c>
      <c r="O12" s="1">
        <v>22</v>
      </c>
      <c r="P12" s="1">
        <v>1100</v>
      </c>
      <c r="Q12" s="1">
        <v>24321</v>
      </c>
      <c r="R12" s="1">
        <v>8</v>
      </c>
      <c r="S12" s="1">
        <v>2400</v>
      </c>
      <c r="T12" s="1">
        <v>0</v>
      </c>
      <c r="U12" s="1">
        <v>50</v>
      </c>
      <c r="V12" s="1">
        <v>10900</v>
      </c>
      <c r="W12" s="1">
        <v>0.2</v>
      </c>
      <c r="Y12" s="1">
        <v>0.02</v>
      </c>
      <c r="AA12" s="1">
        <v>200</v>
      </c>
      <c r="AB12" s="1">
        <v>200</v>
      </c>
      <c r="AC12" s="1">
        <v>750</v>
      </c>
      <c r="AD12" s="1">
        <v>200</v>
      </c>
      <c r="AE12" s="1">
        <v>200</v>
      </c>
      <c r="AF12" s="1">
        <v>200</v>
      </c>
      <c r="AG12" s="1">
        <v>200</v>
      </c>
      <c r="AJ12" s="1">
        <v>1950</v>
      </c>
      <c r="AK12" s="1">
        <v>200</v>
      </c>
      <c r="AL12" s="1">
        <v>200</v>
      </c>
      <c r="AM12" s="1">
        <v>200</v>
      </c>
      <c r="AN12" s="1">
        <v>100</v>
      </c>
      <c r="AO12" s="1">
        <v>200</v>
      </c>
      <c r="AP12" s="1">
        <v>200</v>
      </c>
      <c r="AS12" s="1">
        <v>13100</v>
      </c>
      <c r="AT12" s="1">
        <v>12000</v>
      </c>
      <c r="AU12" s="1">
        <v>120</v>
      </c>
      <c r="AV12" s="1">
        <v>12</v>
      </c>
      <c r="AW12" s="1">
        <v>2</v>
      </c>
      <c r="AX12" s="1">
        <v>0</v>
      </c>
      <c r="AZ12" s="1">
        <v>700</v>
      </c>
      <c r="BB12" s="63" t="s">
        <v>159</v>
      </c>
      <c r="BC12" s="73">
        <v>46037</v>
      </c>
      <c r="BD12" s="73">
        <v>46029</v>
      </c>
      <c r="BE12" s="63" t="s">
        <v>265</v>
      </c>
    </row>
    <row r="13" customHeight="1" spans="2:57">
      <c r="B13">
        <v>275</v>
      </c>
      <c r="C13" s="1" t="s">
        <v>49</v>
      </c>
      <c r="D13" s="1" t="s">
        <v>145</v>
      </c>
      <c r="E13" s="1" t="s">
        <v>102</v>
      </c>
      <c r="F13" s="63" t="s">
        <v>147</v>
      </c>
      <c r="G13" s="73">
        <v>45006</v>
      </c>
      <c r="H13" s="1">
        <v>5000</v>
      </c>
      <c r="I13" s="1">
        <v>200</v>
      </c>
      <c r="J13" s="1">
        <v>2000</v>
      </c>
      <c r="K13" s="1">
        <v>10750</v>
      </c>
      <c r="L13" s="1">
        <v>0.02</v>
      </c>
      <c r="M13" s="1">
        <v>230</v>
      </c>
      <c r="V13" s="1">
        <v>4650</v>
      </c>
      <c r="W13" s="1">
        <v>0.3</v>
      </c>
      <c r="X13" s="1">
        <v>0.02</v>
      </c>
      <c r="Y13" s="1">
        <v>0.5</v>
      </c>
      <c r="Z13" s="1">
        <v>0.02</v>
      </c>
      <c r="AA13" s="1">
        <v>100</v>
      </c>
      <c r="AB13" s="1">
        <v>100</v>
      </c>
      <c r="AC13" s="1">
        <v>375</v>
      </c>
      <c r="AD13" s="1">
        <v>100</v>
      </c>
      <c r="AE13" s="1">
        <v>100</v>
      </c>
      <c r="AF13" s="1">
        <v>100</v>
      </c>
      <c r="AG13" s="1">
        <v>100</v>
      </c>
      <c r="AH13" s="1">
        <v>0.02</v>
      </c>
      <c r="AI13" s="1">
        <v>0.03</v>
      </c>
      <c r="AJ13" s="1">
        <v>975</v>
      </c>
      <c r="AK13" s="1">
        <v>100</v>
      </c>
      <c r="AL13" s="1">
        <v>100</v>
      </c>
      <c r="AM13" s="1">
        <v>100</v>
      </c>
      <c r="AN13" s="1">
        <v>50</v>
      </c>
      <c r="AO13" s="1">
        <v>100</v>
      </c>
      <c r="AP13" s="1">
        <v>100</v>
      </c>
      <c r="AQ13" s="1">
        <v>0.02</v>
      </c>
      <c r="AR13" s="1">
        <v>0.03</v>
      </c>
      <c r="AS13" s="1">
        <v>5750</v>
      </c>
      <c r="AT13" s="1">
        <v>5200</v>
      </c>
      <c r="AX13" s="1">
        <v>0</v>
      </c>
      <c r="AY13" s="1">
        <v>0.02</v>
      </c>
      <c r="AZ13" s="1">
        <v>5550</v>
      </c>
      <c r="BA13" s="63" t="s">
        <v>266</v>
      </c>
      <c r="BB13" s="63" t="s">
        <v>149</v>
      </c>
      <c r="BD13" s="73">
        <v>46057</v>
      </c>
    </row>
    <row r="14" customHeight="1" spans="2:57">
      <c r="B14">
        <v>276</v>
      </c>
      <c r="C14" s="1" t="s">
        <v>63</v>
      </c>
      <c r="D14" s="1" t="s">
        <v>101</v>
      </c>
      <c r="E14" s="1" t="s">
        <v>102</v>
      </c>
      <c r="F14" s="63" t="s">
        <v>104</v>
      </c>
      <c r="G14" s="73">
        <v>43922</v>
      </c>
      <c r="H14" s="1">
        <v>9000</v>
      </c>
      <c r="I14" s="1">
        <v>2000</v>
      </c>
      <c r="J14" s="1">
        <v>3000</v>
      </c>
      <c r="L14" s="1">
        <v>0.02</v>
      </c>
      <c r="M14" s="1">
        <v>300</v>
      </c>
      <c r="W14" s="1">
        <v>0.3</v>
      </c>
      <c r="X14" s="1">
        <v>0.02</v>
      </c>
      <c r="Y14" s="1">
        <v>0.5</v>
      </c>
      <c r="Z14" s="1">
        <v>0.02</v>
      </c>
      <c r="AH14" s="1">
        <v>0.02</v>
      </c>
      <c r="AI14" s="1">
        <v>0.03</v>
      </c>
      <c r="AJ14" s="76"/>
      <c r="AQ14" s="1">
        <v>0.02</v>
      </c>
      <c r="AR14" s="1">
        <v>0.03</v>
      </c>
      <c r="AY14" s="1">
        <v>0.02</v>
      </c>
      <c r="BA14" s="63" t="s">
        <v>266</v>
      </c>
      <c r="BB14" s="63" t="s">
        <v>111</v>
      </c>
      <c r="BD14" s="73">
        <v>46057</v>
      </c>
    </row>
    <row r="15" customHeight="1" spans="2:57">
      <c r="B15">
        <v>280</v>
      </c>
      <c r="C15" s="1" t="s">
        <v>134</v>
      </c>
      <c r="D15" s="1" t="s">
        <v>120</v>
      </c>
      <c r="E15" s="1" t="s">
        <v>114</v>
      </c>
      <c r="F15" s="63" t="s">
        <v>136</v>
      </c>
      <c r="G15" s="73">
        <v>43922</v>
      </c>
      <c r="H15" s="1">
        <v>3000</v>
      </c>
      <c r="I15" s="1">
        <v>200</v>
      </c>
      <c r="J15" s="1">
        <v>5000</v>
      </c>
      <c r="K15" s="1">
        <v>9490</v>
      </c>
      <c r="L15" s="1">
        <v>0.02</v>
      </c>
      <c r="M15" s="1">
        <v>300</v>
      </c>
      <c r="V15" s="1">
        <v>2870</v>
      </c>
      <c r="W15" s="1">
        <v>0.3</v>
      </c>
      <c r="X15" s="1">
        <v>0.02</v>
      </c>
      <c r="Y15" s="1">
        <v>0.5</v>
      </c>
      <c r="Z15" s="1">
        <v>0.02</v>
      </c>
      <c r="AA15" s="1">
        <v>60</v>
      </c>
      <c r="AB15" s="1">
        <v>60</v>
      </c>
      <c r="AC15" s="1">
        <v>225.000015258789</v>
      </c>
      <c r="AD15" s="1">
        <v>60</v>
      </c>
      <c r="AE15" s="1">
        <v>60</v>
      </c>
      <c r="AF15" s="1">
        <v>60</v>
      </c>
      <c r="AG15" s="1">
        <v>60</v>
      </c>
      <c r="AH15" s="1">
        <v>0.02</v>
      </c>
      <c r="AI15" s="1">
        <v>0.03</v>
      </c>
      <c r="AJ15" s="1">
        <v>585.000015258789</v>
      </c>
      <c r="AK15" s="1">
        <v>60</v>
      </c>
      <c r="AL15" s="1">
        <v>60</v>
      </c>
      <c r="AM15" s="1">
        <v>60</v>
      </c>
      <c r="AN15" s="1">
        <v>30</v>
      </c>
      <c r="AO15" s="1">
        <v>60</v>
      </c>
      <c r="AP15" s="1">
        <v>60</v>
      </c>
      <c r="AQ15" s="1">
        <v>0.02</v>
      </c>
      <c r="AR15" s="1">
        <v>0.03</v>
      </c>
      <c r="AS15" s="1">
        <v>3530</v>
      </c>
      <c r="AT15" s="1">
        <v>3200</v>
      </c>
      <c r="AU15" s="1">
        <v>2880</v>
      </c>
      <c r="AV15" s="1">
        <v>0.1</v>
      </c>
      <c r="AX15" s="1">
        <v>320</v>
      </c>
      <c r="AY15" s="1">
        <v>0.02</v>
      </c>
      <c r="AZ15" s="1">
        <v>6290</v>
      </c>
      <c r="BA15" s="63" t="s">
        <v>266</v>
      </c>
      <c r="BB15" s="63" t="s">
        <v>139</v>
      </c>
      <c r="BD15" s="73">
        <v>46057</v>
      </c>
    </row>
    <row r="16" customHeight="1" spans="2:57">
      <c r="B16">
        <v>281</v>
      </c>
      <c r="C16" s="1" t="s">
        <v>134</v>
      </c>
      <c r="D16" s="1" t="s">
        <v>120</v>
      </c>
      <c r="E16" s="1" t="s">
        <v>114</v>
      </c>
      <c r="F16" s="63" t="s">
        <v>136</v>
      </c>
      <c r="G16" s="73">
        <v>43922</v>
      </c>
      <c r="H16" s="1">
        <v>3000</v>
      </c>
      <c r="I16" s="1">
        <v>200</v>
      </c>
      <c r="J16" s="1">
        <v>5000</v>
      </c>
      <c r="K16" s="1">
        <v>9490</v>
      </c>
      <c r="L16" s="1">
        <v>0.02</v>
      </c>
      <c r="M16" s="1">
        <v>300</v>
      </c>
      <c r="V16" s="1">
        <v>2870</v>
      </c>
      <c r="W16" s="1">
        <v>0.3</v>
      </c>
      <c r="X16" s="1">
        <v>0.02</v>
      </c>
      <c r="Y16" s="1">
        <v>0.5</v>
      </c>
      <c r="Z16" s="1">
        <v>0.02</v>
      </c>
      <c r="AA16" s="1">
        <v>60</v>
      </c>
      <c r="AB16" s="1">
        <v>60</v>
      </c>
      <c r="AC16" s="1">
        <v>225.000015258789</v>
      </c>
      <c r="AD16" s="1">
        <v>60</v>
      </c>
      <c r="AE16" s="1">
        <v>60</v>
      </c>
      <c r="AF16" s="1">
        <v>60</v>
      </c>
      <c r="AG16" s="1">
        <v>60</v>
      </c>
      <c r="AH16" s="1">
        <v>0.02</v>
      </c>
      <c r="AI16" s="1">
        <v>0.03</v>
      </c>
      <c r="AJ16" s="1">
        <v>585.000015258789</v>
      </c>
      <c r="AK16" s="1">
        <v>60</v>
      </c>
      <c r="AL16" s="1">
        <v>60</v>
      </c>
      <c r="AM16" s="1">
        <v>60</v>
      </c>
      <c r="AN16" s="1">
        <v>30</v>
      </c>
      <c r="AO16" s="1">
        <v>60</v>
      </c>
      <c r="AP16" s="1">
        <v>60</v>
      </c>
      <c r="AQ16" s="1">
        <v>0.02</v>
      </c>
      <c r="AR16" s="1">
        <v>0.03</v>
      </c>
      <c r="AS16" s="1">
        <v>3530</v>
      </c>
      <c r="AT16" s="1">
        <v>3200</v>
      </c>
      <c r="AU16" s="1">
        <v>2880</v>
      </c>
      <c r="AV16" s="1">
        <v>0.1</v>
      </c>
      <c r="AX16" s="1">
        <v>320</v>
      </c>
      <c r="AY16" s="1">
        <v>0.02</v>
      </c>
      <c r="AZ16" s="1">
        <v>6290</v>
      </c>
      <c r="BA16" s="63" t="s">
        <v>266</v>
      </c>
      <c r="BB16" s="63" t="s">
        <v>139</v>
      </c>
      <c r="BD16" s="73">
        <v>46057</v>
      </c>
    </row>
    <row r="17" customHeight="1" spans="2:56">
      <c r="B17">
        <v>289</v>
      </c>
      <c r="C17" s="1" t="s">
        <v>128</v>
      </c>
      <c r="D17" s="1" t="s">
        <v>101</v>
      </c>
      <c r="E17" s="1" t="s">
        <v>102</v>
      </c>
      <c r="F17" s="63" t="s">
        <v>130</v>
      </c>
      <c r="G17" s="73">
        <v>43020</v>
      </c>
      <c r="H17" s="1">
        <v>5000</v>
      </c>
      <c r="I17" s="1">
        <v>450</v>
      </c>
      <c r="J17" s="1">
        <v>2000</v>
      </c>
      <c r="K17" s="1">
        <v>400</v>
      </c>
      <c r="BB17" s="63" t="s">
        <v>126</v>
      </c>
      <c r="BD17" s="73">
        <v>46062</v>
      </c>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32"/>
  <sheetViews>
    <sheetView showGridLines="0" workbookViewId="0">
      <pane ySplit="4" topLeftCell="A29"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267</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268</v>
      </c>
      <c r="G4" s="7" t="s">
        <v>269</v>
      </c>
      <c r="H4" s="7" t="s">
        <v>51</v>
      </c>
      <c r="I4" s="7" t="s">
        <v>270</v>
      </c>
      <c r="J4" s="7" t="s">
        <v>46</v>
      </c>
    </row>
    <row r="5" customHeight="1" spans="2:10">
      <c r="B5">
        <v>768</v>
      </c>
      <c r="C5" s="1" t="s">
        <v>42</v>
      </c>
      <c r="D5" s="62">
        <v>2023</v>
      </c>
      <c r="E5" s="62">
        <v>1</v>
      </c>
      <c r="F5" s="1">
        <v>22</v>
      </c>
      <c r="G5" s="1">
        <v>0</v>
      </c>
      <c r="H5" s="1">
        <v>0</v>
      </c>
      <c r="I5" s="1">
        <v>0</v>
      </c>
      <c r="J5" s="1">
        <v>0</v>
      </c>
    </row>
    <row r="6" customHeight="1" spans="2:10">
      <c r="B6">
        <v>771</v>
      </c>
      <c r="C6" s="1" t="s">
        <v>45</v>
      </c>
      <c r="D6" s="62">
        <v>2023</v>
      </c>
      <c r="E6" s="62">
        <v>2</v>
      </c>
      <c r="F6" s="1">
        <v>21</v>
      </c>
      <c r="G6" s="1">
        <v>0</v>
      </c>
      <c r="H6" s="1">
        <v>0</v>
      </c>
      <c r="I6" s="1">
        <v>0</v>
      </c>
      <c r="J6" s="1">
        <v>0</v>
      </c>
    </row>
    <row r="7" customHeight="1" spans="2:10">
      <c r="B7">
        <v>772</v>
      </c>
      <c r="C7" s="1" t="s">
        <v>47</v>
      </c>
      <c r="D7" s="62">
        <v>2023</v>
      </c>
      <c r="E7" s="62">
        <v>4</v>
      </c>
      <c r="F7" s="1">
        <v>30</v>
      </c>
      <c r="G7" s="1">
        <v>0</v>
      </c>
      <c r="H7" s="1">
        <v>0</v>
      </c>
      <c r="I7" s="1">
        <v>0</v>
      </c>
      <c r="J7" s="1">
        <v>0</v>
      </c>
    </row>
    <row r="8" customHeight="1" spans="2:10">
      <c r="B8">
        <v>773</v>
      </c>
      <c r="C8" s="1" t="s">
        <v>48</v>
      </c>
      <c r="D8" s="62">
        <v>2023</v>
      </c>
      <c r="E8" s="62">
        <v>1</v>
      </c>
      <c r="F8" s="1">
        <v>22</v>
      </c>
      <c r="G8" s="1">
        <v>0</v>
      </c>
      <c r="H8" s="1">
        <v>0</v>
      </c>
      <c r="I8" s="1">
        <v>0</v>
      </c>
      <c r="J8" s="1">
        <v>0</v>
      </c>
    </row>
    <row r="9" customHeight="1" spans="2:10">
      <c r="B9">
        <v>774</v>
      </c>
      <c r="C9" s="1" t="s">
        <v>49</v>
      </c>
      <c r="D9" s="62">
        <v>2023</v>
      </c>
      <c r="E9" s="62">
        <v>4</v>
      </c>
      <c r="F9" s="1">
        <v>30</v>
      </c>
      <c r="G9" s="1">
        <v>0</v>
      </c>
      <c r="H9" s="1">
        <v>0</v>
      </c>
      <c r="I9" s="1">
        <v>0</v>
      </c>
      <c r="J9" s="1">
        <v>0</v>
      </c>
    </row>
    <row r="10" customHeight="1" spans="2:10">
      <c r="B10">
        <v>775</v>
      </c>
      <c r="C10" s="1" t="s">
        <v>50</v>
      </c>
      <c r="D10" s="62">
        <v>2023</v>
      </c>
      <c r="E10" s="62">
        <v>4</v>
      </c>
      <c r="F10" s="1">
        <v>30</v>
      </c>
      <c r="G10" s="1">
        <v>0</v>
      </c>
      <c r="H10" s="1">
        <v>0</v>
      </c>
      <c r="I10" s="1">
        <v>0</v>
      </c>
      <c r="J10" s="1">
        <v>0</v>
      </c>
    </row>
    <row r="11" customHeight="1" spans="2:10">
      <c r="B11">
        <v>794</v>
      </c>
      <c r="C11" s="1" t="s">
        <v>53</v>
      </c>
      <c r="D11" s="62">
        <v>2023</v>
      </c>
      <c r="E11" s="62">
        <v>9</v>
      </c>
      <c r="F11" s="1">
        <v>30</v>
      </c>
      <c r="G11" s="1">
        <v>0</v>
      </c>
      <c r="H11" s="1">
        <v>0</v>
      </c>
      <c r="I11" s="1">
        <v>0</v>
      </c>
      <c r="J11" s="1">
        <v>0</v>
      </c>
    </row>
    <row r="12" customHeight="1" spans="2:10">
      <c r="B12">
        <v>867</v>
      </c>
      <c r="C12" s="1" t="s">
        <v>55</v>
      </c>
      <c r="D12" s="62">
        <v>2026</v>
      </c>
      <c r="E12" s="62">
        <v>1</v>
      </c>
      <c r="F12" s="1">
        <v>31</v>
      </c>
      <c r="G12" s="1">
        <v>0</v>
      </c>
      <c r="H12" s="1">
        <v>0</v>
      </c>
      <c r="I12" s="1">
        <v>0</v>
      </c>
      <c r="J12" s="1">
        <v>0</v>
      </c>
    </row>
    <row r="13" customHeight="1" spans="2:10">
      <c r="B13">
        <v>872</v>
      </c>
      <c r="C13" s="1" t="s">
        <v>53</v>
      </c>
      <c r="D13" s="62">
        <v>2026</v>
      </c>
      <c r="E13" s="62">
        <v>1</v>
      </c>
      <c r="F13" s="1">
        <v>31</v>
      </c>
      <c r="G13" s="1">
        <v>0</v>
      </c>
      <c r="H13" s="1">
        <v>0</v>
      </c>
      <c r="I13" s="1">
        <v>0</v>
      </c>
      <c r="J13" s="1">
        <v>0</v>
      </c>
    </row>
    <row r="14" customHeight="1" spans="2:10">
      <c r="B14">
        <v>873</v>
      </c>
      <c r="C14" s="1" t="s">
        <v>56</v>
      </c>
      <c r="D14" s="62">
        <v>2026</v>
      </c>
      <c r="E14" s="62">
        <v>1</v>
      </c>
      <c r="F14" s="1">
        <v>31</v>
      </c>
      <c r="G14" s="1">
        <v>0</v>
      </c>
      <c r="H14" s="1">
        <v>0</v>
      </c>
      <c r="I14" s="1">
        <v>0</v>
      </c>
      <c r="J14" s="1">
        <v>0</v>
      </c>
    </row>
    <row r="15" customHeight="1" spans="2:10">
      <c r="B15">
        <v>887</v>
      </c>
      <c r="C15" s="1" t="s">
        <v>57</v>
      </c>
      <c r="D15" s="62">
        <v>2026</v>
      </c>
      <c r="E15" s="62">
        <v>1</v>
      </c>
      <c r="F15" s="1">
        <v>31</v>
      </c>
      <c r="G15" s="1">
        <v>0</v>
      </c>
      <c r="H15" s="1">
        <v>0</v>
      </c>
      <c r="I15" s="1">
        <v>0</v>
      </c>
      <c r="J15" s="1">
        <v>0</v>
      </c>
    </row>
    <row r="16" customHeight="1" spans="2:10">
      <c r="B16">
        <v>903</v>
      </c>
      <c r="C16" s="1" t="s">
        <v>58</v>
      </c>
      <c r="D16" s="62">
        <v>2026</v>
      </c>
      <c r="E16" s="62">
        <v>2</v>
      </c>
    </row>
    <row r="17" customHeight="1" spans="2:10">
      <c r="B17">
        <v>906</v>
      </c>
      <c r="C17" s="1" t="s">
        <v>59</v>
      </c>
      <c r="D17" s="62">
        <v>2026</v>
      </c>
      <c r="E17" s="62">
        <v>2</v>
      </c>
    </row>
    <row r="18" customHeight="1" spans="2:10">
      <c r="B18">
        <v>910</v>
      </c>
      <c r="C18" s="1" t="s">
        <v>53</v>
      </c>
      <c r="D18" s="62">
        <v>2026</v>
      </c>
      <c r="E18" s="62">
        <v>2</v>
      </c>
    </row>
    <row r="19" customHeight="1" spans="2:10">
      <c r="B19">
        <v>913</v>
      </c>
      <c r="C19" s="1" t="s">
        <v>60</v>
      </c>
      <c r="D19" s="62">
        <v>2026</v>
      </c>
      <c r="E19" s="62">
        <v>2</v>
      </c>
    </row>
    <row r="20" customHeight="1" spans="2:10">
      <c r="B20">
        <v>914</v>
      </c>
      <c r="C20" s="1" t="s">
        <v>61</v>
      </c>
      <c r="D20" s="62">
        <v>2026</v>
      </c>
      <c r="E20" s="62">
        <v>2</v>
      </c>
    </row>
    <row r="21" customHeight="1" spans="2:10">
      <c r="B21">
        <v>822</v>
      </c>
      <c r="C21" s="1" t="s">
        <v>62</v>
      </c>
      <c r="D21" s="62">
        <v>2024</v>
      </c>
      <c r="E21" s="62">
        <v>9</v>
      </c>
      <c r="F21" s="1">
        <v>21</v>
      </c>
      <c r="G21" s="1">
        <v>1</v>
      </c>
      <c r="H21" s="1">
        <v>0</v>
      </c>
      <c r="I21" s="1">
        <v>0</v>
      </c>
      <c r="J21" s="1">
        <v>0</v>
      </c>
    </row>
    <row r="22" customHeight="1" spans="2:10">
      <c r="B22">
        <v>823</v>
      </c>
      <c r="C22" s="1" t="s">
        <v>63</v>
      </c>
      <c r="D22" s="62">
        <v>2024</v>
      </c>
      <c r="E22" s="62">
        <v>9</v>
      </c>
      <c r="F22" s="1">
        <v>21</v>
      </c>
      <c r="G22" s="1">
        <v>0</v>
      </c>
      <c r="H22" s="1">
        <v>0</v>
      </c>
      <c r="I22" s="1">
        <v>0</v>
      </c>
      <c r="J22" s="1">
        <v>0</v>
      </c>
    </row>
    <row r="23" customHeight="1" spans="2:10">
      <c r="B23">
        <v>824</v>
      </c>
      <c r="C23" s="1" t="s">
        <v>64</v>
      </c>
      <c r="D23" s="62">
        <v>2024</v>
      </c>
      <c r="E23" s="62">
        <v>9</v>
      </c>
      <c r="F23" s="1">
        <v>21</v>
      </c>
      <c r="G23" s="1">
        <v>0</v>
      </c>
      <c r="H23" s="1">
        <v>0</v>
      </c>
      <c r="I23" s="1">
        <v>0</v>
      </c>
      <c r="J23" s="1">
        <v>0</v>
      </c>
    </row>
    <row r="24" customHeight="1" spans="2:10">
      <c r="B24">
        <v>831</v>
      </c>
      <c r="C24" s="1" t="s">
        <v>65</v>
      </c>
      <c r="D24" s="62">
        <v>2024</v>
      </c>
      <c r="E24" s="62">
        <v>10</v>
      </c>
      <c r="F24" s="1">
        <v>31</v>
      </c>
      <c r="G24" s="1">
        <v>0</v>
      </c>
      <c r="H24" s="1">
        <v>0</v>
      </c>
      <c r="I24" s="1">
        <v>0</v>
      </c>
      <c r="J24" s="1">
        <v>0</v>
      </c>
    </row>
    <row r="25" customHeight="1" spans="2:10">
      <c r="B25">
        <v>909</v>
      </c>
      <c r="C25" s="1" t="s">
        <v>66</v>
      </c>
      <c r="D25" s="62">
        <v>2026</v>
      </c>
      <c r="E25" s="62">
        <v>2</v>
      </c>
    </row>
    <row r="26" customHeight="1" spans="2:10">
      <c r="B26">
        <v>888</v>
      </c>
      <c r="C26" s="1" t="s">
        <v>67</v>
      </c>
      <c r="D26" s="62">
        <v>2026</v>
      </c>
      <c r="E26" s="62">
        <v>1</v>
      </c>
      <c r="F26" s="1">
        <v>31</v>
      </c>
      <c r="G26" s="1">
        <v>0</v>
      </c>
      <c r="H26" s="1">
        <v>0</v>
      </c>
      <c r="I26" s="1">
        <v>0</v>
      </c>
      <c r="J26" s="1">
        <v>0</v>
      </c>
    </row>
    <row r="27" customHeight="1" spans="2:10">
      <c r="B27">
        <v>901</v>
      </c>
      <c r="C27" s="1" t="s">
        <v>68</v>
      </c>
      <c r="D27" s="62">
        <v>2026</v>
      </c>
      <c r="E27" s="62">
        <v>2</v>
      </c>
    </row>
    <row r="28" customHeight="1" spans="2:10">
      <c r="B28">
        <v>912</v>
      </c>
      <c r="C28" s="1" t="s">
        <v>69</v>
      </c>
      <c r="D28" s="62">
        <v>2026</v>
      </c>
      <c r="E28" s="62">
        <v>2</v>
      </c>
    </row>
    <row r="29" customHeight="1" spans="2:10">
      <c r="B29">
        <v>900</v>
      </c>
      <c r="C29" s="1" t="s">
        <v>68</v>
      </c>
      <c r="D29" s="62">
        <v>2026</v>
      </c>
      <c r="E29" s="62">
        <v>2</v>
      </c>
    </row>
    <row r="30" customHeight="1" spans="2:10">
      <c r="B30">
        <v>902</v>
      </c>
      <c r="C30" s="1" t="s">
        <v>70</v>
      </c>
      <c r="D30" s="62">
        <v>2026</v>
      </c>
      <c r="E30" s="62">
        <v>2</v>
      </c>
    </row>
    <row r="31" customHeight="1" spans="2:10">
      <c r="B31">
        <v>904</v>
      </c>
      <c r="C31" s="1" t="s">
        <v>71</v>
      </c>
      <c r="D31" s="62">
        <v>2026</v>
      </c>
      <c r="E31" s="62">
        <v>2</v>
      </c>
    </row>
    <row r="32" customHeight="1" spans="2:10">
      <c r="B32">
        <v>905</v>
      </c>
      <c r="C32" s="1" t="s">
        <v>72</v>
      </c>
      <c r="D32" s="62">
        <v>2026</v>
      </c>
      <c r="E32" s="62">
        <v>2</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3"/>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271</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184</v>
      </c>
      <c r="D4" s="7" t="s">
        <v>186</v>
      </c>
      <c r="E4" s="7" t="s">
        <v>272</v>
      </c>
      <c r="F4" s="7" t="s">
        <v>273</v>
      </c>
      <c r="G4" s="7" t="s">
        <v>182</v>
      </c>
      <c r="H4" s="7" t="s">
        <v>200</v>
      </c>
      <c r="I4" s="7" t="s">
        <v>190</v>
      </c>
      <c r="J4" s="7" t="s">
        <v>254</v>
      </c>
      <c r="K4" s="7" t="s">
        <v>192</v>
      </c>
      <c r="L4" s="7" t="s">
        <v>202</v>
      </c>
      <c r="M4" s="7" t="s">
        <v>193</v>
      </c>
      <c r="N4" s="7" t="s">
        <v>185</v>
      </c>
      <c r="O4" s="7" t="s">
        <v>274</v>
      </c>
      <c r="P4" s="7" t="s">
        <v>194</v>
      </c>
      <c r="Q4" s="7" t="s">
        <v>195</v>
      </c>
      <c r="R4" s="7" t="s">
        <v>187</v>
      </c>
      <c r="S4" s="7" t="s">
        <v>196</v>
      </c>
      <c r="T4" s="7" t="s">
        <v>198</v>
      </c>
      <c r="U4" s="7" t="s">
        <v>188</v>
      </c>
      <c r="V4" s="7" t="s">
        <v>169</v>
      </c>
      <c r="W4" s="7" t="s">
        <v>172</v>
      </c>
      <c r="X4" s="7" t="s">
        <v>199</v>
      </c>
      <c r="Y4" s="7" t="s">
        <v>189</v>
      </c>
      <c r="Z4" s="7" t="s">
        <v>275</v>
      </c>
      <c r="AA4" s="7" t="s">
        <v>206</v>
      </c>
      <c r="AB4" s="7" t="s">
        <v>174</v>
      </c>
      <c r="AC4" s="7" t="s">
        <v>191</v>
      </c>
      <c r="AD4" s="7" t="s">
        <v>175</v>
      </c>
      <c r="AE4" s="7" t="s">
        <v>256</v>
      </c>
      <c r="AF4" s="7" t="s">
        <v>178</v>
      </c>
      <c r="AG4" s="7" t="s">
        <v>257</v>
      </c>
      <c r="AH4" s="7" t="s">
        <v>181</v>
      </c>
    </row>
    <row r="5" customHeight="1" spans="2:34">
      <c r="B5" s="27">
        <v>7</v>
      </c>
      <c r="C5" s="1">
        <v>0.3</v>
      </c>
      <c r="D5" s="1">
        <v>0.5</v>
      </c>
      <c r="E5" s="1" t="s">
        <v>101</v>
      </c>
      <c r="F5" s="1" t="s">
        <v>102</v>
      </c>
      <c r="G5" s="1">
        <v>100</v>
      </c>
      <c r="H5" s="1">
        <v>0.02</v>
      </c>
      <c r="I5" s="1">
        <v>0.075</v>
      </c>
      <c r="J5" s="1">
        <v>0.01</v>
      </c>
      <c r="K5" s="1">
        <v>0.02</v>
      </c>
      <c r="L5" s="1">
        <v>0.02</v>
      </c>
      <c r="M5" s="1">
        <v>0.02</v>
      </c>
      <c r="N5" s="1">
        <v>0.02</v>
      </c>
      <c r="O5" s="1">
        <v>0.02</v>
      </c>
      <c r="P5" s="1">
        <v>0.02</v>
      </c>
      <c r="Q5" s="1">
        <v>0.02</v>
      </c>
      <c r="R5" s="1">
        <v>0.02</v>
      </c>
      <c r="S5" s="1">
        <v>0.03</v>
      </c>
      <c r="T5" s="1">
        <v>0.02</v>
      </c>
      <c r="U5" s="1">
        <v>0.02</v>
      </c>
      <c r="V5" s="1" t="s">
        <v>276</v>
      </c>
      <c r="W5" s="1">
        <v>5000</v>
      </c>
      <c r="X5" s="1">
        <v>0.02</v>
      </c>
      <c r="Y5" s="1">
        <v>0.02</v>
      </c>
      <c r="Z5" s="1" t="s">
        <v>277</v>
      </c>
      <c r="AA5" s="1">
        <v>0.3</v>
      </c>
      <c r="AB5" s="1">
        <v>0.02</v>
      </c>
      <c r="AC5" s="1">
        <v>0.02</v>
      </c>
      <c r="AD5" s="1">
        <v>300</v>
      </c>
      <c r="AE5" s="1">
        <v>0.02</v>
      </c>
      <c r="AF5" s="1">
        <v>50</v>
      </c>
      <c r="AG5" s="1">
        <v>1</v>
      </c>
      <c r="AH5" s="1">
        <v>300</v>
      </c>
    </row>
    <row r="6" customHeight="1" spans="2:34">
      <c r="B6" s="27">
        <v>265</v>
      </c>
      <c r="C6" s="1">
        <v>0.2</v>
      </c>
      <c r="D6" s="1">
        <v>1</v>
      </c>
      <c r="E6" s="1" t="s">
        <v>120</v>
      </c>
      <c r="F6" s="1" t="s">
        <v>102</v>
      </c>
      <c r="G6" s="1">
        <v>100</v>
      </c>
      <c r="H6" s="1">
        <v>0.03</v>
      </c>
      <c r="I6" s="1">
        <v>0.08</v>
      </c>
      <c r="J6" s="1">
        <v>0.02</v>
      </c>
      <c r="K6" s="1">
        <v>0.03</v>
      </c>
      <c r="L6" s="1">
        <v>0.03</v>
      </c>
      <c r="M6" s="1">
        <v>0.03</v>
      </c>
      <c r="N6" s="1">
        <v>0.03</v>
      </c>
      <c r="O6" s="1">
        <v>0.03</v>
      </c>
      <c r="P6" s="1">
        <v>0.03</v>
      </c>
      <c r="Q6" s="1">
        <v>0.03</v>
      </c>
      <c r="R6" s="1">
        <v>0.03</v>
      </c>
      <c r="S6" s="1">
        <v>0.02</v>
      </c>
      <c r="T6" s="1">
        <v>0.03</v>
      </c>
      <c r="U6" s="1">
        <v>0.03</v>
      </c>
      <c r="V6" s="1" t="s">
        <v>276</v>
      </c>
      <c r="W6" s="1">
        <v>6000</v>
      </c>
      <c r="X6" s="1">
        <v>0.03</v>
      </c>
      <c r="Y6" s="1">
        <v>0.03</v>
      </c>
      <c r="Z6" s="1" t="s">
        <v>277</v>
      </c>
      <c r="AA6" s="1">
        <v>0.1</v>
      </c>
      <c r="AB6" s="1">
        <v>0.03</v>
      </c>
      <c r="AC6" s="1">
        <v>0.03</v>
      </c>
      <c r="AD6" s="1">
        <v>310</v>
      </c>
      <c r="AE6" s="1">
        <v>0.03</v>
      </c>
      <c r="AF6" s="1">
        <v>50</v>
      </c>
      <c r="AG6" s="1">
        <v>1</v>
      </c>
      <c r="AH6" s="1">
        <v>250</v>
      </c>
    </row>
    <row r="7" customHeight="1" spans="2:34">
      <c r="B7" s="27">
        <v>338</v>
      </c>
      <c r="C7" s="1">
        <v>0.5</v>
      </c>
      <c r="D7" s="1">
        <v>1</v>
      </c>
      <c r="E7" s="1" t="s">
        <v>145</v>
      </c>
      <c r="F7" s="1" t="s">
        <v>102</v>
      </c>
      <c r="G7" s="1">
        <v>100</v>
      </c>
      <c r="H7" s="1">
        <v>0.05</v>
      </c>
      <c r="I7" s="1">
        <v>0.06</v>
      </c>
      <c r="J7" s="1">
        <v>0.03</v>
      </c>
      <c r="K7" s="1">
        <v>0.02</v>
      </c>
      <c r="L7" s="1">
        <v>0.02</v>
      </c>
      <c r="M7" s="1">
        <v>0.02</v>
      </c>
      <c r="N7" s="1">
        <v>0.02</v>
      </c>
      <c r="O7" s="1">
        <v>0.02</v>
      </c>
      <c r="P7" s="1">
        <v>0.02</v>
      </c>
      <c r="Q7" s="1">
        <v>0.02</v>
      </c>
      <c r="R7" s="1">
        <v>0.02</v>
      </c>
      <c r="S7" s="1">
        <v>0.2</v>
      </c>
      <c r="T7" s="1">
        <v>0.02</v>
      </c>
      <c r="U7" s="1">
        <v>0.02</v>
      </c>
      <c r="V7" s="1" t="s">
        <v>276</v>
      </c>
      <c r="W7" s="1">
        <v>5000</v>
      </c>
      <c r="X7" s="1">
        <v>0.02</v>
      </c>
      <c r="Y7" s="1">
        <v>0.02</v>
      </c>
      <c r="Z7" s="1" t="s">
        <v>277</v>
      </c>
      <c r="AA7" s="1">
        <v>0.1</v>
      </c>
      <c r="AB7" s="1">
        <v>0.02</v>
      </c>
      <c r="AC7" s="1">
        <v>0.02</v>
      </c>
      <c r="AD7" s="1">
        <v>250</v>
      </c>
      <c r="AE7" s="1">
        <v>0.02</v>
      </c>
      <c r="AF7" s="1">
        <v>50</v>
      </c>
      <c r="AG7" s="1">
        <v>1</v>
      </c>
      <c r="AH7" s="1">
        <v>200</v>
      </c>
    </row>
    <row r="8" customHeight="1" spans="2:34">
      <c r="B8" s="27">
        <v>339</v>
      </c>
      <c r="C8" s="1">
        <v>0.2</v>
      </c>
      <c r="D8" s="1">
        <v>0.15</v>
      </c>
      <c r="E8" s="1" t="s">
        <v>235</v>
      </c>
      <c r="F8" s="1" t="s">
        <v>102</v>
      </c>
      <c r="G8" s="1">
        <v>100</v>
      </c>
      <c r="H8" s="1">
        <v>0.03</v>
      </c>
      <c r="I8" s="1">
        <v>0.05</v>
      </c>
      <c r="J8" s="1">
        <v>0.02</v>
      </c>
      <c r="K8" s="1">
        <v>0.04</v>
      </c>
      <c r="L8" s="1">
        <v>0.04</v>
      </c>
      <c r="M8" s="1">
        <v>0.04</v>
      </c>
      <c r="N8" s="1">
        <v>0.04</v>
      </c>
      <c r="O8" s="1">
        <v>0.04</v>
      </c>
      <c r="P8" s="1">
        <v>0.04</v>
      </c>
      <c r="Q8" s="1">
        <v>0.04</v>
      </c>
      <c r="R8" s="1">
        <v>0.04</v>
      </c>
      <c r="S8" s="1">
        <v>0.03</v>
      </c>
      <c r="T8" s="1">
        <v>0.04</v>
      </c>
      <c r="U8" s="1">
        <v>0.04</v>
      </c>
      <c r="V8" s="1" t="s">
        <v>276</v>
      </c>
      <c r="W8" s="1">
        <v>5500</v>
      </c>
      <c r="X8" s="1">
        <v>0.04</v>
      </c>
      <c r="Y8" s="1">
        <v>0.04</v>
      </c>
      <c r="Z8" s="1" t="s">
        <v>277</v>
      </c>
      <c r="AA8" s="1">
        <v>0.2</v>
      </c>
      <c r="AB8" s="1">
        <v>0.04</v>
      </c>
      <c r="AC8" s="1">
        <v>0.04</v>
      </c>
      <c r="AD8" s="1">
        <v>230</v>
      </c>
      <c r="AE8" s="1">
        <v>0.04</v>
      </c>
      <c r="AF8" s="1">
        <v>50</v>
      </c>
      <c r="AG8" s="1">
        <v>1</v>
      </c>
      <c r="AH8" s="1">
        <v>300</v>
      </c>
    </row>
    <row r="9" customHeight="1" spans="2:34">
      <c r="B9" s="27">
        <v>345</v>
      </c>
      <c r="C9" s="1">
        <v>0.2</v>
      </c>
      <c r="D9" s="1">
        <v>0.02</v>
      </c>
      <c r="E9" s="1" t="s">
        <v>120</v>
      </c>
      <c r="F9" s="1" t="s">
        <v>102</v>
      </c>
      <c r="G9" s="1">
        <v>100</v>
      </c>
      <c r="H9" s="1">
        <v>0.03</v>
      </c>
      <c r="I9" s="1">
        <v>0.01</v>
      </c>
      <c r="J9" s="1">
        <v>0.01</v>
      </c>
      <c r="K9" s="1">
        <v>0.02</v>
      </c>
      <c r="L9" s="1">
        <v>0.02</v>
      </c>
      <c r="M9" s="1">
        <v>0.02</v>
      </c>
      <c r="N9" s="1">
        <v>0.02</v>
      </c>
      <c r="O9" s="1">
        <v>0.02</v>
      </c>
      <c r="P9" s="1">
        <v>0.02</v>
      </c>
      <c r="Q9" s="1">
        <v>0.02</v>
      </c>
      <c r="R9" s="1">
        <v>0.02</v>
      </c>
      <c r="S9" s="1">
        <v>0.02</v>
      </c>
      <c r="T9" s="1">
        <v>0.02</v>
      </c>
      <c r="U9" s="1">
        <v>0.02</v>
      </c>
      <c r="V9" s="1" t="s">
        <v>276</v>
      </c>
      <c r="W9" s="1">
        <v>4000</v>
      </c>
      <c r="X9" s="1">
        <v>0.02</v>
      </c>
      <c r="Y9" s="1">
        <v>0.02</v>
      </c>
      <c r="Z9" s="1" t="s">
        <v>277</v>
      </c>
      <c r="AA9" s="1">
        <v>0.1</v>
      </c>
      <c r="AB9" s="1">
        <v>0.02</v>
      </c>
      <c r="AC9" s="1">
        <v>0.02</v>
      </c>
      <c r="AD9" s="1">
        <v>200</v>
      </c>
      <c r="AE9" s="1">
        <v>0.02</v>
      </c>
      <c r="AF9" s="1">
        <v>50</v>
      </c>
      <c r="AG9" s="1">
        <v>1</v>
      </c>
      <c r="AH9" s="1">
        <v>200</v>
      </c>
    </row>
    <row r="10" customHeight="1" spans="2:34">
      <c r="B10" s="27">
        <v>351</v>
      </c>
      <c r="C10" s="1">
        <v>0.3</v>
      </c>
      <c r="D10" s="1">
        <v>0.5</v>
      </c>
      <c r="E10" s="1" t="s">
        <v>278</v>
      </c>
      <c r="F10" s="1" t="s">
        <v>102</v>
      </c>
      <c r="G10" s="1">
        <v>100</v>
      </c>
      <c r="H10" s="1">
        <v>0.05</v>
      </c>
      <c r="I10" s="1">
        <v>1</v>
      </c>
      <c r="AB10" s="1">
        <v>0.03</v>
      </c>
      <c r="AH10" s="1">
        <v>200</v>
      </c>
    </row>
    <row r="11" customHeight="1" spans="2:34">
      <c r="B11" s="27">
        <v>362</v>
      </c>
      <c r="C11" s="1">
        <v>0.4</v>
      </c>
      <c r="D11" s="1">
        <v>0.1</v>
      </c>
      <c r="E11" s="1" t="s">
        <v>279</v>
      </c>
      <c r="F11" s="1" t="s">
        <v>276</v>
      </c>
      <c r="G11" s="1">
        <v>100</v>
      </c>
      <c r="H11" s="1">
        <v>1</v>
      </c>
      <c r="I11" s="1">
        <v>0.3</v>
      </c>
      <c r="J11" s="1">
        <v>0.01</v>
      </c>
      <c r="K11" s="1">
        <v>0.01</v>
      </c>
      <c r="L11" s="1">
        <v>0.01</v>
      </c>
      <c r="M11" s="1">
        <v>0.01</v>
      </c>
      <c r="N11" s="1">
        <v>0.01</v>
      </c>
      <c r="O11" s="1">
        <v>0.2</v>
      </c>
      <c r="P11" s="1">
        <v>0.2</v>
      </c>
      <c r="Q11" s="1">
        <v>0.2</v>
      </c>
      <c r="R11" s="1">
        <v>0.2</v>
      </c>
      <c r="S11" s="1">
        <v>0.01</v>
      </c>
      <c r="T11" s="1">
        <v>0.01</v>
      </c>
      <c r="U11" s="1">
        <v>0.01</v>
      </c>
      <c r="V11" s="1" t="s">
        <v>276</v>
      </c>
      <c r="W11" s="1" t="s">
        <v>280</v>
      </c>
      <c r="X11" s="1">
        <v>0.2</v>
      </c>
      <c r="Y11" s="1">
        <v>0.2</v>
      </c>
      <c r="Z11" s="1">
        <v>6000</v>
      </c>
      <c r="AA11" s="1">
        <v>0.3</v>
      </c>
      <c r="AB11" s="1">
        <v>0.02</v>
      </c>
      <c r="AC11" s="1">
        <v>0.02</v>
      </c>
      <c r="AD11" s="1">
        <v>300</v>
      </c>
      <c r="AE11" s="1">
        <v>0.02</v>
      </c>
      <c r="AF11" s="1">
        <v>50</v>
      </c>
      <c r="AG11" s="1">
        <v>1</v>
      </c>
      <c r="AH11" s="1">
        <v>400</v>
      </c>
    </row>
    <row r="12" customHeight="1" spans="2:34">
      <c r="B12" s="27">
        <v>368</v>
      </c>
    </row>
    <row r="13" customHeight="1" spans="2:34">
      <c r="B13" s="27">
        <v>367</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7"/>
  <sheetViews>
    <sheetView showGridLines="0" workbookViewId="0">
      <pane ySplit="4" topLeftCell="A5" activePane="bottomLeft" state="frozen"/>
      <selection/>
      <selection pane="bottomLeft" activeCell="C11" sqref="C11"/>
    </sheetView>
  </sheetViews>
  <sheetFormatPr defaultColWidth="9" defaultRowHeight="20" customHeight="1" outlineLevelCol="7"/>
  <cols>
    <col min="1" max="1" width="4.625" style="27" customWidth="1"/>
    <col min="2" max="2" width="4.625" style="27" hidden="1" customWidth="1"/>
    <col min="3" max="3" width="12.625" style="1" customWidth="1"/>
    <col min="4" max="4" width="12.625" style="73" customWidth="1"/>
    <col min="5" max="5" width="20.25" style="1" customWidth="1"/>
    <col min="6" max="7" width="12.625" style="1" customWidth="1"/>
    <col min="8" max="8" width="19.75" style="1" customWidth="1"/>
    <col min="9" max="16384" width="9" style="27"/>
  </cols>
  <sheetData>
    <row r="1" customFormat="1" ht="54.75" customHeight="1" spans="2:8">
      <c r="C1" s="27"/>
      <c r="D1" s="74"/>
      <c r="E1" s="48"/>
      <c r="F1" s="27"/>
      <c r="G1" s="27"/>
      <c r="H1" s="27"/>
    </row>
    <row r="2" customFormat="1" ht="40" customHeight="1" spans="2:8">
      <c r="C2" s="4" t="s">
        <v>281</v>
      </c>
      <c r="D2" s="74"/>
      <c r="E2" s="48"/>
      <c r="F2" s="27"/>
      <c r="G2" s="27"/>
      <c r="H2" s="27"/>
    </row>
    <row r="3" customFormat="1" ht="30" customHeight="1" spans="2:8">
      <c r="C3" s="27"/>
      <c r="D3" s="74"/>
      <c r="E3" s="48"/>
      <c r="F3" s="27"/>
      <c r="G3" s="27"/>
      <c r="H3" s="27"/>
    </row>
    <row r="4" customFormat="1" ht="30" customHeight="1" spans="2:8">
      <c r="C4" s="7" t="s">
        <v>282</v>
      </c>
      <c r="D4" s="75" t="s">
        <v>283</v>
      </c>
      <c r="E4" s="64" t="s">
        <v>210</v>
      </c>
      <c r="F4" s="7" t="s">
        <v>37</v>
      </c>
      <c r="G4" s="7" t="s">
        <v>284</v>
      </c>
      <c r="H4" s="7" t="s">
        <v>285</v>
      </c>
    </row>
    <row r="5" customHeight="1" spans="2:8">
      <c r="B5" s="27">
        <v>234</v>
      </c>
      <c r="C5" s="1" t="s">
        <v>63</v>
      </c>
      <c r="E5" s="1">
        <v>11630</v>
      </c>
      <c r="F5" s="1">
        <v>25</v>
      </c>
      <c r="G5" s="1">
        <v>990</v>
      </c>
      <c r="H5" s="1">
        <v>1755</v>
      </c>
    </row>
    <row r="6" customHeight="1" spans="2:8">
      <c r="B6" s="27">
        <v>235</v>
      </c>
      <c r="C6" s="1" t="s">
        <v>113</v>
      </c>
      <c r="D6" s="73">
        <v>45011</v>
      </c>
      <c r="E6" s="1">
        <v>-660</v>
      </c>
      <c r="F6" s="1">
        <v>26</v>
      </c>
      <c r="G6" s="1">
        <v>660</v>
      </c>
      <c r="H6" s="1">
        <v>1170</v>
      </c>
    </row>
    <row r="7" customHeight="1" spans="2:8">
      <c r="B7" s="27">
        <v>236</v>
      </c>
      <c r="C7" s="1" t="s">
        <v>45</v>
      </c>
      <c r="D7" s="73">
        <v>45029</v>
      </c>
      <c r="E7" s="1">
        <v>-550</v>
      </c>
      <c r="F7" s="1">
        <v>0</v>
      </c>
      <c r="G7" s="1">
        <v>550</v>
      </c>
      <c r="H7" s="1">
        <v>2500875</v>
      </c>
    </row>
    <row r="8" customHeight="1" spans="2:8">
      <c r="B8" s="27">
        <v>237</v>
      </c>
      <c r="C8" s="1" t="s">
        <v>42</v>
      </c>
      <c r="D8" s="73">
        <v>45005</v>
      </c>
      <c r="E8" s="1">
        <v>-650</v>
      </c>
      <c r="F8" s="1">
        <v>25</v>
      </c>
      <c r="G8" s="1">
        <v>330</v>
      </c>
      <c r="H8" s="1">
        <v>1500525</v>
      </c>
    </row>
    <row r="9" customHeight="1" spans="2:8">
      <c r="B9" s="27">
        <v>238</v>
      </c>
      <c r="C9" s="1" t="s">
        <v>128</v>
      </c>
      <c r="D9" s="73">
        <v>45028</v>
      </c>
      <c r="E9" s="1">
        <v>-550</v>
      </c>
      <c r="F9" s="1">
        <v>20</v>
      </c>
      <c r="G9" s="1">
        <v>550</v>
      </c>
      <c r="H9" s="1">
        <v>2500875</v>
      </c>
    </row>
    <row r="10" customHeight="1" spans="2:8">
      <c r="B10" s="27">
        <v>239</v>
      </c>
      <c r="C10" s="1" t="s">
        <v>47</v>
      </c>
      <c r="D10" s="73">
        <v>45046</v>
      </c>
      <c r="E10" s="1">
        <v>-550</v>
      </c>
      <c r="F10" s="1">
        <v>23</v>
      </c>
      <c r="G10" s="1">
        <v>550</v>
      </c>
      <c r="H10" s="1">
        <v>2500875</v>
      </c>
    </row>
    <row r="11" customHeight="1" spans="2:8">
      <c r="B11" s="27">
        <v>240</v>
      </c>
      <c r="C11" s="1" t="s">
        <v>48</v>
      </c>
      <c r="D11" s="73">
        <v>45032</v>
      </c>
      <c r="E11" s="1">
        <v>-650</v>
      </c>
      <c r="F11" s="1">
        <v>23</v>
      </c>
      <c r="G11" s="1">
        <v>330</v>
      </c>
      <c r="H11" s="1">
        <v>1500525</v>
      </c>
    </row>
    <row r="12" customHeight="1" spans="2:8">
      <c r="B12" s="27">
        <v>273</v>
      </c>
      <c r="C12" s="1" t="s">
        <v>53</v>
      </c>
      <c r="D12" s="73">
        <v>46029</v>
      </c>
      <c r="E12" s="1">
        <v>700</v>
      </c>
      <c r="F12" s="1">
        <v>22</v>
      </c>
      <c r="G12" s="1">
        <v>1100</v>
      </c>
      <c r="H12" s="1">
        <v>1950</v>
      </c>
    </row>
    <row r="13" customHeight="1" spans="2:8">
      <c r="B13" s="27">
        <v>275</v>
      </c>
      <c r="C13" s="1" t="s">
        <v>49</v>
      </c>
      <c r="D13" s="73">
        <v>46057</v>
      </c>
      <c r="E13" s="1">
        <v>5550</v>
      </c>
      <c r="G13" s="1">
        <v>550</v>
      </c>
      <c r="H13" s="1">
        <v>975</v>
      </c>
    </row>
    <row r="14" customHeight="1" spans="2:8">
      <c r="B14" s="27">
        <v>276</v>
      </c>
      <c r="C14" s="1" t="s">
        <v>63</v>
      </c>
      <c r="D14" s="73">
        <v>46057</v>
      </c>
      <c r="G14" s="1">
        <v>0</v>
      </c>
      <c r="H14" s="1">
        <v>0</v>
      </c>
    </row>
    <row r="15" customHeight="1" spans="2:8">
      <c r="B15" s="27">
        <v>280</v>
      </c>
      <c r="C15" s="1" t="s">
        <v>134</v>
      </c>
      <c r="D15" s="73">
        <v>46057</v>
      </c>
      <c r="E15" s="1">
        <v>6290</v>
      </c>
      <c r="G15" s="1">
        <v>330</v>
      </c>
      <c r="H15" s="1">
        <v>585.000015258789</v>
      </c>
    </row>
    <row r="16" customHeight="1" spans="2:8">
      <c r="B16" s="27">
        <v>281</v>
      </c>
      <c r="C16" s="1" t="s">
        <v>134</v>
      </c>
      <c r="D16" s="73">
        <v>46057</v>
      </c>
      <c r="E16" s="1">
        <v>6290</v>
      </c>
      <c r="G16" s="1">
        <v>330</v>
      </c>
      <c r="H16" s="1">
        <v>585.000015258789</v>
      </c>
    </row>
    <row r="17" customHeight="1" spans="2:8">
      <c r="B17" s="27">
        <v>289</v>
      </c>
      <c r="C17" s="1" t="s">
        <v>128</v>
      </c>
      <c r="D17" s="73">
        <v>46062</v>
      </c>
      <c r="G17" s="1">
        <v>0</v>
      </c>
      <c r="H17"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23"/>
  <sheetViews>
    <sheetView showGridLines="0" workbookViewId="0">
      <pane ySplit="4" topLeftCell="A17" activePane="bottomLeft" state="frozen"/>
      <selection/>
      <selection pane="bottomLeft" activeCell="H21" sqref="H21"/>
    </sheetView>
  </sheetViews>
  <sheetFormatPr defaultColWidth="9" defaultRowHeight="20" customHeight="1"/>
  <cols>
    <col min="1" max="1" width="4.5" style="27" customWidth="1"/>
    <col min="2" max="2" width="4.625" style="27" hidden="1" customWidth="1"/>
    <col min="3" max="8" width="12.625" style="1" customWidth="1"/>
    <col min="9" max="9" width="12.625" style="73" customWidth="1"/>
    <col min="10" max="16384" width="9" style="27"/>
  </cols>
  <sheetData>
    <row r="1" customFormat="1" ht="54.75" customHeight="1" spans="2:9">
      <c r="C1" s="27"/>
      <c r="D1" s="27"/>
      <c r="E1" s="27"/>
      <c r="F1" s="27"/>
      <c r="G1" s="27"/>
      <c r="H1" s="27"/>
      <c r="I1" s="74"/>
    </row>
    <row r="2" customFormat="1" ht="40" customHeight="1" spans="2:9">
      <c r="C2" s="4" t="s">
        <v>286</v>
      </c>
      <c r="D2" s="27"/>
      <c r="E2" s="27"/>
      <c r="F2" s="27"/>
      <c r="G2" s="27"/>
      <c r="H2" s="27"/>
      <c r="I2" s="74"/>
    </row>
    <row r="3" customFormat="1" ht="30" customHeight="1" spans="2:9">
      <c r="C3" s="27"/>
      <c r="D3" s="27"/>
      <c r="E3" s="27"/>
      <c r="F3" s="27"/>
      <c r="G3" s="27"/>
      <c r="H3" s="27"/>
      <c r="I3" s="74"/>
    </row>
    <row r="4" customFormat="1" ht="30" customHeight="1" spans="2:9">
      <c r="C4" s="7" t="s">
        <v>210</v>
      </c>
      <c r="D4" s="7" t="s">
        <v>284</v>
      </c>
      <c r="E4" s="7" t="s">
        <v>285</v>
      </c>
      <c r="F4" s="7" t="s">
        <v>287</v>
      </c>
      <c r="G4" s="7" t="s">
        <v>37</v>
      </c>
      <c r="H4" s="7" t="s">
        <v>288</v>
      </c>
      <c r="I4" s="75" t="s">
        <v>289</v>
      </c>
    </row>
    <row r="5" s="27" customFormat="1" customHeight="1" spans="2:9">
      <c r="B5" s="27">
        <v>21</v>
      </c>
      <c r="C5" s="1">
        <v>236270</v>
      </c>
      <c r="D5" s="1">
        <v>243270</v>
      </c>
      <c r="E5" s="1">
        <v>441855</v>
      </c>
      <c r="F5" s="1">
        <v>1</v>
      </c>
      <c r="G5" s="1">
        <v>25</v>
      </c>
      <c r="H5" s="1" t="s">
        <v>113</v>
      </c>
      <c r="I5" s="73">
        <v>45043</v>
      </c>
    </row>
    <row r="6" customHeight="1" spans="2:9">
      <c r="B6" s="27">
        <v>22</v>
      </c>
      <c r="C6" s="1">
        <v>3000</v>
      </c>
      <c r="D6" s="1">
        <v>0</v>
      </c>
      <c r="E6" s="1">
        <v>3000</v>
      </c>
      <c r="F6" s="1">
        <v>1</v>
      </c>
      <c r="G6" s="1">
        <v>25</v>
      </c>
      <c r="H6" s="1" t="s">
        <v>63</v>
      </c>
      <c r="I6" s="73">
        <v>45042</v>
      </c>
    </row>
    <row r="7" customHeight="1" spans="2:9">
      <c r="B7" s="27">
        <v>23</v>
      </c>
      <c r="C7" s="1">
        <v>3000</v>
      </c>
      <c r="D7" s="1">
        <v>100</v>
      </c>
      <c r="E7" s="1">
        <v>2900</v>
      </c>
      <c r="F7" s="1">
        <v>1</v>
      </c>
      <c r="G7" s="1">
        <v>22</v>
      </c>
      <c r="H7" s="1" t="s">
        <v>47</v>
      </c>
      <c r="I7" s="73">
        <v>45044</v>
      </c>
    </row>
    <row r="8" customHeight="1" spans="2:9">
      <c r="B8" s="27">
        <v>24</v>
      </c>
      <c r="C8" s="1">
        <v>6000</v>
      </c>
      <c r="D8" s="1">
        <v>200</v>
      </c>
      <c r="E8" s="1">
        <v>5800</v>
      </c>
      <c r="F8" s="1">
        <v>1</v>
      </c>
      <c r="G8" s="1">
        <v>22</v>
      </c>
      <c r="H8" s="1" t="s">
        <v>45</v>
      </c>
      <c r="I8" s="73">
        <v>45041</v>
      </c>
    </row>
    <row r="9" customHeight="1" spans="2:9">
      <c r="B9" s="27">
        <v>25</v>
      </c>
      <c r="C9" s="1">
        <v>10000</v>
      </c>
      <c r="D9" s="1">
        <v>0</v>
      </c>
      <c r="E9" s="1">
        <v>10000</v>
      </c>
      <c r="F9" s="1">
        <v>1</v>
      </c>
      <c r="G9" s="1">
        <v>21</v>
      </c>
      <c r="H9" s="1" t="s">
        <v>48</v>
      </c>
      <c r="I9" s="73">
        <v>45041</v>
      </c>
    </row>
    <row r="10" customHeight="1" spans="2:9">
      <c r="B10" s="27">
        <v>26</v>
      </c>
      <c r="C10" s="1">
        <v>8000</v>
      </c>
      <c r="D10" s="1">
        <v>30</v>
      </c>
      <c r="E10" s="1">
        <v>7970</v>
      </c>
      <c r="F10" s="1">
        <v>1</v>
      </c>
      <c r="G10" s="1">
        <v>22</v>
      </c>
      <c r="H10" s="1" t="s">
        <v>42</v>
      </c>
      <c r="I10" s="73">
        <v>45041</v>
      </c>
    </row>
    <row r="11" customHeight="1" spans="2:9">
      <c r="B11" s="27">
        <v>27</v>
      </c>
      <c r="C11" s="1">
        <v>7800</v>
      </c>
      <c r="D11" s="1">
        <v>300</v>
      </c>
      <c r="E11" s="1">
        <v>7500</v>
      </c>
      <c r="F11" s="1">
        <v>1</v>
      </c>
      <c r="G11" s="1">
        <v>22</v>
      </c>
      <c r="H11" s="1" t="s">
        <v>128</v>
      </c>
      <c r="I11" s="73">
        <v>45035</v>
      </c>
    </row>
    <row r="12" customHeight="1" spans="2:9">
      <c r="B12" s="27">
        <v>28</v>
      </c>
      <c r="C12" s="1">
        <v>6000</v>
      </c>
      <c r="D12" s="1">
        <v>70</v>
      </c>
      <c r="E12" s="1">
        <v>5930</v>
      </c>
      <c r="F12" s="1">
        <v>1</v>
      </c>
      <c r="G12" s="1">
        <v>22</v>
      </c>
      <c r="H12" s="1" t="s">
        <v>49</v>
      </c>
      <c r="I12" s="73">
        <v>45045</v>
      </c>
    </row>
    <row r="13" customHeight="1" spans="2:9">
      <c r="B13" s="27">
        <v>29</v>
      </c>
      <c r="C13" s="1">
        <v>7500</v>
      </c>
      <c r="D13" s="1">
        <v>500</v>
      </c>
      <c r="E13" s="1">
        <v>7000</v>
      </c>
      <c r="F13" s="1">
        <v>1</v>
      </c>
      <c r="G13" s="1">
        <v>22</v>
      </c>
      <c r="H13" s="1" t="s">
        <v>50</v>
      </c>
      <c r="I13" s="73">
        <v>45027</v>
      </c>
    </row>
    <row r="14" customHeight="1" spans="2:9">
      <c r="B14" s="27">
        <v>44</v>
      </c>
      <c r="C14" s="1">
        <v>284770</v>
      </c>
      <c r="D14" s="1">
        <v>250370</v>
      </c>
      <c r="E14" s="1">
        <v>468685</v>
      </c>
      <c r="F14" s="1">
        <v>7</v>
      </c>
      <c r="G14" s="1">
        <v>142</v>
      </c>
      <c r="H14" s="1" t="s">
        <v>113</v>
      </c>
      <c r="I14" s="73">
        <v>45211</v>
      </c>
    </row>
    <row r="15" customHeight="1" spans="2:9">
      <c r="B15" s="27">
        <v>46</v>
      </c>
      <c r="C15" s="1">
        <v>4473.2</v>
      </c>
      <c r="D15" s="1">
        <v>385</v>
      </c>
      <c r="E15" s="1">
        <v>682.5</v>
      </c>
      <c r="F15" s="1">
        <v>2</v>
      </c>
      <c r="G15" s="1">
        <v>30</v>
      </c>
      <c r="H15" s="1" t="s">
        <v>64</v>
      </c>
      <c r="I15" s="73">
        <v>45564</v>
      </c>
    </row>
    <row r="16" customHeight="1" spans="2:9">
      <c r="B16" s="27">
        <v>47</v>
      </c>
      <c r="C16" s="1">
        <v>2625.9</v>
      </c>
      <c r="D16" s="1">
        <v>5225</v>
      </c>
      <c r="E16" s="1">
        <v>15008662.5</v>
      </c>
      <c r="F16" s="1">
        <v>9</v>
      </c>
      <c r="G16" s="1">
        <v>172</v>
      </c>
      <c r="H16" s="1" t="s">
        <v>290</v>
      </c>
      <c r="I16" s="73">
        <v>45181</v>
      </c>
    </row>
    <row r="17" customHeight="1" spans="2:9">
      <c r="B17" s="27">
        <v>48</v>
      </c>
      <c r="C17" s="1">
        <v>1000</v>
      </c>
      <c r="D17" s="1">
        <v>550</v>
      </c>
      <c r="E17" s="1">
        <v>2500875</v>
      </c>
      <c r="F17" s="1">
        <v>1</v>
      </c>
      <c r="G17" s="1">
        <v>20</v>
      </c>
      <c r="H17" s="1" t="s">
        <v>64</v>
      </c>
      <c r="I17" s="73">
        <v>45564</v>
      </c>
    </row>
    <row r="18" customHeight="1" spans="2:9">
      <c r="B18" s="27">
        <v>49</v>
      </c>
      <c r="C18" s="1">
        <v>5590</v>
      </c>
      <c r="D18" s="1">
        <v>4950</v>
      </c>
      <c r="E18" s="1">
        <v>15008175</v>
      </c>
      <c r="F18" s="1">
        <v>8</v>
      </c>
      <c r="G18" s="1">
        <v>142</v>
      </c>
      <c r="H18" s="1" t="s">
        <v>64</v>
      </c>
      <c r="I18" s="73">
        <v>45565</v>
      </c>
    </row>
    <row r="19" customHeight="1" spans="2:9">
      <c r="B19" s="27">
        <v>50</v>
      </c>
      <c r="C19" s="1">
        <v>5590</v>
      </c>
      <c r="D19" s="1">
        <v>4950</v>
      </c>
      <c r="E19" s="1">
        <v>1.500817507</v>
      </c>
      <c r="F19" s="1">
        <v>13</v>
      </c>
      <c r="G19" s="1">
        <v>30</v>
      </c>
      <c r="H19" s="1" t="s">
        <v>113</v>
      </c>
      <c r="I19" s="73">
        <v>45596</v>
      </c>
    </row>
    <row r="20" customHeight="1" spans="2:9">
      <c r="B20" s="27">
        <v>60</v>
      </c>
      <c r="C20" s="1">
        <v>7030</v>
      </c>
      <c r="D20" s="1">
        <v>4950</v>
      </c>
      <c r="E20" s="76">
        <v>15008175</v>
      </c>
      <c r="F20" s="1">
        <v>8</v>
      </c>
      <c r="G20" s="1">
        <v>7030</v>
      </c>
      <c r="H20" s="1" t="s">
        <v>113</v>
      </c>
      <c r="I20" s="73">
        <v>45991</v>
      </c>
    </row>
    <row r="21" customHeight="1" spans="2:9">
      <c r="B21" s="27">
        <v>66</v>
      </c>
      <c r="C21" s="1">
        <v>26850</v>
      </c>
      <c r="D21" s="1">
        <v>6945</v>
      </c>
      <c r="E21" s="1">
        <v>10510695.0000305</v>
      </c>
      <c r="F21" s="1">
        <v>13</v>
      </c>
      <c r="G21" s="1">
        <v>164</v>
      </c>
      <c r="H21" s="1" t="s">
        <v>70</v>
      </c>
      <c r="I21" s="73">
        <v>46062</v>
      </c>
    </row>
    <row r="22" customHeight="1" spans="2:9">
      <c r="B22" s="27">
        <v>67</v>
      </c>
      <c r="C22" s="1">
        <v>700</v>
      </c>
      <c r="D22" s="1">
        <v>1100</v>
      </c>
      <c r="E22" s="1">
        <v>1950</v>
      </c>
      <c r="F22" s="1">
        <v>2</v>
      </c>
      <c r="G22" s="1">
        <v>0</v>
      </c>
      <c r="H22" s="1" t="s">
        <v>58</v>
      </c>
      <c r="I22" s="73">
        <v>46066</v>
      </c>
    </row>
    <row r="23" customHeight="1" spans="2:9">
      <c r="B23" s="27">
        <v>68</v>
      </c>
      <c r="C23" s="1">
        <v>18830</v>
      </c>
      <c r="D23" s="1">
        <v>2310</v>
      </c>
      <c r="E23" s="1">
        <v>4095.00003051758</v>
      </c>
      <c r="F23" s="1">
        <v>6</v>
      </c>
      <c r="G23" s="1">
        <v>0</v>
      </c>
      <c r="H23" s="1" t="s">
        <v>291</v>
      </c>
      <c r="I23" s="73">
        <v>46066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7"/>
  <sheetViews>
    <sheetView showGridLines="0" workbookViewId="0">
      <pane ySplit="4" topLeftCell="A20" activePane="bottomLeft" state="frozen"/>
      <selection/>
      <selection pane="bottomLeft" activeCell="E13" sqref="E13"/>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292</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293</v>
      </c>
      <c r="E4" s="64" t="s">
        <v>294</v>
      </c>
      <c r="F4" s="64" t="s">
        <v>258</v>
      </c>
      <c r="G4" s="7" t="s">
        <v>295</v>
      </c>
      <c r="H4" s="7" t="s">
        <v>296</v>
      </c>
      <c r="I4" s="7" t="s">
        <v>297</v>
      </c>
      <c r="J4" s="7" t="s">
        <v>298</v>
      </c>
      <c r="K4" s="7" t="s">
        <v>299</v>
      </c>
    </row>
    <row r="5" customHeight="1" spans="2:11">
      <c r="B5">
        <v>234</v>
      </c>
      <c r="C5" s="1" t="s">
        <v>63</v>
      </c>
      <c r="D5" s="62" t="s">
        <v>300</v>
      </c>
      <c r="E5" s="63" t="s">
        <v>104</v>
      </c>
      <c r="F5" s="63" t="s">
        <v>260</v>
      </c>
      <c r="G5" s="1">
        <v>9000</v>
      </c>
      <c r="H5" s="1">
        <v>441855</v>
      </c>
      <c r="I5" s="1">
        <v>117000</v>
      </c>
      <c r="J5" s="1">
        <v>36000</v>
      </c>
      <c r="K5" s="1">
        <v>6</v>
      </c>
    </row>
    <row r="6" customHeight="1" spans="2:11">
      <c r="B6">
        <v>235</v>
      </c>
      <c r="C6" s="1" t="s">
        <v>113</v>
      </c>
      <c r="D6" s="62" t="s">
        <v>300</v>
      </c>
      <c r="E6" s="63" t="s">
        <v>116</v>
      </c>
      <c r="F6" s="63" t="s">
        <v>260</v>
      </c>
      <c r="G6" s="1">
        <v>6000</v>
      </c>
      <c r="H6" s="1">
        <v>10000</v>
      </c>
      <c r="I6" s="1">
        <v>0</v>
      </c>
      <c r="J6" s="1">
        <v>400</v>
      </c>
      <c r="K6" s="1">
        <v>6</v>
      </c>
    </row>
    <row r="7" customHeight="1" spans="2:11">
      <c r="B7">
        <v>236</v>
      </c>
      <c r="C7" s="1" t="s">
        <v>45</v>
      </c>
      <c r="D7" s="62" t="s">
        <v>300</v>
      </c>
      <c r="E7" s="63" t="s">
        <v>227</v>
      </c>
      <c r="F7" s="63" t="s">
        <v>260</v>
      </c>
      <c r="G7" s="1">
        <v>5000</v>
      </c>
      <c r="H7" s="1">
        <v>9000</v>
      </c>
      <c r="I7" s="1">
        <v>0</v>
      </c>
      <c r="J7" s="1">
        <v>360</v>
      </c>
    </row>
    <row r="8" customHeight="1" spans="2:11">
      <c r="B8">
        <v>237</v>
      </c>
      <c r="C8" s="1" t="s">
        <v>42</v>
      </c>
      <c r="D8" s="62" t="s">
        <v>300</v>
      </c>
      <c r="E8" s="63" t="s">
        <v>122</v>
      </c>
      <c r="F8" s="63" t="s">
        <v>260</v>
      </c>
      <c r="G8" s="1">
        <v>3000</v>
      </c>
      <c r="H8" s="1">
        <v>8500</v>
      </c>
      <c r="I8" s="1">
        <v>0</v>
      </c>
      <c r="J8" s="1">
        <v>340</v>
      </c>
    </row>
    <row r="9" customHeight="1" spans="2:11">
      <c r="B9">
        <v>238</v>
      </c>
      <c r="C9" s="1" t="s">
        <v>128</v>
      </c>
      <c r="D9" s="62" t="s">
        <v>300</v>
      </c>
      <c r="E9" s="63" t="s">
        <v>130</v>
      </c>
      <c r="F9" s="63" t="s">
        <v>260</v>
      </c>
      <c r="G9" s="1">
        <v>5000</v>
      </c>
      <c r="H9" s="1">
        <v>9000</v>
      </c>
      <c r="I9" s="1">
        <v>0</v>
      </c>
      <c r="J9" s="1">
        <v>360</v>
      </c>
    </row>
    <row r="10" customHeight="1" spans="2:11">
      <c r="B10">
        <v>239</v>
      </c>
      <c r="C10" s="1" t="s">
        <v>47</v>
      </c>
      <c r="D10" s="62" t="s">
        <v>300</v>
      </c>
      <c r="E10" s="63" t="s">
        <v>263</v>
      </c>
      <c r="F10" s="63" t="s">
        <v>260</v>
      </c>
      <c r="G10" s="1">
        <v>5000</v>
      </c>
      <c r="H10" s="1">
        <v>5000</v>
      </c>
      <c r="I10" s="1">
        <v>0</v>
      </c>
      <c r="J10" s="1">
        <v>200</v>
      </c>
    </row>
    <row r="11" customHeight="1" spans="2:11">
      <c r="B11">
        <v>240</v>
      </c>
      <c r="C11" s="1" t="s">
        <v>48</v>
      </c>
      <c r="D11" s="62" t="s">
        <v>300</v>
      </c>
      <c r="E11" s="63" t="s">
        <v>141</v>
      </c>
      <c r="F11" s="63" t="s">
        <v>260</v>
      </c>
      <c r="G11" s="1">
        <v>3000</v>
      </c>
      <c r="H11" s="1">
        <v>7000</v>
      </c>
      <c r="I11" s="1">
        <v>1000</v>
      </c>
      <c r="J11" s="1">
        <v>280</v>
      </c>
    </row>
    <row r="12" customHeight="1" spans="2:11">
      <c r="B12">
        <v>273</v>
      </c>
      <c r="C12" s="1" t="s">
        <v>53</v>
      </c>
      <c r="D12" s="62" t="s">
        <v>300</v>
      </c>
      <c r="E12" s="63" t="s">
        <v>156</v>
      </c>
      <c r="F12" s="63" t="s">
        <v>265</v>
      </c>
      <c r="G12" s="1">
        <v>10000</v>
      </c>
      <c r="H12" s="1">
        <v>1950</v>
      </c>
      <c r="I12" s="1">
        <v>200</v>
      </c>
      <c r="J12" s="1">
        <v>200</v>
      </c>
    </row>
    <row r="13" customHeight="1" spans="2:11">
      <c r="B13">
        <v>275</v>
      </c>
      <c r="C13" s="1" t="s">
        <v>49</v>
      </c>
      <c r="D13" s="62" t="s">
        <v>300</v>
      </c>
      <c r="E13" s="63" t="s">
        <v>147</v>
      </c>
      <c r="G13" s="1">
        <v>5000</v>
      </c>
      <c r="H13" s="1">
        <v>975</v>
      </c>
      <c r="I13" s="1">
        <v>100</v>
      </c>
      <c r="J13" s="1">
        <v>100</v>
      </c>
      <c r="K13" s="1">
        <v>0.02</v>
      </c>
    </row>
    <row r="14" customHeight="1" spans="2:11">
      <c r="B14">
        <v>276</v>
      </c>
      <c r="C14" s="1" t="s">
        <v>63</v>
      </c>
      <c r="D14" s="62" t="s">
        <v>300</v>
      </c>
      <c r="E14" s="63" t="s">
        <v>104</v>
      </c>
      <c r="G14" s="1">
        <v>9000</v>
      </c>
      <c r="K14" s="1">
        <v>0.02</v>
      </c>
    </row>
    <row r="15" customHeight="1" spans="2:11">
      <c r="B15">
        <v>280</v>
      </c>
      <c r="C15" s="1" t="s">
        <v>134</v>
      </c>
      <c r="D15" s="62" t="s">
        <v>300</v>
      </c>
      <c r="E15" s="63" t="s">
        <v>136</v>
      </c>
      <c r="G15" s="1">
        <v>3000</v>
      </c>
      <c r="H15" s="1">
        <v>585.000015258789</v>
      </c>
      <c r="I15" s="1">
        <v>60</v>
      </c>
      <c r="J15" s="1">
        <v>60</v>
      </c>
      <c r="K15" s="1">
        <v>0.02</v>
      </c>
    </row>
    <row r="16" customHeight="1" spans="2:11">
      <c r="B16">
        <v>281</v>
      </c>
      <c r="C16" s="1" t="s">
        <v>134</v>
      </c>
      <c r="D16" s="62" t="s">
        <v>300</v>
      </c>
      <c r="E16" s="63" t="s">
        <v>136</v>
      </c>
      <c r="G16" s="1">
        <v>3000</v>
      </c>
      <c r="H16" s="1">
        <v>585.000015258789</v>
      </c>
      <c r="I16" s="1">
        <v>60</v>
      </c>
      <c r="J16" s="1">
        <v>60</v>
      </c>
      <c r="K16" s="1">
        <v>0.02</v>
      </c>
    </row>
    <row r="17" customHeight="1" spans="2:7">
      <c r="B17">
        <v>289</v>
      </c>
      <c r="C17" s="1" t="s">
        <v>128</v>
      </c>
      <c r="D17" s="62" t="s">
        <v>300</v>
      </c>
      <c r="E17" s="63" t="s">
        <v>130</v>
      </c>
      <c r="G17" s="1">
        <v>5000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E8" sqref="E8"/>
    </sheetView>
  </sheetViews>
  <sheetFormatPr defaultColWidth="9" defaultRowHeight="20" customHeight="1" outlineLevelRow="5"/>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301</v>
      </c>
    </row>
    <row r="3" s="27" customFormat="1" ht="30" customHeight="1"/>
    <row r="4" s="27" customFormat="1" ht="30" customHeight="1" spans="3:49">
      <c r="C4" s="7" t="s">
        <v>74</v>
      </c>
      <c r="D4" s="7" t="s">
        <v>302</v>
      </c>
      <c r="E4" s="7" t="s">
        <v>86</v>
      </c>
      <c r="F4" s="7" t="s">
        <v>87</v>
      </c>
      <c r="G4" s="7" t="s">
        <v>172</v>
      </c>
      <c r="H4" s="7" t="s">
        <v>173</v>
      </c>
      <c r="I4" s="7" t="s">
        <v>174</v>
      </c>
      <c r="J4" s="7" t="s">
        <v>175</v>
      </c>
      <c r="K4" s="7" t="s">
        <v>176</v>
      </c>
      <c r="L4" s="7" t="s">
        <v>177</v>
      </c>
      <c r="M4" s="7" t="s">
        <v>178</v>
      </c>
      <c r="N4" s="7" t="s">
        <v>179</v>
      </c>
      <c r="O4" s="7" t="s">
        <v>180</v>
      </c>
      <c r="P4" s="7" t="s">
        <v>181</v>
      </c>
      <c r="Q4" s="7" t="s">
        <v>41</v>
      </c>
      <c r="R4" s="7" t="s">
        <v>182</v>
      </c>
      <c r="S4" s="7" t="s">
        <v>183</v>
      </c>
      <c r="T4" s="7" t="s">
        <v>184</v>
      </c>
      <c r="U4" s="7" t="s">
        <v>185</v>
      </c>
      <c r="V4" s="7" t="s">
        <v>186</v>
      </c>
      <c r="W4" s="7" t="s">
        <v>187</v>
      </c>
      <c r="X4" s="7" t="s">
        <v>188</v>
      </c>
      <c r="Y4" s="7" t="s">
        <v>189</v>
      </c>
      <c r="Z4" s="7" t="s">
        <v>190</v>
      </c>
      <c r="AA4" s="7" t="s">
        <v>191</v>
      </c>
      <c r="AB4" s="7" t="s">
        <v>192</v>
      </c>
      <c r="AC4" s="7" t="s">
        <v>193</v>
      </c>
      <c r="AD4" s="7" t="s">
        <v>194</v>
      </c>
      <c r="AE4" s="7" t="s">
        <v>195</v>
      </c>
      <c r="AF4" s="7" t="s">
        <v>196</v>
      </c>
      <c r="AG4" s="7" t="s">
        <v>197</v>
      </c>
      <c r="AH4" s="7" t="s">
        <v>198</v>
      </c>
      <c r="AI4" s="7" t="s">
        <v>199</v>
      </c>
      <c r="AJ4" s="7" t="s">
        <v>200</v>
      </c>
      <c r="AK4" s="7" t="s">
        <v>201</v>
      </c>
      <c r="AL4" s="7" t="s">
        <v>202</v>
      </c>
      <c r="AM4" s="7" t="s">
        <v>255</v>
      </c>
      <c r="AN4" s="7" t="s">
        <v>195</v>
      </c>
      <c r="AO4" s="7" t="s">
        <v>196</v>
      </c>
      <c r="AP4" s="7" t="s">
        <v>203</v>
      </c>
      <c r="AQ4" s="7" t="s">
        <v>204</v>
      </c>
      <c r="AR4" s="7" t="s">
        <v>205</v>
      </c>
      <c r="AS4" s="7" t="s">
        <v>206</v>
      </c>
      <c r="AT4" s="7" t="s">
        <v>207</v>
      </c>
      <c r="AU4" s="7" t="s">
        <v>208</v>
      </c>
      <c r="AV4" s="7" t="s">
        <v>209</v>
      </c>
      <c r="AW4" s="7" t="s">
        <v>210</v>
      </c>
    </row>
    <row r="5" customHeight="1" spans="3:49">
      <c r="C5" s="1" t="s">
        <v>120</v>
      </c>
      <c r="D5" s="1">
        <v>3</v>
      </c>
      <c r="E5" s="1">
        <v>11000</v>
      </c>
      <c r="F5" s="1">
        <v>5400</v>
      </c>
      <c r="G5" s="1">
        <v>20500</v>
      </c>
      <c r="H5" s="1">
        <v>93210</v>
      </c>
      <c r="I5" s="1">
        <v>0</v>
      </c>
      <c r="J5" s="1">
        <v>0</v>
      </c>
      <c r="K5" s="1">
        <v>71</v>
      </c>
      <c r="L5" s="1">
        <v>111</v>
      </c>
      <c r="M5" s="1">
        <v>47730</v>
      </c>
      <c r="N5" s="1">
        <v>20500</v>
      </c>
      <c r="O5" s="1">
        <v>0</v>
      </c>
      <c r="P5" s="1">
        <v>0</v>
      </c>
      <c r="Q5" s="1">
        <v>4</v>
      </c>
      <c r="R5" s="1">
        <v>400</v>
      </c>
      <c r="S5" s="1">
        <v>-1855</v>
      </c>
      <c r="T5" s="1">
        <v>0.9</v>
      </c>
      <c r="U5" s="1">
        <v>0</v>
      </c>
      <c r="V5" s="1">
        <v>1.5</v>
      </c>
      <c r="W5" s="1">
        <v>0</v>
      </c>
      <c r="X5" s="1">
        <v>220</v>
      </c>
      <c r="Y5" s="1">
        <v>220</v>
      </c>
      <c r="Z5" s="1">
        <v>825</v>
      </c>
      <c r="AA5" s="1">
        <v>220</v>
      </c>
      <c r="AB5" s="1">
        <v>220</v>
      </c>
      <c r="AC5" s="1">
        <v>220</v>
      </c>
      <c r="AD5" s="1">
        <v>5500000</v>
      </c>
      <c r="AE5" s="1">
        <v>0</v>
      </c>
      <c r="AF5" s="1">
        <v>0</v>
      </c>
      <c r="AG5" s="1">
        <v>5501925</v>
      </c>
      <c r="AH5" s="1">
        <v>220</v>
      </c>
      <c r="AI5" s="1">
        <v>220</v>
      </c>
      <c r="AJ5" s="1">
        <v>220</v>
      </c>
      <c r="AK5" s="1">
        <v>110</v>
      </c>
      <c r="AL5" s="1">
        <v>220</v>
      </c>
      <c r="AM5" s="1">
        <v>220</v>
      </c>
      <c r="AN5" s="1">
        <v>0</v>
      </c>
      <c r="AO5" s="1">
        <v>0</v>
      </c>
      <c r="AP5" s="1">
        <v>17610</v>
      </c>
      <c r="AQ5" s="1">
        <v>16400</v>
      </c>
      <c r="AR5" s="1">
        <v>15760</v>
      </c>
      <c r="AS5" s="1">
        <v>0.2</v>
      </c>
      <c r="AT5" s="1">
        <v>0</v>
      </c>
      <c r="AU5" s="1">
        <v>640</v>
      </c>
      <c r="AV5" s="1">
        <v>60</v>
      </c>
      <c r="AW5" s="1">
        <v>-1850</v>
      </c>
    </row>
    <row r="6" customHeight="1" spans="3:49">
      <c r="C6" s="1" t="s">
        <v>101</v>
      </c>
      <c r="D6" s="1">
        <v>4</v>
      </c>
      <c r="E6" s="1">
        <v>34000</v>
      </c>
      <c r="F6" s="1">
        <v>8450</v>
      </c>
      <c r="G6" s="1">
        <v>33000</v>
      </c>
      <c r="H6" s="1">
        <v>70460</v>
      </c>
      <c r="I6" s="1">
        <v>394</v>
      </c>
      <c r="J6" s="1">
        <v>338</v>
      </c>
      <c r="K6" s="1">
        <v>71</v>
      </c>
      <c r="L6" s="1">
        <v>140</v>
      </c>
      <c r="M6" s="1">
        <v>37400</v>
      </c>
      <c r="N6" s="1">
        <v>37000</v>
      </c>
      <c r="O6" s="1">
        <v>2</v>
      </c>
      <c r="P6" s="1">
        <v>600</v>
      </c>
      <c r="Q6" s="1">
        <v>0</v>
      </c>
      <c r="R6" s="1">
        <v>0</v>
      </c>
      <c r="S6" s="1">
        <v>-3740</v>
      </c>
      <c r="T6" s="1">
        <v>1.4</v>
      </c>
      <c r="U6" s="1">
        <v>156</v>
      </c>
      <c r="V6" s="1">
        <v>2.02</v>
      </c>
      <c r="W6" s="1">
        <v>234</v>
      </c>
      <c r="X6" s="1">
        <v>680</v>
      </c>
      <c r="Y6" s="1">
        <v>680</v>
      </c>
      <c r="Z6" s="1">
        <v>2550</v>
      </c>
      <c r="AA6" s="1">
        <v>680</v>
      </c>
      <c r="AB6" s="1">
        <v>680</v>
      </c>
      <c r="AC6" s="1">
        <v>680</v>
      </c>
      <c r="AD6" s="1">
        <v>9500300</v>
      </c>
      <c r="AE6" s="1">
        <v>252</v>
      </c>
      <c r="AF6" s="1">
        <v>16.03</v>
      </c>
      <c r="AG6" s="1">
        <v>9506250</v>
      </c>
      <c r="AH6" s="1">
        <v>680</v>
      </c>
      <c r="AI6" s="1">
        <v>680</v>
      </c>
      <c r="AJ6" s="1">
        <v>680</v>
      </c>
      <c r="AK6" s="1">
        <v>340</v>
      </c>
      <c r="AL6" s="1">
        <v>680</v>
      </c>
      <c r="AM6" s="1">
        <v>680</v>
      </c>
      <c r="AN6" s="1">
        <v>252</v>
      </c>
      <c r="AO6" s="1">
        <v>16.03</v>
      </c>
      <c r="AP6" s="1">
        <v>46190</v>
      </c>
      <c r="AQ6" s="1">
        <v>42450</v>
      </c>
      <c r="AR6" s="1">
        <v>42450</v>
      </c>
      <c r="AS6" s="1">
        <v>0</v>
      </c>
      <c r="AT6" s="1">
        <v>10</v>
      </c>
      <c r="AU6" s="1">
        <v>0</v>
      </c>
      <c r="AV6" s="1">
        <v>447</v>
      </c>
      <c r="AW6" s="1">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8" sqref="F8"/>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303</v>
      </c>
    </row>
    <row r="3" s="27" customFormat="1" ht="30" customHeight="1"/>
    <row r="4" s="27" customFormat="1" ht="30" customHeight="1" spans="3:13">
      <c r="C4" s="7" t="s">
        <v>74</v>
      </c>
      <c r="D4" s="7" t="s">
        <v>188</v>
      </c>
      <c r="E4" s="7" t="s">
        <v>198</v>
      </c>
      <c r="F4" s="7" t="s">
        <v>212</v>
      </c>
      <c r="G4" s="7" t="s">
        <v>189</v>
      </c>
      <c r="H4" s="7" t="s">
        <v>199</v>
      </c>
      <c r="I4" s="7" t="s">
        <v>213</v>
      </c>
      <c r="J4" s="7" t="s">
        <v>191</v>
      </c>
      <c r="K4" s="7" t="s">
        <v>192</v>
      </c>
      <c r="L4" s="7" t="s">
        <v>214</v>
      </c>
      <c r="M4" s="7" t="s">
        <v>215</v>
      </c>
    </row>
    <row r="5" s="27" customFormat="1" customHeight="1" spans="3:13">
      <c r="C5" s="1" t="s">
        <v>120</v>
      </c>
      <c r="D5" s="1">
        <v>340</v>
      </c>
      <c r="E5" s="1">
        <v>340</v>
      </c>
      <c r="F5" s="1">
        <v>680</v>
      </c>
      <c r="G5" s="1">
        <v>340</v>
      </c>
      <c r="H5" s="1">
        <v>1120</v>
      </c>
      <c r="I5" s="1">
        <v>1460</v>
      </c>
      <c r="J5" s="1">
        <v>340</v>
      </c>
      <c r="K5" s="1">
        <v>340</v>
      </c>
      <c r="L5" s="1">
        <v>1360</v>
      </c>
      <c r="M5" s="1">
        <v>1460</v>
      </c>
    </row>
    <row r="6" s="27" customFormat="1" customHeight="1" spans="3:13">
      <c r="C6" s="1" t="s">
        <v>145</v>
      </c>
      <c r="D6" s="1">
        <v>100</v>
      </c>
      <c r="E6" s="1">
        <v>100</v>
      </c>
      <c r="F6" s="1">
        <v>200</v>
      </c>
      <c r="G6" s="1">
        <v>100</v>
      </c>
      <c r="H6" s="1">
        <v>100</v>
      </c>
      <c r="I6" s="1">
        <v>200</v>
      </c>
      <c r="J6" s="1">
        <v>100</v>
      </c>
      <c r="K6" s="1">
        <v>100</v>
      </c>
      <c r="L6" s="1">
        <v>400</v>
      </c>
      <c r="M6" s="1">
        <v>200</v>
      </c>
    </row>
    <row r="7" s="27" customFormat="1" customHeight="1" spans="3:13">
      <c r="C7" s="1" t="s">
        <v>101</v>
      </c>
      <c r="D7" s="1">
        <v>700</v>
      </c>
      <c r="E7" s="1">
        <v>700</v>
      </c>
      <c r="F7" s="1">
        <v>1400</v>
      </c>
      <c r="G7" s="1">
        <v>700</v>
      </c>
      <c r="H7" s="1">
        <v>117200</v>
      </c>
      <c r="I7" s="1">
        <v>117900</v>
      </c>
      <c r="J7" s="1">
        <v>700</v>
      </c>
      <c r="K7" s="1">
        <v>700</v>
      </c>
      <c r="L7" s="1">
        <v>2800</v>
      </c>
      <c r="M7" s="1">
        <v>117900</v>
      </c>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style="27" customWidth="1"/>
    <col min="2" max="2" width="4.625" style="27"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7"/>
  </cols>
  <sheetData>
    <row r="1" s="27" customFormat="1" ht="54.75" customHeight="1" spans="3:28">
      <c r="F1" s="48"/>
      <c r="H1" s="48"/>
      <c r="M1" s="48"/>
    </row>
    <row r="2" s="27" customFormat="1" ht="40" customHeight="1" spans="3:28">
      <c r="C2" s="4" t="s">
        <v>304</v>
      </c>
      <c r="F2" s="48"/>
      <c r="H2" s="48"/>
      <c r="M2" s="48"/>
    </row>
    <row r="3" s="27" customFormat="1" ht="30" customHeight="1" spans="3:28">
      <c r="F3" s="48"/>
      <c r="H3" s="48"/>
      <c r="M3" s="48"/>
    </row>
    <row r="4" s="27" customFormat="1" ht="30" customHeight="1" spans="3:28">
      <c r="C4" s="7" t="s">
        <v>36</v>
      </c>
      <c r="D4" s="7" t="s">
        <v>74</v>
      </c>
      <c r="E4" s="7" t="s">
        <v>75</v>
      </c>
      <c r="F4" s="64" t="s">
        <v>78</v>
      </c>
      <c r="G4" s="7" t="s">
        <v>86</v>
      </c>
      <c r="H4" s="64" t="s">
        <v>88</v>
      </c>
      <c r="I4" s="7" t="s">
        <v>89</v>
      </c>
      <c r="J4" s="7" t="s">
        <v>90</v>
      </c>
      <c r="K4" s="7" t="s">
        <v>79</v>
      </c>
      <c r="L4" s="7" t="s">
        <v>80</v>
      </c>
      <c r="M4" s="64" t="s">
        <v>81</v>
      </c>
      <c r="N4" s="7" t="s">
        <v>82</v>
      </c>
      <c r="O4" s="7" t="s">
        <v>83</v>
      </c>
      <c r="P4" s="7" t="s">
        <v>84</v>
      </c>
      <c r="Q4" s="7" t="s">
        <v>85</v>
      </c>
      <c r="R4" s="7" t="s">
        <v>87</v>
      </c>
      <c r="S4" s="7" t="s">
        <v>100</v>
      </c>
      <c r="T4" s="7" t="s">
        <v>91</v>
      </c>
      <c r="U4" s="7" t="s">
        <v>92</v>
      </c>
      <c r="V4" s="7" t="s">
        <v>93</v>
      </c>
      <c r="W4" s="7" t="s">
        <v>94</v>
      </c>
      <c r="X4" s="7" t="s">
        <v>95</v>
      </c>
      <c r="Y4" s="7" t="s">
        <v>96</v>
      </c>
      <c r="Z4" s="7" t="s">
        <v>97</v>
      </c>
      <c r="AA4" s="7" t="s">
        <v>98</v>
      </c>
      <c r="AB4" s="7" t="s">
        <v>99</v>
      </c>
    </row>
    <row r="5" s="27" customFormat="1" customHeight="1" spans="3:28">
      <c r="C5" s="1" t="s">
        <v>63</v>
      </c>
      <c r="D5" s="1" t="s">
        <v>101</v>
      </c>
      <c r="E5" s="1" t="s">
        <v>102</v>
      </c>
      <c r="F5" s="63" t="s">
        <v>104</v>
      </c>
      <c r="G5" s="1">
        <v>9000</v>
      </c>
      <c r="H5" s="63" t="s">
        <v>111</v>
      </c>
      <c r="I5" s="67">
        <v>43922</v>
      </c>
      <c r="J5" s="1">
        <v>3</v>
      </c>
      <c r="K5" s="1" t="s">
        <v>105</v>
      </c>
      <c r="L5" s="1" t="s">
        <v>106</v>
      </c>
      <c r="M5" s="63" t="s">
        <v>107</v>
      </c>
      <c r="N5" s="67" t="s">
        <v>108</v>
      </c>
      <c r="O5" s="67">
        <v>45097</v>
      </c>
      <c r="P5" s="1" t="s">
        <v>109</v>
      </c>
      <c r="Q5" s="1" t="s">
        <v>110</v>
      </c>
      <c r="R5" s="1">
        <v>2000</v>
      </c>
      <c r="S5" s="1" t="s">
        <v>305</v>
      </c>
      <c r="T5" s="1"/>
      <c r="U5" s="1"/>
      <c r="V5" s="1"/>
      <c r="W5" s="1"/>
      <c r="X5" s="1"/>
      <c r="Y5" s="1"/>
      <c r="Z5" s="1"/>
      <c r="AA5" s="1"/>
      <c r="AB5" s="1"/>
    </row>
    <row r="6" s="27" customFormat="1" customHeight="1" spans="3:28">
      <c r="C6" s="1" t="s">
        <v>113</v>
      </c>
      <c r="D6" s="1" t="s">
        <v>101</v>
      </c>
      <c r="E6" s="1" t="s">
        <v>114</v>
      </c>
      <c r="F6" s="63" t="s">
        <v>116</v>
      </c>
      <c r="G6" s="1">
        <v>6000</v>
      </c>
      <c r="H6" s="63" t="s">
        <v>118</v>
      </c>
      <c r="I6" s="67">
        <v>43908</v>
      </c>
      <c r="J6" s="1">
        <v>3</v>
      </c>
      <c r="K6" s="1" t="s">
        <v>105</v>
      </c>
      <c r="L6" s="1" t="s">
        <v>106</v>
      </c>
      <c r="M6" s="63" t="s">
        <v>117</v>
      </c>
      <c r="N6" s="67" t="s">
        <v>108</v>
      </c>
      <c r="O6" s="67">
        <v>36047</v>
      </c>
      <c r="P6" s="1" t="s">
        <v>109</v>
      </c>
      <c r="Q6" s="1" t="s">
        <v>110</v>
      </c>
      <c r="R6" s="1">
        <v>2000</v>
      </c>
      <c r="S6" s="1" t="s">
        <v>306</v>
      </c>
      <c r="T6" s="1"/>
      <c r="U6" s="1"/>
      <c r="V6" s="1"/>
      <c r="W6" s="1"/>
      <c r="X6" s="1"/>
      <c r="Y6" s="1"/>
      <c r="Z6" s="1"/>
      <c r="AA6" s="1"/>
      <c r="AB6" s="1"/>
    </row>
    <row r="7" s="27" customFormat="1" customHeight="1" spans="3:28">
      <c r="C7" s="1" t="s">
        <v>45</v>
      </c>
      <c r="D7" s="1" t="s">
        <v>101</v>
      </c>
      <c r="E7" s="1" t="s">
        <v>226</v>
      </c>
      <c r="F7" s="63" t="s">
        <v>227</v>
      </c>
      <c r="G7" s="1">
        <v>5000</v>
      </c>
      <c r="H7" s="63" t="s">
        <v>228</v>
      </c>
      <c r="I7" s="67">
        <v>44378</v>
      </c>
      <c r="J7" s="1">
        <v>2</v>
      </c>
      <c r="K7" s="1" t="s">
        <v>105</v>
      </c>
      <c r="L7" s="1" t="s">
        <v>106</v>
      </c>
      <c r="M7" s="63" t="s">
        <v>307</v>
      </c>
      <c r="N7" s="67" t="s">
        <v>108</v>
      </c>
      <c r="O7" s="67">
        <v>34859</v>
      </c>
      <c r="P7" s="1" t="s">
        <v>109</v>
      </c>
      <c r="Q7" s="1" t="s">
        <v>110</v>
      </c>
      <c r="R7" s="1">
        <v>2000</v>
      </c>
      <c r="S7" s="1" t="s">
        <v>308</v>
      </c>
      <c r="T7" s="1"/>
      <c r="U7" s="1"/>
      <c r="V7" s="1"/>
      <c r="W7" s="1"/>
      <c r="X7" s="1"/>
      <c r="Y7" s="1"/>
      <c r="Z7" s="1"/>
      <c r="AA7" s="1"/>
      <c r="AB7" s="1"/>
    </row>
    <row r="8" s="27" customFormat="1" customHeight="1" spans="3:28">
      <c r="C8" s="1" t="s">
        <v>42</v>
      </c>
      <c r="D8" s="1" t="s">
        <v>120</v>
      </c>
      <c r="E8" s="1" t="s">
        <v>102</v>
      </c>
      <c r="F8" s="63" t="s">
        <v>122</v>
      </c>
      <c r="G8" s="1">
        <v>3000</v>
      </c>
      <c r="H8" s="63" t="s">
        <v>126</v>
      </c>
      <c r="I8" s="67">
        <v>45017</v>
      </c>
      <c r="J8" s="1">
        <v>1</v>
      </c>
      <c r="K8" s="1" t="s">
        <v>105</v>
      </c>
      <c r="L8" s="1" t="s">
        <v>123</v>
      </c>
      <c r="M8" s="63" t="s">
        <v>124</v>
      </c>
      <c r="N8" s="67" t="s">
        <v>125</v>
      </c>
      <c r="O8" s="67">
        <v>38204</v>
      </c>
      <c r="P8" s="1" t="s">
        <v>109</v>
      </c>
      <c r="Q8" s="1" t="s">
        <v>110</v>
      </c>
      <c r="R8" s="1">
        <v>200</v>
      </c>
      <c r="S8" s="67" t="s">
        <v>309</v>
      </c>
      <c r="T8" s="1"/>
      <c r="U8" s="1"/>
      <c r="V8" s="1"/>
      <c r="W8" s="1"/>
      <c r="X8" s="1"/>
      <c r="Y8" s="1"/>
      <c r="Z8" s="1"/>
      <c r="AA8" s="1"/>
      <c r="AB8" s="1"/>
    </row>
    <row r="9" customHeight="1" spans="3:28">
      <c r="C9" s="1" t="s">
        <v>128</v>
      </c>
      <c r="D9" s="1" t="s">
        <v>101</v>
      </c>
      <c r="E9" s="1" t="s">
        <v>102</v>
      </c>
      <c r="F9" s="63" t="s">
        <v>130</v>
      </c>
      <c r="G9" s="1">
        <v>5000</v>
      </c>
      <c r="H9" s="63" t="s">
        <v>126</v>
      </c>
      <c r="I9" s="67">
        <v>43020</v>
      </c>
      <c r="J9" s="1">
        <v>6</v>
      </c>
      <c r="K9" s="1" t="s">
        <v>105</v>
      </c>
      <c r="L9" s="1" t="s">
        <v>123</v>
      </c>
      <c r="M9" s="63" t="s">
        <v>131</v>
      </c>
      <c r="N9" s="67" t="s">
        <v>108</v>
      </c>
      <c r="O9" s="67">
        <v>32998</v>
      </c>
      <c r="P9" s="1" t="s">
        <v>132</v>
      </c>
      <c r="Q9" s="1" t="s">
        <v>110</v>
      </c>
      <c r="R9" s="1">
        <v>450</v>
      </c>
      <c r="S9" s="1" t="s">
        <v>310</v>
      </c>
    </row>
    <row r="10" customHeight="1" spans="3:28">
      <c r="C10" s="1" t="s">
        <v>134</v>
      </c>
      <c r="D10" s="1" t="s">
        <v>120</v>
      </c>
      <c r="E10" s="1" t="s">
        <v>114</v>
      </c>
      <c r="F10" s="63" t="s">
        <v>136</v>
      </c>
      <c r="G10" s="1">
        <v>3000</v>
      </c>
      <c r="H10" s="63" t="s">
        <v>139</v>
      </c>
      <c r="I10" s="67">
        <v>43922</v>
      </c>
      <c r="J10" s="1">
        <v>3</v>
      </c>
      <c r="K10" s="1" t="s">
        <v>137</v>
      </c>
      <c r="L10" s="1" t="s">
        <v>123</v>
      </c>
      <c r="M10" s="63" t="s">
        <v>138</v>
      </c>
      <c r="N10" s="67" t="s">
        <v>125</v>
      </c>
      <c r="O10" s="67">
        <v>36915</v>
      </c>
      <c r="P10" s="1" t="s">
        <v>109</v>
      </c>
      <c r="Q10" s="1" t="s">
        <v>110</v>
      </c>
      <c r="R10" s="1">
        <v>200</v>
      </c>
      <c r="S10" s="67">
        <v>43922</v>
      </c>
    </row>
    <row r="11" customHeight="1" spans="3:28">
      <c r="C11" s="1" t="s">
        <v>48</v>
      </c>
      <c r="D11" s="1" t="s">
        <v>120</v>
      </c>
      <c r="E11" s="1" t="s">
        <v>102</v>
      </c>
      <c r="F11" s="63" t="s">
        <v>141</v>
      </c>
      <c r="G11" s="1">
        <v>3000</v>
      </c>
      <c r="H11" s="63" t="s">
        <v>143</v>
      </c>
      <c r="I11" s="67">
        <v>43922</v>
      </c>
      <c r="J11" s="1">
        <v>3</v>
      </c>
      <c r="K11" s="1" t="s">
        <v>105</v>
      </c>
      <c r="L11" s="1" t="s">
        <v>106</v>
      </c>
      <c r="M11" s="63" t="s">
        <v>142</v>
      </c>
      <c r="N11" s="67" t="s">
        <v>125</v>
      </c>
      <c r="O11" s="67">
        <v>36894</v>
      </c>
      <c r="P11" s="1" t="s">
        <v>109</v>
      </c>
      <c r="Q11" s="1" t="s">
        <v>110</v>
      </c>
      <c r="R11" s="1">
        <v>200</v>
      </c>
      <c r="S11" s="1" t="s">
        <v>311</v>
      </c>
    </row>
    <row r="12" customHeight="1" spans="3:28">
      <c r="C12" s="1" t="s">
        <v>49</v>
      </c>
      <c r="D12" s="1" t="s">
        <v>145</v>
      </c>
      <c r="E12" s="1" t="s">
        <v>102</v>
      </c>
      <c r="F12" s="63" t="s">
        <v>147</v>
      </c>
      <c r="G12" s="1">
        <v>5000</v>
      </c>
      <c r="H12" s="63" t="s">
        <v>149</v>
      </c>
      <c r="I12" s="67">
        <v>45006</v>
      </c>
      <c r="J12" s="1">
        <v>1</v>
      </c>
      <c r="K12" s="1" t="s">
        <v>105</v>
      </c>
      <c r="L12" s="1" t="s">
        <v>123</v>
      </c>
      <c r="M12" s="63" t="s">
        <v>148</v>
      </c>
      <c r="N12" s="67" t="s">
        <v>125</v>
      </c>
      <c r="O12" s="67">
        <v>34235</v>
      </c>
      <c r="P12" s="1" t="s">
        <v>109</v>
      </c>
      <c r="Q12" s="1" t="s">
        <v>110</v>
      </c>
      <c r="R12" s="1">
        <v>200</v>
      </c>
      <c r="S12" s="1" t="s">
        <v>150</v>
      </c>
      <c r="T12" s="1">
        <v>1</v>
      </c>
      <c r="U12" s="1">
        <v>2</v>
      </c>
      <c r="V12" s="1">
        <v>3</v>
      </c>
      <c r="W12" s="1">
        <v>4</v>
      </c>
      <c r="X12" s="1">
        <v>5</v>
      </c>
      <c r="Y12" s="1">
        <v>6</v>
      </c>
      <c r="Z12" s="1">
        <v>7</v>
      </c>
      <c r="AA12" s="1">
        <v>8</v>
      </c>
      <c r="AB12" s="1">
        <v>9</v>
      </c>
    </row>
    <row r="13" customHeight="1" spans="3:28">
      <c r="C13" s="1" t="s">
        <v>50</v>
      </c>
      <c r="D13" s="1" t="s">
        <v>235</v>
      </c>
      <c r="E13" s="1" t="s">
        <v>102</v>
      </c>
      <c r="F13" s="63" t="s">
        <v>236</v>
      </c>
      <c r="G13" s="1">
        <v>3000</v>
      </c>
      <c r="H13" s="63" t="s">
        <v>237</v>
      </c>
      <c r="I13" s="67">
        <v>45017</v>
      </c>
      <c r="J13" s="1">
        <v>1</v>
      </c>
      <c r="K13" s="1" t="s">
        <v>105</v>
      </c>
      <c r="L13" s="1" t="s">
        <v>123</v>
      </c>
      <c r="M13" s="63" t="s">
        <v>312</v>
      </c>
      <c r="N13" s="67" t="s">
        <v>125</v>
      </c>
      <c r="O13" s="67">
        <v>36872</v>
      </c>
      <c r="P13" s="1" t="s">
        <v>109</v>
      </c>
      <c r="Q13" s="1" t="s">
        <v>110</v>
      </c>
      <c r="R13" s="1">
        <v>300</v>
      </c>
      <c r="S13" s="1" t="s">
        <v>313</v>
      </c>
      <c r="T13" s="1" t="s">
        <v>314</v>
      </c>
    </row>
    <row r="14" customHeight="1" spans="3:28">
      <c r="I14" s="67"/>
      <c r="N14" s="67"/>
      <c r="O14" s="67"/>
    </row>
    <row r="15" customHeight="1" spans="3:28">
      <c r="I15" s="67"/>
      <c r="O15" s="67"/>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F13" sqref="F13"/>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315</v>
      </c>
      <c r="F2" s="48"/>
    </row>
    <row r="3" s="27" customFormat="1" ht="30" customHeight="1" spans="3:6">
      <c r="F3" s="48"/>
    </row>
    <row r="4" s="27" customFormat="1" ht="30" customHeight="1" spans="3:6">
      <c r="C4" s="7" t="s">
        <v>206</v>
      </c>
      <c r="D4" s="7" t="s">
        <v>316</v>
      </c>
      <c r="E4" s="7" t="s">
        <v>317</v>
      </c>
      <c r="F4" s="64" t="s">
        <v>239</v>
      </c>
    </row>
    <row r="5" s="27" customFormat="1" customHeight="1" spans="3:6">
      <c r="C5" s="1">
        <v>0</v>
      </c>
      <c r="D5" s="1">
        <v>0</v>
      </c>
      <c r="E5" s="1">
        <v>7</v>
      </c>
      <c r="F5" s="1">
        <v>0</v>
      </c>
    </row>
    <row r="6" s="27" customFormat="1" customHeight="1" spans="3:6">
      <c r="C6" s="1" t="s">
        <v>318</v>
      </c>
      <c r="D6" s="1">
        <f>SUM(D5:D5)</f>
        <v>0</v>
      </c>
      <c r="E6" s="1">
        <f>SUM(E5:E5)</f>
        <v>7</v>
      </c>
      <c r="F6" s="1">
        <f>SUM(F5:F5)</f>
        <v>0</v>
      </c>
    </row>
    <row r="7" s="27" customFormat="1" customHeight="1" spans="3:6">
      <c r="C7" s="1"/>
      <c r="D7" s="1"/>
      <c r="E7" s="1"/>
      <c r="F7" s="1"/>
    </row>
    <row r="8" s="27" customFormat="1" customHeight="1" spans="3:6">
      <c r="C8" s="1"/>
      <c r="D8" s="1"/>
      <c r="E8" s="1"/>
      <c r="F8" s="1"/>
    </row>
    <row r="9" s="27" customFormat="1" customHeight="1" spans="3:6">
      <c r="C9" s="1"/>
      <c r="D9" s="1"/>
      <c r="E9" s="1"/>
      <c r="F9" s="1"/>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7"/>
  <sheetViews>
    <sheetView showGridLines="0" workbookViewId="0">
      <pane ySplit="4" topLeftCell="A5" activePane="bottomLeft" state="frozen"/>
      <selection/>
      <selection pane="bottomLeft" activeCell="H10" sqref="H10"/>
    </sheetView>
  </sheetViews>
  <sheetFormatPr defaultColWidth="9" defaultRowHeight="20" customHeight="1" outlineLevelRow="6"/>
  <cols>
    <col min="1" max="1" width="4.625" style="27" customWidth="1"/>
    <col min="2" max="2" width="4.625" style="27" hidden="1" customWidth="1"/>
    <col min="3" max="5" width="12.625" style="1" customWidth="1"/>
    <col min="6" max="6" width="23.375" style="63" customWidth="1"/>
    <col min="7" max="7" width="15.25" style="73" customWidth="1"/>
    <col min="8" max="53" width="15.25" style="1" customWidth="1"/>
    <col min="54" max="16384" width="9" style="27"/>
  </cols>
  <sheetData>
    <row r="1" ht="54.75" customHeight="1" spans="3:53">
      <c r="C1" s="48"/>
      <c r="D1" s="48"/>
      <c r="E1" s="48"/>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319</v>
      </c>
      <c r="D2" s="48"/>
      <c r="E2" s="48"/>
      <c r="F2" s="48"/>
      <c r="G2" s="74"/>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74</v>
      </c>
      <c r="E4" s="7" t="s">
        <v>169</v>
      </c>
      <c r="F4" s="64" t="s">
        <v>78</v>
      </c>
      <c r="G4" s="75" t="s">
        <v>89</v>
      </c>
      <c r="H4" s="7" t="s">
        <v>86</v>
      </c>
      <c r="I4" s="7" t="s">
        <v>87</v>
      </c>
      <c r="J4" s="7" t="s">
        <v>172</v>
      </c>
      <c r="K4" s="7" t="s">
        <v>320</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7" t="s">
        <v>257</v>
      </c>
    </row>
    <row r="5" customHeight="1" spans="3:53">
      <c r="C5" s="1" t="s">
        <v>63</v>
      </c>
      <c r="D5" s="1" t="s">
        <v>101</v>
      </c>
      <c r="E5" s="1" t="s">
        <v>102</v>
      </c>
      <c r="F5" s="63" t="s">
        <v>104</v>
      </c>
      <c r="G5" s="73">
        <v>43922</v>
      </c>
      <c r="H5" s="1">
        <v>9000</v>
      </c>
      <c r="I5" s="1">
        <v>2000</v>
      </c>
      <c r="J5" s="1">
        <v>3000</v>
      </c>
      <c r="L5" s="1">
        <v>0.02</v>
      </c>
      <c r="M5" s="1">
        <v>300</v>
      </c>
      <c r="W5" s="1">
        <v>0.3</v>
      </c>
      <c r="X5" s="1">
        <v>0.02</v>
      </c>
      <c r="Y5" s="1">
        <v>0.5</v>
      </c>
      <c r="Z5" s="1">
        <v>0.02</v>
      </c>
      <c r="AH5" s="1">
        <v>0.02</v>
      </c>
      <c r="AI5" s="1">
        <v>0.03</v>
      </c>
      <c r="AQ5" s="1">
        <v>0.02</v>
      </c>
      <c r="AR5" s="1">
        <v>0.03</v>
      </c>
      <c r="AY5" s="1">
        <v>0.02</v>
      </c>
      <c r="BA5" s="1">
        <v>0.02</v>
      </c>
    </row>
    <row r="6" customHeight="1" spans="3:53">
      <c r="C6" s="1" t="s">
        <v>134</v>
      </c>
      <c r="D6" s="1" t="s">
        <v>120</v>
      </c>
      <c r="E6" s="1" t="s">
        <v>114</v>
      </c>
      <c r="F6" s="63" t="s">
        <v>136</v>
      </c>
      <c r="G6" s="73">
        <v>43922</v>
      </c>
      <c r="H6" s="1">
        <v>3000</v>
      </c>
      <c r="I6" s="1">
        <v>200</v>
      </c>
      <c r="J6" s="1">
        <v>5000</v>
      </c>
      <c r="K6" s="1">
        <v>9490</v>
      </c>
      <c r="L6" s="1">
        <v>0.02</v>
      </c>
      <c r="M6" s="1">
        <v>300</v>
      </c>
      <c r="V6" s="1">
        <v>2870</v>
      </c>
      <c r="W6" s="1">
        <v>0.3</v>
      </c>
      <c r="X6" s="1">
        <v>0.02</v>
      </c>
      <c r="Y6" s="1">
        <v>0.5</v>
      </c>
      <c r="Z6" s="1">
        <v>0.02</v>
      </c>
      <c r="AA6" s="1">
        <v>60</v>
      </c>
      <c r="AB6" s="1">
        <v>60</v>
      </c>
      <c r="AC6" s="1">
        <v>225.000015258789</v>
      </c>
      <c r="AD6" s="1">
        <v>60</v>
      </c>
      <c r="AE6" s="1">
        <v>60</v>
      </c>
      <c r="AF6" s="1">
        <v>60</v>
      </c>
      <c r="AG6" s="1">
        <v>60</v>
      </c>
      <c r="AH6" s="1">
        <v>0.02</v>
      </c>
      <c r="AI6" s="1">
        <v>0.03</v>
      </c>
      <c r="AJ6" s="1">
        <v>585.000015258789</v>
      </c>
      <c r="AK6" s="1">
        <v>60</v>
      </c>
      <c r="AL6" s="1">
        <v>60</v>
      </c>
      <c r="AM6" s="1">
        <v>60</v>
      </c>
      <c r="AN6" s="1">
        <v>30</v>
      </c>
      <c r="AO6" s="1">
        <v>60</v>
      </c>
      <c r="AP6" s="1">
        <v>60</v>
      </c>
      <c r="AQ6" s="1">
        <v>0.02</v>
      </c>
      <c r="AR6" s="1">
        <v>0.03</v>
      </c>
      <c r="AS6" s="1">
        <v>3530</v>
      </c>
      <c r="AT6" s="1">
        <v>3200</v>
      </c>
      <c r="AU6" s="1">
        <v>2880</v>
      </c>
      <c r="AV6" s="1">
        <v>0.1</v>
      </c>
      <c r="AX6" s="1">
        <v>320</v>
      </c>
      <c r="AY6" s="1">
        <v>0.02</v>
      </c>
      <c r="AZ6" s="1">
        <v>6290</v>
      </c>
      <c r="BA6" s="1">
        <v>0.02</v>
      </c>
    </row>
    <row r="7" customHeight="1" spans="3:53">
      <c r="C7" s="1" t="s">
        <v>134</v>
      </c>
      <c r="D7" s="1" t="s">
        <v>120</v>
      </c>
      <c r="E7" s="1" t="s">
        <v>114</v>
      </c>
      <c r="F7" s="63" t="s">
        <v>136</v>
      </c>
      <c r="G7" s="73">
        <v>43922</v>
      </c>
      <c r="H7" s="1">
        <v>3000</v>
      </c>
      <c r="I7" s="1">
        <v>200</v>
      </c>
      <c r="J7" s="1">
        <v>5000</v>
      </c>
      <c r="K7" s="1">
        <v>9490</v>
      </c>
      <c r="L7" s="1">
        <v>0.02</v>
      </c>
      <c r="M7" s="1">
        <v>300</v>
      </c>
      <c r="V7" s="1">
        <v>2870</v>
      </c>
      <c r="W7" s="1">
        <v>0.3</v>
      </c>
      <c r="X7" s="1">
        <v>0.02</v>
      </c>
      <c r="Y7" s="1">
        <v>0.5</v>
      </c>
      <c r="Z7" s="1">
        <v>0.02</v>
      </c>
      <c r="AA7" s="1">
        <v>60</v>
      </c>
      <c r="AB7" s="1">
        <v>60</v>
      </c>
      <c r="AC7" s="1">
        <v>225.000015258789</v>
      </c>
      <c r="AD7" s="1">
        <v>60</v>
      </c>
      <c r="AE7" s="1">
        <v>60</v>
      </c>
      <c r="AF7" s="1">
        <v>60</v>
      </c>
      <c r="AG7" s="1">
        <v>60</v>
      </c>
      <c r="AH7" s="1">
        <v>0.02</v>
      </c>
      <c r="AI7" s="1">
        <v>0.03</v>
      </c>
      <c r="AJ7" s="1">
        <v>585.000015258789</v>
      </c>
      <c r="AK7" s="1">
        <v>60</v>
      </c>
      <c r="AL7" s="1">
        <v>60</v>
      </c>
      <c r="AM7" s="1">
        <v>60</v>
      </c>
      <c r="AN7" s="1">
        <v>30</v>
      </c>
      <c r="AO7" s="1">
        <v>60</v>
      </c>
      <c r="AP7" s="1">
        <v>60</v>
      </c>
      <c r="AQ7" s="1">
        <v>0.02</v>
      </c>
      <c r="AR7" s="1">
        <v>0.03</v>
      </c>
      <c r="AS7" s="1">
        <v>3530</v>
      </c>
      <c r="AT7" s="1">
        <v>3200</v>
      </c>
      <c r="AU7" s="1">
        <v>2880</v>
      </c>
      <c r="AV7" s="1">
        <v>0.1</v>
      </c>
      <c r="AX7" s="1">
        <v>320</v>
      </c>
      <c r="AY7" s="1">
        <v>0.02</v>
      </c>
      <c r="AZ7" s="1">
        <v>6290</v>
      </c>
      <c r="BA7" s="1">
        <v>0.02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8" activePane="bottomLeft" state="frozen"/>
      <selection/>
      <selection pane="bottomLeft" activeCell="A1" sqref="A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8">
        <v>46023</v>
      </c>
      <c r="C1" s="69">
        <v>46023</v>
      </c>
      <c r="D1" s="27">
        <f>WEEKDAY(C1)</f>
        <v>5</v>
      </c>
      <c r="E1" s="68"/>
    </row>
    <row r="2" ht="40" customHeight="1" spans="2:12">
      <c r="C2" s="4" t="s">
        <v>321</v>
      </c>
    </row>
    <row r="3" ht="30" customHeight="1"/>
    <row r="4" ht="30" customHeight="1" spans="2:12">
      <c r="C4" s="49" t="s">
        <v>322</v>
      </c>
      <c r="D4" s="49" t="s">
        <v>323</v>
      </c>
      <c r="E4" s="49" t="s">
        <v>324</v>
      </c>
      <c r="F4" s="57" t="s">
        <v>325</v>
      </c>
      <c r="G4" s="70" t="s">
        <v>326</v>
      </c>
      <c r="H4" s="49" t="s">
        <v>327</v>
      </c>
      <c r="I4" s="49" t="s">
        <v>328</v>
      </c>
    </row>
    <row r="5" customHeight="1" spans="2:12">
      <c r="C5" s="1"/>
      <c r="D5" s="1"/>
      <c r="E5" s="1"/>
      <c r="F5" s="1"/>
      <c r="G5" s="1">
        <v>1</v>
      </c>
      <c r="H5" s="1">
        <v>2</v>
      </c>
      <c r="I5" s="1">
        <v>3</v>
      </c>
      <c r="K5" s="71" t="s">
        <v>134</v>
      </c>
      <c r="L5" s="71">
        <v>36915</v>
      </c>
    </row>
    <row r="6" customHeight="1" spans="2:12">
      <c r="C6" s="1"/>
      <c r="D6" s="1"/>
      <c r="E6" s="67"/>
      <c r="F6" s="1"/>
      <c r="G6" s="1"/>
      <c r="H6" s="1"/>
      <c r="I6" s="1" t="s">
        <v>48</v>
      </c>
      <c r="K6" s="71" t="s">
        <v>48</v>
      </c>
      <c r="L6" s="71">
        <v>36894</v>
      </c>
    </row>
    <row r="7" customHeight="1" spans="2:12">
      <c r="C7" s="1">
        <v>4</v>
      </c>
      <c r="D7" s="1">
        <v>5</v>
      </c>
      <c r="E7" s="1">
        <v>6</v>
      </c>
      <c r="F7" s="1">
        <v>7</v>
      </c>
      <c r="G7" s="1">
        <v>8</v>
      </c>
      <c r="H7" s="1">
        <v>9</v>
      </c>
      <c r="I7" s="1">
        <v>10</v>
      </c>
      <c r="K7" t="s">
        <v>70</v>
      </c>
      <c r="L7" s="71"/>
    </row>
    <row r="8" customHeight="1" spans="2:12">
      <c r="C8" s="1"/>
      <c r="D8" s="1"/>
      <c r="E8" s="1"/>
      <c r="F8" s="1"/>
      <c r="G8" s="1"/>
      <c r="H8" s="1"/>
      <c r="I8" s="1"/>
    </row>
    <row r="9" customHeight="1" spans="2:12">
      <c r="C9" s="1">
        <v>11</v>
      </c>
      <c r="D9" s="1">
        <v>12</v>
      </c>
      <c r="E9" s="1">
        <v>13</v>
      </c>
      <c r="F9" s="1">
        <v>14</v>
      </c>
      <c r="G9" s="1">
        <v>15</v>
      </c>
      <c r="H9" s="1">
        <v>16</v>
      </c>
      <c r="I9" s="1">
        <v>17</v>
      </c>
    </row>
    <row r="10" customHeight="1" spans="2:12">
      <c r="C10" s="1"/>
      <c r="D10" s="1"/>
      <c r="E10" s="1"/>
      <c r="F10" s="1"/>
      <c r="G10" s="1"/>
      <c r="H10" s="1"/>
      <c r="I10" s="1"/>
    </row>
    <row r="11" customHeight="1" spans="2:12">
      <c r="C11" s="1">
        <v>18</v>
      </c>
      <c r="D11" s="1">
        <v>19</v>
      </c>
      <c r="E11" s="1">
        <v>20</v>
      </c>
      <c r="F11" s="1">
        <v>21</v>
      </c>
      <c r="G11" s="1">
        <v>22</v>
      </c>
      <c r="H11" s="1">
        <v>23</v>
      </c>
      <c r="I11" s="1">
        <v>24</v>
      </c>
    </row>
    <row r="12" customHeight="1" spans="2:12">
      <c r="C12" s="1"/>
      <c r="D12" s="1"/>
      <c r="E12" s="1"/>
      <c r="F12" s="1"/>
      <c r="G12" s="1"/>
      <c r="H12" s="1"/>
      <c r="I12" s="1" t="s">
        <v>134</v>
      </c>
    </row>
    <row r="13" customHeight="1" spans="2:12">
      <c r="C13" s="1">
        <v>25</v>
      </c>
      <c r="D13" s="1">
        <v>26</v>
      </c>
      <c r="E13" s="1">
        <v>27</v>
      </c>
      <c r="F13" s="1">
        <v>28</v>
      </c>
      <c r="G13" s="1">
        <v>29</v>
      </c>
      <c r="H13" s="1">
        <v>30</v>
      </c>
      <c r="I13" s="1">
        <v>31</v>
      </c>
    </row>
    <row r="14" customHeight="1" spans="2:12">
      <c r="C14" s="1"/>
      <c r="D14" s="1"/>
      <c r="E14" s="1"/>
      <c r="F14" s="1"/>
      <c r="G14" s="1"/>
      <c r="H14" s="1"/>
      <c r="I14" s="1"/>
    </row>
    <row r="15" customHeight="1" spans="2:12">
      <c r="C15" s="1"/>
      <c r="D15" s="1"/>
      <c r="E15" s="1"/>
      <c r="F15" s="63"/>
      <c r="G15" s="1"/>
      <c r="H15" s="1"/>
      <c r="I15" s="63"/>
    </row>
    <row r="16" customHeight="1" spans="2:12">
      <c r="C16" s="1"/>
      <c r="D16" s="1"/>
      <c r="E16" s="1"/>
      <c r="F16" s="63"/>
      <c r="G16" s="1"/>
      <c r="H16" s="1"/>
      <c r="I16" s="63"/>
    </row>
    <row r="17" customHeight="1" spans="3:9">
      <c r="C17" s="72"/>
      <c r="D17" s="72"/>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J11" sqref="J11"/>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329</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B6">
        <v>25</v>
      </c>
      <c r="C6" s="66" t="s">
        <v>342</v>
      </c>
      <c r="D6" s="1" t="s">
        <v>343</v>
      </c>
      <c r="E6" s="62" t="s">
        <v>344</v>
      </c>
      <c r="F6" s="63" t="s">
        <v>345</v>
      </c>
      <c r="G6" s="63" t="s">
        <v>339</v>
      </c>
      <c r="H6" s="1" t="s">
        <v>340</v>
      </c>
      <c r="I6" s="1" t="s">
        <v>219</v>
      </c>
      <c r="J6" s="1" t="s">
        <v>346</v>
      </c>
      <c r="K6" s="2" t="s">
        <v>341</v>
      </c>
    </row>
    <row r="7" customHeight="1" spans="2:11">
      <c r="B7">
        <v>41</v>
      </c>
      <c r="C7" s="66" t="s">
        <v>347</v>
      </c>
      <c r="D7" s="1" t="s">
        <v>348</v>
      </c>
      <c r="E7" s="62" t="s">
        <v>108</v>
      </c>
      <c r="F7" s="63" t="s">
        <v>59</v>
      </c>
      <c r="G7" s="63" t="s">
        <v>349</v>
      </c>
      <c r="H7" s="1" t="s">
        <v>340</v>
      </c>
      <c r="I7" s="1" t="s">
        <v>219</v>
      </c>
      <c r="J7" s="1">
        <v>1</v>
      </c>
      <c r="K7" s="2" t="s">
        <v>341</v>
      </c>
    </row>
    <row r="8" customHeight="1" spans="2:11">
      <c r="B8">
        <v>76</v>
      </c>
      <c r="C8" s="65" t="s">
        <v>350</v>
      </c>
      <c r="D8" s="1" t="s">
        <v>348</v>
      </c>
      <c r="E8" s="62" t="s">
        <v>108</v>
      </c>
      <c r="F8" s="63" t="s">
        <v>59</v>
      </c>
      <c r="G8" s="63" t="s">
        <v>349</v>
      </c>
      <c r="H8" s="1" t="s">
        <v>340</v>
      </c>
      <c r="I8" s="1" t="s">
        <v>219</v>
      </c>
      <c r="J8" s="1">
        <v>22</v>
      </c>
      <c r="K8" s="2" t="s">
        <v>341</v>
      </c>
    </row>
    <row r="9" customHeight="1" spans="2:11">
      <c r="B9">
        <v>82</v>
      </c>
      <c r="C9" s="66" t="s">
        <v>351</v>
      </c>
      <c r="D9" s="1">
        <v>1</v>
      </c>
      <c r="E9" s="62">
        <v>2</v>
      </c>
      <c r="F9" s="63" t="s">
        <v>352</v>
      </c>
      <c r="G9" s="63" t="s">
        <v>353</v>
      </c>
      <c r="H9" s="1" t="s">
        <v>340</v>
      </c>
      <c r="I9" s="1" t="s">
        <v>219</v>
      </c>
      <c r="J9" s="1">
        <v>12</v>
      </c>
      <c r="K9" s="2" t="s">
        <v>341</v>
      </c>
    </row>
    <row r="10" customHeight="1" spans="2:11">
      <c r="B10">
        <v>97</v>
      </c>
      <c r="D10" s="1" t="s">
        <v>70</v>
      </c>
      <c r="E10" s="62" t="s">
        <v>108</v>
      </c>
      <c r="F10" s="63" t="s">
        <v>354</v>
      </c>
      <c r="G10" s="63" t="s">
        <v>355</v>
      </c>
      <c r="H10" s="1" t="s">
        <v>356</v>
      </c>
      <c r="I10" s="1" t="s">
        <v>219</v>
      </c>
      <c r="K10" s="2" t="s">
        <v>341</v>
      </c>
    </row>
    <row r="11" customHeight="1" spans="2:11">
      <c r="B11">
        <v>98</v>
      </c>
      <c r="G11" s="67">
        <v>46066</v>
      </c>
      <c r="H11" s="1" t="s">
        <v>356</v>
      </c>
      <c r="I11" s="1" t="s">
        <v>219</v>
      </c>
      <c r="K11" s="2" t="s">
        <v>341</v>
      </c>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display="http://yhocn.cn:9088/renshi/jianliwenjian/ceshi7.jpg,http://yhocn.cn:9088/renshi/jianliwenjian/ceshi8.jpg" tooltip="http://yhocn.cn:9088/renshi/jianliwenjian/ceshi7.jpg,http://yhocn.cn:9088/renshi/jianliwenjian/ceshi8.jpg"/>
    <hyperlink ref="C6" r:id="rId3" display="http://yhocn.cn:9088/renshi/jianliwenjian/ceshi9.jpg,http://yhocn.cn:9088/renshi/jianliwenjian/ceshi10.jpg" tooltip="http://yhocn.cn:9088/renshi/jianliwenjian/ceshi9.jpg,http://yhocn.cn:9088/renshi/jianliwenjian/ceshi10.jpg"/>
    <hyperlink ref="C5" r:id="rId4" display="http://yhocn.cn:9088/人事系统/简历文件/插单.jpg"/>
    <hyperlink ref="C8" r:id="rId5" display="http://yhocn.cn:9088/renshi/jianliwenjian/ceshi4.jpg" tooltip="http://yhocn.cn:9088/renshi/jianliwenjian/ceshi4.jpg"/>
    <hyperlink ref="C9" r:id="rId6" display="http://yhocn.cn:9088/人事系统/简历文件/上传文件Excel.jpg"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357</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C6" s="66"/>
      <c r="G6" s="63"/>
    </row>
    <row r="7" customHeight="1" spans="2:11">
      <c r="C7" s="66"/>
      <c r="G7" s="63"/>
    </row>
    <row r="8" customHeight="1" spans="2:11">
      <c r="C8" s="65"/>
      <c r="G8" s="63"/>
    </row>
    <row r="9" customHeight="1" spans="2:11">
      <c r="C9" s="66"/>
      <c r="G9" s="63"/>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插单.jpg"/>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I9" sqref="I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358</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359</v>
      </c>
      <c r="J4" s="7" t="s">
        <v>99</v>
      </c>
      <c r="K4" s="7" t="s">
        <v>334</v>
      </c>
    </row>
    <row r="5" customHeight="1" spans="2:11">
      <c r="B5">
        <v>4</v>
      </c>
      <c r="C5" s="65" t="s">
        <v>360</v>
      </c>
      <c r="D5" s="1" t="s">
        <v>361</v>
      </c>
      <c r="E5" s="62" t="s">
        <v>362</v>
      </c>
      <c r="F5" s="63" t="s">
        <v>59</v>
      </c>
      <c r="G5" s="63" t="s">
        <v>363</v>
      </c>
      <c r="H5" s="1" t="s">
        <v>340</v>
      </c>
      <c r="I5" s="1">
        <v>22</v>
      </c>
      <c r="J5" s="1" t="s">
        <v>364</v>
      </c>
      <c r="K5" s="2" t="s">
        <v>341</v>
      </c>
    </row>
    <row r="6" customHeight="1" spans="2:11">
      <c r="B6">
        <v>6</v>
      </c>
      <c r="C6" s="66"/>
      <c r="D6" s="1" t="s">
        <v>53</v>
      </c>
      <c r="E6" s="62" t="s">
        <v>108</v>
      </c>
      <c r="G6" s="63" t="s">
        <v>365</v>
      </c>
      <c r="H6" s="1" t="s">
        <v>356</v>
      </c>
      <c r="I6" s="1" t="s">
        <v>366</v>
      </c>
      <c r="K6" s="2" t="s">
        <v>341</v>
      </c>
    </row>
    <row r="7" customHeight="1" spans="2:11">
      <c r="B7">
        <v>31</v>
      </c>
      <c r="C7" s="66"/>
      <c r="D7" s="1" t="s">
        <v>367</v>
      </c>
      <c r="E7" s="62" t="s">
        <v>337</v>
      </c>
      <c r="F7" s="63" t="s">
        <v>72</v>
      </c>
      <c r="G7" s="63" t="s">
        <v>339</v>
      </c>
      <c r="H7" s="1" t="s">
        <v>356</v>
      </c>
      <c r="I7" s="1" t="s">
        <v>368</v>
      </c>
      <c r="J7" s="1" t="s">
        <v>369</v>
      </c>
      <c r="K7" s="2" t="s">
        <v>341</v>
      </c>
    </row>
    <row r="8" customHeight="1" spans="2:11">
      <c r="B8">
        <v>47</v>
      </c>
      <c r="C8" s="65" t="s">
        <v>370</v>
      </c>
      <c r="D8" s="1" t="s">
        <v>70</v>
      </c>
      <c r="E8" s="62" t="s">
        <v>108</v>
      </c>
      <c r="F8" s="63" t="s">
        <v>371</v>
      </c>
      <c r="G8" s="63" t="s">
        <v>372</v>
      </c>
      <c r="H8" s="1" t="s">
        <v>340</v>
      </c>
      <c r="I8" s="1" t="s">
        <v>373</v>
      </c>
      <c r="K8" s="2" t="s">
        <v>341</v>
      </c>
    </row>
    <row r="9" customHeight="1" spans="2:11">
      <c r="B9">
        <v>49</v>
      </c>
      <c r="C9" s="66" t="s">
        <v>370</v>
      </c>
      <c r="D9" s="1" t="s">
        <v>70</v>
      </c>
      <c r="E9" s="62" t="s">
        <v>374</v>
      </c>
      <c r="F9" s="63" t="s">
        <v>375</v>
      </c>
      <c r="G9" s="63" t="s">
        <v>376</v>
      </c>
      <c r="H9" s="1" t="s">
        <v>340</v>
      </c>
      <c r="K9" s="2" t="s">
        <v>341</v>
      </c>
    </row>
    <row r="10" customHeight="1" spans="2:11">
      <c r="B10">
        <v>54</v>
      </c>
      <c r="C10" t="s">
        <v>377</v>
      </c>
      <c r="D10" s="1" t="s">
        <v>59</v>
      </c>
      <c r="E10" s="62" t="s">
        <v>374</v>
      </c>
      <c r="F10" s="63" t="s">
        <v>59</v>
      </c>
      <c r="G10" s="63" t="s">
        <v>378</v>
      </c>
      <c r="H10" s="1" t="s">
        <v>340</v>
      </c>
      <c r="K10" s="2" t="s">
        <v>341</v>
      </c>
    </row>
    <row r="11" customHeight="1" spans="2:11">
      <c r="B11">
        <v>92</v>
      </c>
      <c r="G11" s="67">
        <v>46065</v>
      </c>
      <c r="H11" s="1" t="s">
        <v>356</v>
      </c>
      <c r="K11" s="2" t="s">
        <v>341</v>
      </c>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张三简历报告.jpg"/>
    <hyperlink ref="C8" r:id="rId5" display="http://yhocn.cn:9088/人事系统/简历文件/简历_管理员.jpg" tooltip="http://yhocn.cn:9088/renshi/jianliwenjian/ceshi4.jpg"/>
    <hyperlink ref="C9" r:id="rId6" display="http://yhocn.cn:9088/人事系统/简历文件/简历_管理员.jpg"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B14" sqref="B14"/>
    </sheetView>
  </sheetViews>
  <sheetFormatPr defaultColWidth="9" defaultRowHeight="20" customHeight="1"/>
  <cols>
    <col min="1" max="1" width="4.625" customWidth="1"/>
    <col min="2" max="3" width="30.75" style="46" customWidth="1"/>
    <col min="5" max="5" width="12.25" style="34" customWidth="1"/>
    <col min="6" max="9" width="12.25" style="52" customWidth="1"/>
  </cols>
  <sheetData>
    <row r="1" ht="54.75" customHeight="1" spans="2:9">
      <c r="B1" s="27"/>
      <c r="C1" s="28"/>
      <c r="E1"/>
      <c r="F1"/>
      <c r="G1"/>
      <c r="H1"/>
      <c r="I1"/>
    </row>
    <row r="2" ht="40" customHeight="1" spans="2:9">
      <c r="B2" s="4" t="s">
        <v>379</v>
      </c>
      <c r="C2" s="28"/>
      <c r="E2"/>
      <c r="F2"/>
      <c r="G2"/>
      <c r="H2"/>
      <c r="I2"/>
    </row>
    <row r="3" ht="30" customHeight="1" spans="2:9">
      <c r="B3" s="27"/>
      <c r="C3" s="28"/>
      <c r="E3" s="15" t="s">
        <v>380</v>
      </c>
      <c r="F3" s="16"/>
      <c r="G3" s="16"/>
      <c r="H3" s="16"/>
      <c r="I3" s="16"/>
    </row>
    <row r="4" ht="30" customHeight="1" spans="2:9">
      <c r="B4" s="30" t="s">
        <v>381</v>
      </c>
      <c r="C4" s="31"/>
      <c r="E4" s="51" t="s">
        <v>382</v>
      </c>
      <c r="F4" s="51" t="s">
        <v>36</v>
      </c>
      <c r="G4" s="51" t="s">
        <v>74</v>
      </c>
      <c r="H4" s="51" t="s">
        <v>383</v>
      </c>
      <c r="I4" s="51" t="s">
        <v>384</v>
      </c>
    </row>
    <row r="5" ht="18" customHeight="1" spans="2:9">
      <c r="B5" s="21" t="s">
        <v>74</v>
      </c>
      <c r="C5" s="52" t="s">
        <v>101</v>
      </c>
      <c r="E5" s="34" t="s">
        <v>363</v>
      </c>
      <c r="F5" s="52" t="s">
        <v>53</v>
      </c>
      <c r="G5" s="52" t="s">
        <v>101</v>
      </c>
      <c r="H5" s="52" t="s">
        <v>219</v>
      </c>
    </row>
    <row r="6" ht="18" customHeight="1" spans="2:9">
      <c r="B6" s="21" t="s">
        <v>36</v>
      </c>
      <c r="C6" s="52" t="s">
        <v>53</v>
      </c>
      <c r="E6" s="34" t="s">
        <v>365</v>
      </c>
      <c r="F6" s="52" t="s">
        <v>53</v>
      </c>
      <c r="G6" s="52" t="s">
        <v>101</v>
      </c>
      <c r="H6" s="52" t="s">
        <v>219</v>
      </c>
    </row>
    <row r="7" ht="18" customHeight="1" spans="2:9">
      <c r="B7" s="33" t="s">
        <v>385</v>
      </c>
      <c r="C7" s="37"/>
      <c r="E7" s="34" t="s">
        <v>376</v>
      </c>
      <c r="F7" s="52" t="s">
        <v>53</v>
      </c>
      <c r="G7" s="52" t="s">
        <v>101</v>
      </c>
      <c r="H7" s="52" t="s">
        <v>217</v>
      </c>
    </row>
    <row r="8" ht="18" customHeight="1" spans="2:9">
      <c r="B8" s="38">
        <v>12</v>
      </c>
      <c r="C8" s="38"/>
      <c r="E8" s="34" t="s">
        <v>386</v>
      </c>
      <c r="F8" s="52" t="s">
        <v>53</v>
      </c>
      <c r="G8" s="52" t="s">
        <v>101</v>
      </c>
      <c r="H8" s="52" t="s">
        <v>217</v>
      </c>
    </row>
    <row r="9" ht="18" customHeight="1" spans="2:9">
      <c r="B9" s="38"/>
      <c r="C9" s="38"/>
    </row>
    <row r="10" ht="18" customHeight="1" spans="2:9">
      <c r="B10" s="38"/>
      <c r="C10" s="38"/>
    </row>
    <row r="11" ht="18" customHeight="1" spans="2:9">
      <c r="B11" s="38"/>
      <c r="C11" s="38"/>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28"/>
  <sheetViews>
    <sheetView showGridLines="0" workbookViewId="0">
      <pane ySplit="4" topLeftCell="A5" activePane="bottomLeft" state="frozen"/>
      <selection/>
      <selection pane="bottomLeft" activeCell="F29" sqref="F29"/>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387</v>
      </c>
      <c r="D2" s="28"/>
      <c r="E2" s="48"/>
      <c r="F2" s="48"/>
      <c r="G2" s="27"/>
      <c r="H2" s="27"/>
    </row>
    <row r="3" ht="30" customHeight="1" spans="2:8">
      <c r="C3" s="27"/>
      <c r="D3" s="28"/>
      <c r="E3" s="48"/>
      <c r="F3" s="48"/>
      <c r="G3" s="27"/>
      <c r="H3" s="27"/>
    </row>
    <row r="4" ht="30" customHeight="1" spans="2:8">
      <c r="C4" s="7" t="s">
        <v>74</v>
      </c>
      <c r="D4" s="8" t="s">
        <v>36</v>
      </c>
      <c r="E4" s="64" t="s">
        <v>289</v>
      </c>
      <c r="F4" s="64" t="s">
        <v>388</v>
      </c>
      <c r="G4" s="7" t="s">
        <v>389</v>
      </c>
      <c r="H4" s="7" t="s">
        <v>384</v>
      </c>
    </row>
    <row r="5" customHeight="1" spans="2:8">
      <c r="B5">
        <v>2</v>
      </c>
      <c r="C5" s="1" t="s">
        <v>390</v>
      </c>
      <c r="D5" s="62" t="s">
        <v>53</v>
      </c>
      <c r="E5" s="63" t="s">
        <v>363</v>
      </c>
      <c r="F5" s="63" t="s">
        <v>391</v>
      </c>
      <c r="G5" s="1" t="s">
        <v>223</v>
      </c>
    </row>
    <row r="6" customHeight="1" spans="2:8">
      <c r="B6">
        <v>3</v>
      </c>
      <c r="C6" s="1" t="s">
        <v>101</v>
      </c>
      <c r="D6" s="62" t="s">
        <v>53</v>
      </c>
      <c r="E6" s="63" t="s">
        <v>363</v>
      </c>
      <c r="F6" s="63" t="s">
        <v>392</v>
      </c>
      <c r="G6" s="1" t="s">
        <v>219</v>
      </c>
    </row>
    <row r="7" customHeight="1" spans="2:8">
      <c r="B7">
        <v>4</v>
      </c>
      <c r="C7" s="1" t="s">
        <v>393</v>
      </c>
      <c r="D7" s="62" t="s">
        <v>61</v>
      </c>
      <c r="E7" s="63" t="s">
        <v>363</v>
      </c>
      <c r="F7" s="63" t="s">
        <v>394</v>
      </c>
      <c r="G7" s="1" t="s">
        <v>219</v>
      </c>
    </row>
    <row r="8" customHeight="1" spans="2:8">
      <c r="B8">
        <v>5</v>
      </c>
      <c r="C8" s="1" t="s">
        <v>101</v>
      </c>
      <c r="D8" s="62" t="s">
        <v>53</v>
      </c>
      <c r="E8" s="63" t="s">
        <v>365</v>
      </c>
      <c r="F8" s="63" t="s">
        <v>245</v>
      </c>
      <c r="G8" s="1" t="s">
        <v>219</v>
      </c>
    </row>
    <row r="9" customHeight="1" spans="2:8">
      <c r="B9">
        <v>6</v>
      </c>
      <c r="C9" s="1" t="s">
        <v>395</v>
      </c>
      <c r="D9" s="62" t="s">
        <v>396</v>
      </c>
      <c r="E9" s="63" t="s">
        <v>339</v>
      </c>
      <c r="F9" s="63" t="s">
        <v>397</v>
      </c>
      <c r="G9" s="1" t="s">
        <v>217</v>
      </c>
    </row>
    <row r="10" customHeight="1" spans="2:8">
      <c r="B10">
        <v>7</v>
      </c>
      <c r="C10" s="1" t="s">
        <v>145</v>
      </c>
      <c r="D10" s="62" t="s">
        <v>398</v>
      </c>
      <c r="E10" s="63" t="s">
        <v>339</v>
      </c>
      <c r="F10" s="63" t="s">
        <v>399</v>
      </c>
      <c r="G10" s="1" t="s">
        <v>217</v>
      </c>
    </row>
    <row r="11" customHeight="1" spans="2:8">
      <c r="B11">
        <v>12</v>
      </c>
      <c r="C11" s="1" t="s">
        <v>400</v>
      </c>
      <c r="D11" s="62" t="s">
        <v>401</v>
      </c>
      <c r="E11" s="63" t="s">
        <v>339</v>
      </c>
      <c r="F11" s="1" t="s">
        <v>402</v>
      </c>
      <c r="G11" s="1" t="s">
        <v>217</v>
      </c>
    </row>
    <row r="12" customHeight="1" spans="2:8">
      <c r="B12">
        <v>13</v>
      </c>
      <c r="C12" s="1" t="s">
        <v>400</v>
      </c>
      <c r="D12" s="62" t="s">
        <v>401</v>
      </c>
      <c r="E12" s="63" t="s">
        <v>339</v>
      </c>
      <c r="F12" s="1" t="s">
        <v>403</v>
      </c>
      <c r="G12" s="1" t="s">
        <v>217</v>
      </c>
    </row>
    <row r="13" customHeight="1" spans="2:8">
      <c r="B13">
        <v>14</v>
      </c>
      <c r="C13" s="1" t="s">
        <v>400</v>
      </c>
      <c r="D13" s="62" t="s">
        <v>401</v>
      </c>
      <c r="E13" s="63" t="s">
        <v>339</v>
      </c>
      <c r="F13" s="1" t="s">
        <v>404</v>
      </c>
      <c r="G13" s="1" t="s">
        <v>217</v>
      </c>
    </row>
    <row r="14" customHeight="1" spans="2:8">
      <c r="B14">
        <v>15</v>
      </c>
      <c r="C14" s="1" t="s">
        <v>400</v>
      </c>
      <c r="D14" s="62" t="s">
        <v>401</v>
      </c>
      <c r="E14" s="63" t="s">
        <v>339</v>
      </c>
      <c r="F14" s="1" t="s">
        <v>405</v>
      </c>
      <c r="G14" s="1" t="s">
        <v>223</v>
      </c>
    </row>
    <row r="15" customHeight="1" spans="2:8">
      <c r="B15">
        <v>16</v>
      </c>
      <c r="C15" s="1" t="s">
        <v>400</v>
      </c>
      <c r="D15" s="62" t="s">
        <v>401</v>
      </c>
      <c r="E15" s="63" t="s">
        <v>339</v>
      </c>
      <c r="F15" s="1" t="s">
        <v>405</v>
      </c>
      <c r="G15" s="1" t="s">
        <v>219</v>
      </c>
    </row>
    <row r="16" customHeight="1" spans="2:8">
      <c r="B16">
        <v>25</v>
      </c>
      <c r="C16" s="1" t="s">
        <v>400</v>
      </c>
      <c r="D16" s="62" t="s">
        <v>57</v>
      </c>
      <c r="E16" s="63" t="s">
        <v>406</v>
      </c>
      <c r="F16" s="1" t="s">
        <v>407</v>
      </c>
      <c r="G16" s="1" t="s">
        <v>217</v>
      </c>
    </row>
    <row r="17" customHeight="1" spans="2:7">
      <c r="B17">
        <v>26</v>
      </c>
      <c r="C17" s="1" t="s">
        <v>101</v>
      </c>
      <c r="D17" s="62" t="s">
        <v>408</v>
      </c>
      <c r="E17" s="63" t="s">
        <v>409</v>
      </c>
      <c r="F17" s="1" t="s">
        <v>410</v>
      </c>
      <c r="G17" s="1" t="s">
        <v>223</v>
      </c>
    </row>
    <row r="18" customHeight="1" spans="2:7">
      <c r="B18">
        <v>28</v>
      </c>
      <c r="C18" s="1" t="s">
        <v>411</v>
      </c>
      <c r="D18" s="62" t="s">
        <v>412</v>
      </c>
      <c r="E18" s="63" t="s">
        <v>409</v>
      </c>
      <c r="F18" s="1" t="s">
        <v>413</v>
      </c>
      <c r="G18" s="1" t="s">
        <v>217</v>
      </c>
    </row>
    <row r="19" customHeight="1" spans="2:7">
      <c r="B19">
        <v>29</v>
      </c>
      <c r="C19" s="1" t="s">
        <v>120</v>
      </c>
      <c r="D19" s="62" t="s">
        <v>53</v>
      </c>
      <c r="E19" s="63" t="s">
        <v>349</v>
      </c>
      <c r="F19" s="1" t="s">
        <v>414</v>
      </c>
      <c r="G19" s="1" t="s">
        <v>217</v>
      </c>
    </row>
    <row r="20" customHeight="1" spans="2:7">
      <c r="B20">
        <v>30</v>
      </c>
      <c r="C20" s="1" t="s">
        <v>120</v>
      </c>
      <c r="D20" s="62" t="s">
        <v>59</v>
      </c>
      <c r="E20" s="63" t="s">
        <v>349</v>
      </c>
      <c r="F20" s="1" t="s">
        <v>415</v>
      </c>
      <c r="G20" s="1" t="s">
        <v>219</v>
      </c>
    </row>
    <row r="21" customHeight="1" spans="2:7">
      <c r="B21">
        <v>31</v>
      </c>
      <c r="C21" s="1" t="s">
        <v>120</v>
      </c>
      <c r="D21" s="62" t="s">
        <v>348</v>
      </c>
      <c r="E21" s="63" t="s">
        <v>349</v>
      </c>
      <c r="F21" s="1" t="s">
        <v>415</v>
      </c>
      <c r="G21" s="1" t="s">
        <v>223</v>
      </c>
    </row>
    <row r="22" customHeight="1" spans="2:7">
      <c r="B22">
        <v>32</v>
      </c>
      <c r="C22" s="1" t="s">
        <v>120</v>
      </c>
      <c r="D22" s="62" t="s">
        <v>59</v>
      </c>
      <c r="E22" s="63" t="s">
        <v>372</v>
      </c>
      <c r="F22" s="1" t="s">
        <v>416</v>
      </c>
      <c r="G22" s="1" t="s">
        <v>223</v>
      </c>
    </row>
    <row r="23" customHeight="1" spans="2:7">
      <c r="B23">
        <v>35</v>
      </c>
      <c r="C23" s="1" t="s">
        <v>101</v>
      </c>
      <c r="D23" s="62" t="s">
        <v>53</v>
      </c>
      <c r="E23" s="63" t="s">
        <v>376</v>
      </c>
      <c r="F23" s="1">
        <v>1</v>
      </c>
      <c r="G23" s="1" t="s">
        <v>217</v>
      </c>
    </row>
    <row r="24" customHeight="1" spans="2:7">
      <c r="B24">
        <v>36</v>
      </c>
      <c r="C24" s="1" t="s">
        <v>101</v>
      </c>
      <c r="D24" s="62" t="s">
        <v>59</v>
      </c>
      <c r="E24" s="63" t="s">
        <v>376</v>
      </c>
      <c r="F24" s="1" t="s">
        <v>417</v>
      </c>
      <c r="G24" s="1" t="s">
        <v>217</v>
      </c>
    </row>
    <row r="25" customHeight="1" spans="2:7">
      <c r="B25">
        <v>37</v>
      </c>
      <c r="C25" s="1" t="s">
        <v>120</v>
      </c>
      <c r="D25" s="62" t="s">
        <v>70</v>
      </c>
      <c r="E25" s="63" t="s">
        <v>376</v>
      </c>
      <c r="F25" s="1" t="s">
        <v>417</v>
      </c>
      <c r="G25" s="1" t="s">
        <v>217</v>
      </c>
    </row>
    <row r="26" customHeight="1" spans="2:7">
      <c r="B26">
        <v>39</v>
      </c>
      <c r="C26" s="1" t="s">
        <v>101</v>
      </c>
      <c r="D26" s="62" t="s">
        <v>418</v>
      </c>
      <c r="E26" s="63" t="s">
        <v>419</v>
      </c>
      <c r="F26" s="1" t="s">
        <v>420</v>
      </c>
      <c r="G26" s="1" t="s">
        <v>217</v>
      </c>
    </row>
    <row r="27" customHeight="1" spans="2:7">
      <c r="B27">
        <v>44</v>
      </c>
      <c r="C27" s="1" t="s">
        <v>101</v>
      </c>
      <c r="D27" s="62" t="s">
        <v>53</v>
      </c>
      <c r="E27" s="63" t="s">
        <v>386</v>
      </c>
      <c r="F27" s="1">
        <v>12</v>
      </c>
      <c r="G27" s="1" t="s">
        <v>217</v>
      </c>
    </row>
    <row r="28" customHeight="1" spans="2:7">
      <c r="B28">
        <v>45</v>
      </c>
      <c r="C28" s="1" t="s">
        <v>101</v>
      </c>
      <c r="D28" s="62">
        <v>12</v>
      </c>
      <c r="E28" s="63" t="s">
        <v>386</v>
      </c>
      <c r="F28" s="1">
        <v>12</v>
      </c>
      <c r="G28" s="1" t="s">
        <v>217</v>
      </c>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26"/>
  <sheetViews>
    <sheetView showGridLines="0" workbookViewId="0">
      <pane ySplit="4" topLeftCell="A5" activePane="bottomLeft" state="frozen"/>
      <selection/>
      <selection pane="bottomLeft" activeCell="H28" sqref="H28"/>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421</v>
      </c>
      <c r="D2" s="28"/>
      <c r="E2" s="48"/>
      <c r="F2" s="48"/>
      <c r="G2" s="48"/>
      <c r="H2" s="48"/>
      <c r="I2" s="27"/>
      <c r="J2" s="27"/>
    </row>
    <row r="3" ht="30" customHeight="1" spans="2:10">
      <c r="C3" s="27"/>
      <c r="D3" s="28"/>
      <c r="E3" s="48"/>
      <c r="F3" s="48"/>
      <c r="G3" s="48"/>
      <c r="H3" s="48"/>
      <c r="I3" s="27"/>
      <c r="J3" s="27"/>
    </row>
    <row r="4" ht="30" customHeight="1" spans="2:10">
      <c r="C4" s="7" t="s">
        <v>74</v>
      </c>
      <c r="D4" s="8" t="s">
        <v>36</v>
      </c>
      <c r="E4" s="64" t="s">
        <v>382</v>
      </c>
      <c r="F4" s="64" t="s">
        <v>422</v>
      </c>
      <c r="G4" s="64" t="s">
        <v>423</v>
      </c>
      <c r="H4" s="64" t="s">
        <v>388</v>
      </c>
      <c r="I4" s="7" t="s">
        <v>389</v>
      </c>
      <c r="J4" s="7" t="s">
        <v>384</v>
      </c>
    </row>
    <row r="5" customHeight="1" spans="2:10">
      <c r="B5">
        <v>1</v>
      </c>
      <c r="C5" s="1" t="s">
        <v>424</v>
      </c>
      <c r="D5" s="62" t="s">
        <v>53</v>
      </c>
      <c r="E5" s="63" t="s">
        <v>425</v>
      </c>
      <c r="F5" s="63" t="s">
        <v>426</v>
      </c>
      <c r="G5" s="63" t="s">
        <v>365</v>
      </c>
      <c r="H5" s="63" t="s">
        <v>388</v>
      </c>
      <c r="I5" s="1" t="s">
        <v>219</v>
      </c>
      <c r="J5" s="1" t="s">
        <v>427</v>
      </c>
    </row>
    <row r="6" customHeight="1" spans="2:10">
      <c r="B6">
        <v>2</v>
      </c>
      <c r="C6" s="1" t="s">
        <v>224</v>
      </c>
      <c r="D6" s="62" t="s">
        <v>53</v>
      </c>
      <c r="E6" s="63" t="s">
        <v>428</v>
      </c>
      <c r="F6" s="63" t="s">
        <v>426</v>
      </c>
      <c r="G6" s="63" t="s">
        <v>429</v>
      </c>
      <c r="H6" s="63" t="s">
        <v>430</v>
      </c>
      <c r="I6" s="1" t="s">
        <v>223</v>
      </c>
      <c r="J6" s="1" t="s">
        <v>431</v>
      </c>
    </row>
    <row r="7" customHeight="1" spans="2:10">
      <c r="B7">
        <v>3</v>
      </c>
      <c r="C7" s="1" t="s">
        <v>101</v>
      </c>
      <c r="D7" s="62" t="s">
        <v>53</v>
      </c>
      <c r="E7" s="63" t="s">
        <v>432</v>
      </c>
      <c r="F7" s="63" t="s">
        <v>365</v>
      </c>
      <c r="G7" s="63" t="s">
        <v>339</v>
      </c>
      <c r="H7" s="63" t="s">
        <v>51</v>
      </c>
      <c r="I7" s="1" t="s">
        <v>219</v>
      </c>
    </row>
    <row r="8" customHeight="1" spans="2:10">
      <c r="B8">
        <v>4</v>
      </c>
      <c r="C8" s="1" t="s">
        <v>224</v>
      </c>
      <c r="D8" s="62" t="s">
        <v>53</v>
      </c>
      <c r="E8" s="63" t="s">
        <v>365</v>
      </c>
      <c r="F8" s="63" t="s">
        <v>365</v>
      </c>
      <c r="G8" s="63" t="s">
        <v>339</v>
      </c>
      <c r="H8" s="63" t="s">
        <v>388</v>
      </c>
      <c r="I8" s="1" t="s">
        <v>219</v>
      </c>
    </row>
    <row r="9" customHeight="1" spans="2:10">
      <c r="B9">
        <v>7</v>
      </c>
      <c r="C9" s="1" t="s">
        <v>101</v>
      </c>
      <c r="D9" s="62" t="s">
        <v>56</v>
      </c>
      <c r="E9" s="63" t="s">
        <v>433</v>
      </c>
      <c r="F9" s="63" t="s">
        <v>433</v>
      </c>
      <c r="G9" s="63" t="s">
        <v>434</v>
      </c>
      <c r="H9" s="63" t="s">
        <v>51</v>
      </c>
      <c r="I9" s="1" t="s">
        <v>219</v>
      </c>
    </row>
    <row r="10" customHeight="1" spans="2:10">
      <c r="B10">
        <v>21</v>
      </c>
      <c r="C10" s="1" t="s">
        <v>224</v>
      </c>
      <c r="D10" s="62" t="s">
        <v>57</v>
      </c>
      <c r="E10" s="63" t="s">
        <v>435</v>
      </c>
      <c r="F10" s="63" t="s">
        <v>406</v>
      </c>
      <c r="G10" s="63" t="s">
        <v>409</v>
      </c>
      <c r="H10" s="63" t="s">
        <v>436</v>
      </c>
      <c r="I10" s="1" t="s">
        <v>223</v>
      </c>
    </row>
    <row r="11" customHeight="1" spans="2:10">
      <c r="B11">
        <v>22</v>
      </c>
      <c r="C11" s="1" t="s">
        <v>393</v>
      </c>
      <c r="D11" s="62" t="s">
        <v>53</v>
      </c>
      <c r="E11" s="63" t="s">
        <v>409</v>
      </c>
      <c r="F11" s="63" t="s">
        <v>437</v>
      </c>
      <c r="G11" s="63" t="s">
        <v>438</v>
      </c>
      <c r="H11" s="1" t="s">
        <v>51</v>
      </c>
      <c r="I11" s="1" t="s">
        <v>219</v>
      </c>
      <c r="J11" s="1" t="s">
        <v>439</v>
      </c>
    </row>
    <row r="12" customHeight="1" spans="2:10">
      <c r="B12">
        <v>23</v>
      </c>
      <c r="C12" s="1" t="s">
        <v>224</v>
      </c>
      <c r="D12" s="62" t="s">
        <v>56</v>
      </c>
      <c r="E12" s="63" t="s">
        <v>440</v>
      </c>
      <c r="F12" s="63" t="s">
        <v>433</v>
      </c>
      <c r="G12" s="63" t="s">
        <v>434</v>
      </c>
      <c r="H12" s="1" t="s">
        <v>415</v>
      </c>
      <c r="I12" s="1" t="s">
        <v>217</v>
      </c>
    </row>
    <row r="13" customHeight="1" spans="2:10">
      <c r="B13">
        <v>24</v>
      </c>
      <c r="C13" s="1" t="s">
        <v>224</v>
      </c>
      <c r="D13" s="62" t="s">
        <v>56</v>
      </c>
      <c r="E13" s="63" t="s">
        <v>441</v>
      </c>
      <c r="F13" s="63" t="s">
        <v>363</v>
      </c>
      <c r="G13" s="63" t="s">
        <v>442</v>
      </c>
      <c r="H13" s="1" t="s">
        <v>443</v>
      </c>
      <c r="I13" s="1" t="s">
        <v>217</v>
      </c>
    </row>
    <row r="14" customHeight="1" spans="2:10">
      <c r="B14">
        <v>25</v>
      </c>
      <c r="C14" s="1" t="s">
        <v>224</v>
      </c>
      <c r="D14" s="62" t="s">
        <v>67</v>
      </c>
      <c r="E14" s="63" t="s">
        <v>444</v>
      </c>
      <c r="F14" s="63" t="s">
        <v>409</v>
      </c>
      <c r="G14" s="63" t="s">
        <v>437</v>
      </c>
      <c r="H14" s="1" t="s">
        <v>445</v>
      </c>
      <c r="I14" s="1" t="s">
        <v>217</v>
      </c>
    </row>
    <row r="15" customHeight="1" spans="2:10">
      <c r="B15">
        <v>26</v>
      </c>
      <c r="C15" s="1" t="s">
        <v>224</v>
      </c>
      <c r="D15" s="62" t="s">
        <v>56</v>
      </c>
      <c r="E15" s="63" t="s">
        <v>446</v>
      </c>
      <c r="F15" s="63" t="s">
        <v>437</v>
      </c>
      <c r="G15" s="63" t="s">
        <v>438</v>
      </c>
      <c r="H15" s="1" t="s">
        <v>447</v>
      </c>
      <c r="I15" s="1" t="s">
        <v>217</v>
      </c>
    </row>
    <row r="16" customHeight="1" spans="2:10">
      <c r="B16">
        <v>27</v>
      </c>
      <c r="C16" s="1" t="s">
        <v>393</v>
      </c>
      <c r="D16" s="62" t="s">
        <v>58</v>
      </c>
      <c r="E16" s="63" t="s">
        <v>448</v>
      </c>
      <c r="F16" s="63" t="s">
        <v>372</v>
      </c>
      <c r="G16" s="63" t="s">
        <v>449</v>
      </c>
      <c r="H16" s="1" t="s">
        <v>450</v>
      </c>
      <c r="I16" s="1" t="s">
        <v>219</v>
      </c>
    </row>
    <row r="17" customHeight="1" spans="2:10">
      <c r="B17">
        <v>29</v>
      </c>
      <c r="C17" s="1" t="s">
        <v>101</v>
      </c>
      <c r="D17" s="62" t="s">
        <v>71</v>
      </c>
      <c r="E17" s="63" t="s">
        <v>451</v>
      </c>
      <c r="F17" s="63" t="s">
        <v>452</v>
      </c>
      <c r="G17" s="63" t="s">
        <v>376</v>
      </c>
      <c r="H17" s="1" t="s">
        <v>415</v>
      </c>
      <c r="I17" s="1" t="s">
        <v>217</v>
      </c>
    </row>
    <row r="18" customHeight="1" spans="2:10">
      <c r="B18">
        <v>30</v>
      </c>
      <c r="C18" s="1" t="s">
        <v>101</v>
      </c>
      <c r="D18" s="62" t="s">
        <v>59</v>
      </c>
      <c r="E18" s="63" t="s">
        <v>372</v>
      </c>
      <c r="F18" s="63" t="s">
        <v>372</v>
      </c>
      <c r="G18" s="63" t="s">
        <v>453</v>
      </c>
      <c r="H18" s="1" t="s">
        <v>450</v>
      </c>
      <c r="I18" s="1" t="s">
        <v>223</v>
      </c>
      <c r="J18" s="1" t="s">
        <v>373</v>
      </c>
    </row>
    <row r="19" customHeight="1" spans="2:10">
      <c r="B19">
        <v>32</v>
      </c>
      <c r="C19" s="1" t="s">
        <v>101</v>
      </c>
      <c r="D19" s="62" t="s">
        <v>53</v>
      </c>
      <c r="E19" s="63" t="s">
        <v>454</v>
      </c>
      <c r="F19" s="63" t="s">
        <v>376</v>
      </c>
      <c r="G19" s="63" t="s">
        <v>353</v>
      </c>
      <c r="H19" s="1" t="s">
        <v>415</v>
      </c>
      <c r="I19" s="1" t="s">
        <v>223</v>
      </c>
    </row>
    <row r="20" customHeight="1" spans="2:10">
      <c r="B20">
        <v>36</v>
      </c>
      <c r="C20" s="1" t="s">
        <v>101</v>
      </c>
      <c r="D20" s="62" t="s">
        <v>70</v>
      </c>
      <c r="E20" s="63" t="s">
        <v>455</v>
      </c>
      <c r="F20" s="63" t="s">
        <v>419</v>
      </c>
      <c r="G20" s="63" t="s">
        <v>355</v>
      </c>
      <c r="H20" s="1" t="s">
        <v>415</v>
      </c>
      <c r="I20" s="1" t="s">
        <v>217</v>
      </c>
    </row>
    <row r="21" customHeight="1" spans="2:10">
      <c r="B21">
        <v>38</v>
      </c>
      <c r="C21" s="1" t="s">
        <v>235</v>
      </c>
      <c r="D21" s="62" t="s">
        <v>61</v>
      </c>
      <c r="E21" s="63" t="s">
        <v>386</v>
      </c>
      <c r="F21" s="63" t="s">
        <v>456</v>
      </c>
      <c r="G21" s="63" t="s">
        <v>386</v>
      </c>
      <c r="H21" s="1">
        <v>12</v>
      </c>
      <c r="I21" s="1" t="s">
        <v>217</v>
      </c>
    </row>
    <row r="22" customHeight="1" spans="2:10">
      <c r="B22">
        <v>41</v>
      </c>
      <c r="C22" s="1" t="s">
        <v>235</v>
      </c>
      <c r="D22" s="62" t="s">
        <v>61</v>
      </c>
      <c r="E22" s="63" t="s">
        <v>457</v>
      </c>
      <c r="F22" s="63" t="s">
        <v>456</v>
      </c>
      <c r="G22" s="63" t="s">
        <v>386</v>
      </c>
      <c r="H22" s="1">
        <v>12</v>
      </c>
      <c r="I22" s="1" t="s">
        <v>217</v>
      </c>
    </row>
    <row r="23" customHeight="1" spans="2:10">
      <c r="B23">
        <v>42</v>
      </c>
      <c r="C23" s="1" t="s">
        <v>101</v>
      </c>
      <c r="D23" s="62" t="s">
        <v>53</v>
      </c>
      <c r="E23" s="63" t="s">
        <v>457</v>
      </c>
      <c r="F23" s="63" t="s">
        <v>386</v>
      </c>
      <c r="G23" s="63" t="s">
        <v>457</v>
      </c>
      <c r="H23" s="1">
        <v>1</v>
      </c>
      <c r="I23" s="1" t="s">
        <v>217</v>
      </c>
    </row>
    <row r="24" customHeight="1" spans="2:10">
      <c r="B24">
        <v>43</v>
      </c>
      <c r="C24" s="1" t="s">
        <v>101</v>
      </c>
      <c r="D24" s="62" t="s">
        <v>53</v>
      </c>
      <c r="E24" s="63" t="s">
        <v>457</v>
      </c>
      <c r="F24" s="63" t="s">
        <v>386</v>
      </c>
      <c r="G24" s="63" t="s">
        <v>457</v>
      </c>
      <c r="H24" s="1">
        <v>1</v>
      </c>
      <c r="I24" s="1" t="s">
        <v>217</v>
      </c>
    </row>
    <row r="25" customHeight="1" spans="2:10">
      <c r="B25">
        <v>44</v>
      </c>
      <c r="C25" s="1" t="s">
        <v>101</v>
      </c>
      <c r="D25" s="62" t="s">
        <v>53</v>
      </c>
      <c r="E25" s="63" t="s">
        <v>457</v>
      </c>
      <c r="F25" s="63" t="s">
        <v>458</v>
      </c>
      <c r="G25" s="63" t="s">
        <v>459</v>
      </c>
      <c r="H25" s="1">
        <v>1</v>
      </c>
      <c r="I25" s="1" t="s">
        <v>217</v>
      </c>
    </row>
    <row r="26" customHeight="1" spans="2:10">
      <c r="B26">
        <v>45</v>
      </c>
      <c r="C26" s="1" t="s">
        <v>101</v>
      </c>
      <c r="D26" s="62" t="s">
        <v>68</v>
      </c>
      <c r="E26" s="63" t="s">
        <v>457</v>
      </c>
      <c r="F26" s="63" t="s">
        <v>460</v>
      </c>
      <c r="G26" s="63" t="s">
        <v>459</v>
      </c>
      <c r="H26" s="1">
        <v>2</v>
      </c>
      <c r="I26" s="1" t="s">
        <v>223</v>
      </c>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13"/>
  <sheetViews>
    <sheetView showGridLines="0" topLeftCell="C1" workbookViewId="0">
      <pane ySplit="4" topLeftCell="A5" activePane="bottomLeft" state="frozen"/>
      <selection/>
      <selection pane="bottomLeft" activeCell="F9" sqref="F9"/>
    </sheetView>
  </sheetViews>
  <sheetFormatPr defaultColWidth="9" defaultRowHeight="20" customHeight="1"/>
  <cols>
    <col min="1" max="1" width="4.625" style="46" customWidth="1"/>
    <col min="2" max="2" width="4.625" style="53" hidden="1" customWidth="1"/>
    <col min="3" max="3" width="12.625" style="47" customWidth="1"/>
    <col min="4" max="4" width="12.625" style="54" customWidth="1"/>
    <col min="5" max="5" width="22.875" style="55" customWidth="1"/>
    <col min="6" max="7" width="22" style="55" customWidth="1"/>
    <col min="8" max="8" width="22" style="47" customWidth="1"/>
    <col min="9" max="9" width="12.625" style="47" customWidth="1"/>
    <col min="10" max="10" width="20.625" style="47" customWidth="1"/>
    <col min="11" max="34" width="9" style="52"/>
    <col min="35" max="16384" width="9" style="56"/>
  </cols>
  <sheetData>
    <row r="1" customFormat="1" ht="54.75" customHeight="1" spans="1:34">
      <c r="A1" s="46"/>
      <c r="C1" s="27"/>
      <c r="D1" s="28"/>
      <c r="E1" s="48"/>
      <c r="F1" s="48"/>
      <c r="G1" s="48"/>
      <c r="H1" s="48"/>
      <c r="I1" s="27"/>
      <c r="J1" s="27"/>
    </row>
    <row r="2" customFormat="1" ht="40" customHeight="1" spans="1:34">
      <c r="A2" s="46"/>
      <c r="C2" s="4" t="s">
        <v>461</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1</v>
      </c>
      <c r="C4" s="49" t="s">
        <v>36</v>
      </c>
      <c r="D4" s="49" t="s">
        <v>74</v>
      </c>
      <c r="E4" s="49" t="s">
        <v>462</v>
      </c>
      <c r="F4" s="49" t="s">
        <v>463</v>
      </c>
      <c r="G4" s="49" t="s">
        <v>464</v>
      </c>
      <c r="H4" s="49" t="s">
        <v>465</v>
      </c>
      <c r="I4" s="49" t="s">
        <v>466</v>
      </c>
      <c r="J4" s="49" t="s">
        <v>210</v>
      </c>
      <c r="K4" s="49"/>
      <c r="L4" s="49"/>
      <c r="M4" s="49"/>
      <c r="N4" s="57"/>
      <c r="O4" s="57"/>
      <c r="P4" s="57"/>
      <c r="Q4" s="49"/>
      <c r="R4" s="49"/>
      <c r="S4" s="49"/>
      <c r="T4" s="58"/>
      <c r="U4" s="57"/>
      <c r="V4" s="57"/>
      <c r="W4" s="57"/>
      <c r="X4" s="57"/>
      <c r="Y4" s="49"/>
      <c r="Z4" s="49"/>
      <c r="AA4" s="49"/>
      <c r="AB4" s="58"/>
      <c r="AC4" s="57"/>
      <c r="AD4" s="57"/>
      <c r="AE4" s="57"/>
      <c r="AF4" s="57"/>
      <c r="AG4" s="49"/>
      <c r="AH4" s="49"/>
    </row>
    <row r="5" customHeight="1" spans="1:34">
      <c r="B5" s="59">
        <v>5</v>
      </c>
      <c r="C5" s="47" t="s">
        <v>418</v>
      </c>
      <c r="D5" s="47" t="s">
        <v>400</v>
      </c>
      <c r="E5" s="47" t="s">
        <v>114</v>
      </c>
      <c r="F5" s="47">
        <v>500</v>
      </c>
      <c r="G5" s="47">
        <v>10</v>
      </c>
      <c r="H5" s="47">
        <v>1000</v>
      </c>
      <c r="I5" s="47">
        <v>4000</v>
      </c>
      <c r="J5" s="47">
        <v>5000</v>
      </c>
      <c r="K5" s="60"/>
      <c r="L5" s="60"/>
      <c r="M5" s="60"/>
    </row>
    <row r="6" customHeight="1" spans="1:34">
      <c r="B6" s="59">
        <v>7</v>
      </c>
      <c r="C6" s="47" t="s">
        <v>53</v>
      </c>
      <c r="D6" s="47" t="s">
        <v>400</v>
      </c>
      <c r="E6" s="47" t="s">
        <v>222</v>
      </c>
      <c r="F6" s="47">
        <v>1000</v>
      </c>
      <c r="G6" s="47">
        <v>3</v>
      </c>
      <c r="H6" s="47">
        <v>0</v>
      </c>
      <c r="I6" s="47">
        <v>3000</v>
      </c>
      <c r="J6" s="47">
        <v>3000</v>
      </c>
      <c r="K6" s="60"/>
      <c r="L6" s="60"/>
      <c r="M6" s="60"/>
    </row>
    <row r="7" customHeight="1" spans="1:34">
      <c r="B7" s="59">
        <v>15</v>
      </c>
      <c r="C7" s="47" t="s">
        <v>53</v>
      </c>
      <c r="D7" s="47" t="s">
        <v>400</v>
      </c>
      <c r="E7" s="47" t="s">
        <v>222</v>
      </c>
      <c r="F7" s="47">
        <v>100</v>
      </c>
      <c r="G7" s="47">
        <v>31</v>
      </c>
      <c r="H7" s="47">
        <v>1000</v>
      </c>
      <c r="I7" s="47">
        <v>2100</v>
      </c>
      <c r="J7" s="47">
        <v>3100</v>
      </c>
      <c r="K7" s="60"/>
      <c r="L7" s="60"/>
      <c r="M7" s="60"/>
    </row>
    <row r="8" customHeight="1" spans="1:34">
      <c r="B8" s="59">
        <v>19</v>
      </c>
      <c r="C8" s="47" t="s">
        <v>467</v>
      </c>
      <c r="D8" s="47" t="s">
        <v>400</v>
      </c>
      <c r="E8" s="47" t="s">
        <v>468</v>
      </c>
      <c r="F8" s="61">
        <v>1000</v>
      </c>
      <c r="G8" s="61">
        <v>31</v>
      </c>
      <c r="H8" s="47">
        <v>1000</v>
      </c>
      <c r="I8" s="47">
        <v>30000</v>
      </c>
      <c r="J8" s="47">
        <v>31000</v>
      </c>
      <c r="K8" s="60"/>
      <c r="L8" s="60"/>
      <c r="M8" s="60"/>
    </row>
    <row r="9" customHeight="1" spans="1:34">
      <c r="B9" s="59">
        <v>21</v>
      </c>
      <c r="C9" s="47" t="s">
        <v>467</v>
      </c>
      <c r="D9" s="47" t="s">
        <v>469</v>
      </c>
      <c r="E9" s="47" t="s">
        <v>166</v>
      </c>
      <c r="F9" s="61">
        <v>100</v>
      </c>
      <c r="G9" s="61">
        <v>20</v>
      </c>
      <c r="H9" s="47">
        <v>100</v>
      </c>
      <c r="I9" s="47">
        <v>1900</v>
      </c>
      <c r="J9" s="47">
        <v>2000</v>
      </c>
      <c r="K9" s="60"/>
      <c r="L9" s="60"/>
      <c r="M9" s="60"/>
    </row>
    <row r="10" customHeight="1" spans="1:34">
      <c r="B10" s="59">
        <v>32</v>
      </c>
      <c r="D10" s="47"/>
      <c r="E10" s="47"/>
      <c r="F10" s="61"/>
      <c r="G10" s="61"/>
      <c r="K10" s="60"/>
      <c r="L10" s="60"/>
      <c r="M10" s="60"/>
    </row>
    <row r="11" customHeight="1" spans="1:34">
      <c r="B11" s="59">
        <v>33</v>
      </c>
      <c r="D11" s="47"/>
      <c r="E11" s="47"/>
      <c r="F11" s="61"/>
      <c r="G11" s="61"/>
      <c r="K11" s="60"/>
      <c r="L11" s="60"/>
      <c r="M11" s="60"/>
    </row>
    <row r="12" customHeight="1" spans="1:34">
      <c r="B12" s="53">
        <v>34</v>
      </c>
    </row>
    <row r="13" customHeight="1" spans="1:34">
      <c r="B13" s="53">
        <v>35</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D10" sqref="D10"/>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470</v>
      </c>
      <c r="C2" s="28"/>
    </row>
    <row r="3" customFormat="1" ht="30" customHeight="1" spans="1:3">
      <c r="A3" s="46"/>
      <c r="B3" s="27"/>
      <c r="C3" s="28"/>
    </row>
    <row r="4" customFormat="1" ht="30" customHeight="1" spans="1:3">
      <c r="A4" s="46"/>
      <c r="B4" s="51" t="s">
        <v>471</v>
      </c>
      <c r="C4" s="51" t="s">
        <v>472</v>
      </c>
    </row>
    <row r="5" customHeight="1" spans="1:3">
      <c r="B5" s="52" t="s">
        <v>74</v>
      </c>
      <c r="C5" s="52" t="s">
        <v>466</v>
      </c>
    </row>
    <row r="8" customHeight="1" spans="1:3">
      <c r="B8" s="5" t="s">
        <v>400</v>
      </c>
      <c r="C8" s="5">
        <v>39100</v>
      </c>
    </row>
    <row r="9" customHeight="1" spans="1:3">
      <c r="B9" s="5" t="s">
        <v>469</v>
      </c>
      <c r="C9" s="5">
        <v>1900</v>
      </c>
    </row>
    <row r="10" customHeight="1" spans="1:3">
      <c r="B10" s="5" t="s">
        <v>101</v>
      </c>
      <c r="C10" s="5">
        <v>0</v>
      </c>
    </row>
    <row r="11" customHeight="1" spans="1:3">
      <c r="B11" s="5" t="s">
        <v>145</v>
      </c>
      <c r="C11" s="5">
        <v>0</v>
      </c>
    </row>
    <row r="12" customHeight="1" spans="1:3">
      <c r="B12" s="5" t="s">
        <v>393</v>
      </c>
      <c r="C12" s="5">
        <v>0</v>
      </c>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J10" sqref="J10"/>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473</v>
      </c>
      <c r="D2" s="48"/>
    </row>
    <row r="3" customFormat="1" ht="30" customHeight="1" spans="1:4">
      <c r="A3" s="46"/>
      <c r="C3" s="28"/>
      <c r="D3" s="48"/>
    </row>
    <row r="4" customFormat="1" ht="30" customHeight="1" spans="1:4">
      <c r="A4" s="46"/>
      <c r="B4" s="27"/>
      <c r="C4" s="49" t="s">
        <v>471</v>
      </c>
      <c r="D4" s="49" t="s">
        <v>474</v>
      </c>
    </row>
    <row r="5" customHeight="1" spans="1:4">
      <c r="B5" s="50">
        <v>13</v>
      </c>
      <c r="C5" s="47" t="s">
        <v>210</v>
      </c>
      <c r="D5" s="47" t="s">
        <v>475</v>
      </c>
    </row>
    <row r="6" customHeight="1" spans="1:4">
      <c r="B6" s="50">
        <v>24</v>
      </c>
      <c r="C6" s="47" t="s">
        <v>466</v>
      </c>
      <c r="D6" s="47" t="s">
        <v>476</v>
      </c>
    </row>
    <row r="7" customHeight="1" spans="1:4">
      <c r="B7" s="50">
        <v>33</v>
      </c>
      <c r="C7" s="47" t="s">
        <v>59</v>
      </c>
      <c r="D7" s="47" t="s">
        <v>477</v>
      </c>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G7" sqref="G7"/>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478</v>
      </c>
      <c r="C2" s="28"/>
      <c r="H2"/>
      <c r="I2"/>
      <c r="J2"/>
      <c r="K2"/>
      <c r="L2"/>
    </row>
    <row r="3" ht="30" customHeight="1" spans="2:12">
      <c r="B3" s="27"/>
      <c r="C3" s="28"/>
      <c r="E3" s="29"/>
      <c r="F3" s="29"/>
      <c r="G3" s="29"/>
      <c r="H3" s="15" t="s">
        <v>380</v>
      </c>
      <c r="I3" s="16"/>
      <c r="J3" s="16"/>
      <c r="K3" s="16"/>
      <c r="L3" s="16"/>
    </row>
    <row r="4" ht="30" customHeight="1" spans="2:12">
      <c r="B4" s="30" t="s">
        <v>479</v>
      </c>
      <c r="C4" s="31"/>
      <c r="E4" s="30" t="s">
        <v>381</v>
      </c>
      <c r="F4" s="31"/>
      <c r="G4" s="29"/>
      <c r="H4" s="17" t="s">
        <v>382</v>
      </c>
      <c r="I4" s="17" t="s">
        <v>36</v>
      </c>
      <c r="J4" s="17" t="s">
        <v>74</v>
      </c>
      <c r="K4" s="17" t="s">
        <v>383</v>
      </c>
      <c r="L4" s="17" t="s">
        <v>384</v>
      </c>
    </row>
    <row r="5" customHeight="1" spans="2:12">
      <c r="B5" s="32" t="s">
        <v>74</v>
      </c>
      <c r="C5" s="13" t="s">
        <v>235</v>
      </c>
      <c r="E5" s="33" t="s">
        <v>480</v>
      </c>
      <c r="F5" s="34" t="s">
        <v>456</v>
      </c>
      <c r="H5" s="25" t="s">
        <v>386</v>
      </c>
      <c r="I5" s="13" t="s">
        <v>61</v>
      </c>
      <c r="J5" s="13" t="s">
        <v>235</v>
      </c>
      <c r="K5" s="13" t="s">
        <v>217</v>
      </c>
    </row>
    <row r="6" customHeight="1" spans="2:12">
      <c r="B6" s="32" t="s">
        <v>36</v>
      </c>
      <c r="C6" s="13" t="s">
        <v>61</v>
      </c>
      <c r="E6" s="21" t="s">
        <v>481</v>
      </c>
      <c r="F6" s="35" t="s">
        <v>386</v>
      </c>
    </row>
    <row r="7" customHeight="1" spans="2:12">
      <c r="B7" s="36" t="s">
        <v>482</v>
      </c>
      <c r="C7" s="36"/>
      <c r="E7" s="33" t="s">
        <v>385</v>
      </c>
      <c r="F7" s="37"/>
    </row>
    <row r="8" customHeight="1" spans="2:12">
      <c r="B8" s="36"/>
      <c r="C8" s="36"/>
      <c r="E8" s="38">
        <v>12</v>
      </c>
      <c r="F8" s="38"/>
    </row>
    <row r="9" customHeight="1" spans="2:12">
      <c r="B9" s="39" t="s">
        <v>483</v>
      </c>
      <c r="C9" s="40" t="s">
        <v>484</v>
      </c>
      <c r="E9" s="38"/>
      <c r="F9" s="38"/>
    </row>
    <row r="10" customHeight="1" spans="2:12">
      <c r="B10" s="41"/>
      <c r="C10" s="42"/>
      <c r="E10" s="38"/>
      <c r="F10" s="38"/>
    </row>
    <row r="11" customHeight="1" spans="2:12">
      <c r="B11" s="43" t="s">
        <v>485</v>
      </c>
      <c r="C11" s="44"/>
      <c r="E11" s="38"/>
      <c r="F11" s="38"/>
    </row>
    <row r="12" customHeight="1" spans="2:12">
      <c r="B12" s="44"/>
      <c r="C12" s="44"/>
    </row>
    <row r="20" customHeight="1" spans="2:3">
      <c r="B20" s="45">
        <v>0.375</v>
      </c>
      <c r="C20" s="45">
        <v>0.75</v>
      </c>
    </row>
    <row r="21" customHeight="1" spans="2:3">
      <c r="B21" s="45">
        <v>0.5</v>
      </c>
      <c r="C21" s="45">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customWidth="1"/>
    <col min="2" max="2" width="8.5" style="11" hidden="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486</v>
      </c>
      <c r="C2"/>
      <c r="D2"/>
      <c r="E2"/>
      <c r="F2"/>
      <c r="G2"/>
      <c r="H2"/>
    </row>
    <row r="3" ht="30" customHeight="1" spans="2:11">
      <c r="B3" s="14"/>
      <c r="C3" s="15" t="s">
        <v>487</v>
      </c>
      <c r="D3" s="16"/>
      <c r="E3" s="16"/>
      <c r="F3" s="16"/>
      <c r="G3" s="16"/>
      <c r="H3" s="16"/>
    </row>
    <row r="4" ht="30" customHeight="1" spans="2:11">
      <c r="B4" s="14"/>
      <c r="C4" s="17" t="s">
        <v>488</v>
      </c>
      <c r="D4" s="17" t="s">
        <v>489</v>
      </c>
      <c r="E4" s="17" t="s">
        <v>490</v>
      </c>
      <c r="F4" s="17" t="s">
        <v>491</v>
      </c>
      <c r="G4" s="17" t="s">
        <v>492</v>
      </c>
      <c r="H4" s="17" t="s">
        <v>74</v>
      </c>
      <c r="J4" s="18" t="s">
        <v>493</v>
      </c>
      <c r="K4" s="19"/>
    </row>
    <row r="5" customHeight="1" spans="2:11">
      <c r="B5" s="20">
        <v>12</v>
      </c>
      <c r="C5" s="12">
        <v>0.333333333333333</v>
      </c>
      <c r="D5" s="12">
        <v>0.708333333333333</v>
      </c>
      <c r="E5" s="12">
        <v>0.5</v>
      </c>
      <c r="F5" s="12">
        <v>0.541666666666667</v>
      </c>
      <c r="G5" s="13" t="s">
        <v>494</v>
      </c>
      <c r="H5" s="13" t="s">
        <v>101</v>
      </c>
      <c r="J5" s="21" t="s">
        <v>74</v>
      </c>
      <c r="K5" s="22" t="s">
        <v>235</v>
      </c>
    </row>
    <row r="6" customHeight="1" spans="2:11">
      <c r="B6" s="11">
        <v>15</v>
      </c>
      <c r="C6" s="12">
        <v>0.375</v>
      </c>
      <c r="D6" s="12">
        <v>0.75</v>
      </c>
      <c r="E6" s="12">
        <v>0.5</v>
      </c>
      <c r="F6" s="12">
        <v>0.548611111111111</v>
      </c>
      <c r="G6" s="13" t="s">
        <v>495</v>
      </c>
      <c r="H6" s="13" t="s">
        <v>101</v>
      </c>
      <c r="J6" s="21" t="s">
        <v>496</v>
      </c>
      <c r="K6" s="23" t="s">
        <v>419</v>
      </c>
    </row>
    <row r="7" customHeight="1" spans="2:11">
      <c r="B7" s="11">
        <v>16</v>
      </c>
      <c r="C7" s="12">
        <v>0.381944444444444</v>
      </c>
      <c r="D7" s="12">
        <v>0.756944444444444</v>
      </c>
      <c r="E7" s="12">
        <v>0.506944444444444</v>
      </c>
      <c r="F7" s="12">
        <v>0.541666666666667</v>
      </c>
      <c r="G7" s="13" t="s">
        <v>497</v>
      </c>
      <c r="H7" s="13" t="s">
        <v>145</v>
      </c>
      <c r="J7" s="21" t="s">
        <v>498</v>
      </c>
      <c r="K7" s="23" t="s">
        <v>459</v>
      </c>
    </row>
    <row r="8" customHeight="1" spans="2:11">
      <c r="B8" s="11">
        <v>32</v>
      </c>
      <c r="C8" s="12">
        <v>0.375</v>
      </c>
      <c r="D8" s="12">
        <v>0.75</v>
      </c>
      <c r="E8" s="12">
        <v>0.5</v>
      </c>
      <c r="F8" s="12">
        <v>0.541666666666667</v>
      </c>
      <c r="G8" s="24">
        <v>46065</v>
      </c>
      <c r="H8" s="13" t="s">
        <v>235</v>
      </c>
      <c r="J8" s="21" t="s">
        <v>488</v>
      </c>
      <c r="K8" s="25" t="s">
        <v>499</v>
      </c>
    </row>
    <row r="9" customHeight="1" spans="2:11">
      <c r="B9" s="11">
        <v>33</v>
      </c>
      <c r="C9" s="12">
        <v>0.375</v>
      </c>
      <c r="D9" s="12">
        <v>0.75</v>
      </c>
      <c r="E9" s="12">
        <v>0.5</v>
      </c>
      <c r="F9" s="12">
        <v>0.541666666666667</v>
      </c>
      <c r="G9" s="13" t="s">
        <v>500</v>
      </c>
      <c r="H9" s="13" t="s">
        <v>101</v>
      </c>
      <c r="J9" s="21" t="s">
        <v>489</v>
      </c>
      <c r="K9" s="26">
        <v>0.75</v>
      </c>
    </row>
    <row r="10" customHeight="1" spans="2:11">
      <c r="B10" s="11">
        <v>37</v>
      </c>
      <c r="C10" s="12">
        <v>0.375</v>
      </c>
      <c r="D10" s="12">
        <v>0.75</v>
      </c>
      <c r="E10" s="12">
        <v>0.5</v>
      </c>
      <c r="F10" s="12">
        <v>0.541666666666667</v>
      </c>
      <c r="G10" s="13" t="s">
        <v>501</v>
      </c>
      <c r="H10" s="13" t="s">
        <v>235</v>
      </c>
      <c r="J10" s="21" t="s">
        <v>490</v>
      </c>
      <c r="K10" s="26">
        <v>0.5</v>
      </c>
    </row>
    <row r="11" customHeight="1" spans="2:11">
      <c r="B11" s="11">
        <v>38</v>
      </c>
      <c r="C11" s="12">
        <v>0.375</v>
      </c>
      <c r="D11" s="12">
        <v>0.75</v>
      </c>
      <c r="E11" s="12">
        <v>0.5</v>
      </c>
      <c r="F11" s="12">
        <v>0.541666666666667</v>
      </c>
      <c r="G11" s="13" t="s">
        <v>502</v>
      </c>
      <c r="H11" s="13" t="s">
        <v>235</v>
      </c>
      <c r="J11" s="21" t="s">
        <v>491</v>
      </c>
      <c r="K11" s="26">
        <v>0.541666666666667</v>
      </c>
    </row>
    <row r="12" customHeight="1" spans="2:11">
      <c r="J12" s="21" t="s">
        <v>503</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E8" sqref="E8"/>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504</v>
      </c>
      <c r="C2" s="5">
        <v>49</v>
      </c>
      <c r="D2" s="6" t="s">
        <v>243</v>
      </c>
    </row>
    <row r="3" ht="30" customHeight="1" spans="2:4">
      <c r="B3" s="3"/>
    </row>
    <row r="4" ht="30" customHeight="1" spans="2:4">
      <c r="B4" s="7" t="s">
        <v>505</v>
      </c>
      <c r="C4" s="8" t="s">
        <v>506</v>
      </c>
    </row>
    <row r="5" customHeight="1" spans="2:4">
      <c r="B5" s="9" t="s">
        <v>370</v>
      </c>
      <c r="C5" s="2" t="s">
        <v>507</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2026-02-26T06:09:09Z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