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<sst xmlns="http://schemas.openxmlformats.org/spreadsheetml/2006/main" count="365" uniqueCount="116">
  <si>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</si>
  <si>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</si>
  <si>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</si>
  <si>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</si>
  <si>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</si>
  <si>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</si>
  <si>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</si>
  <si>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</si>
  <si>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</si>
  <si>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</si>
  <si>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</si>
  <si>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</si>
  <si>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</si>
  <si>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</si>
  <si>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</si>
  <si>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</si>
  <si>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</si>
  <si>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</si>
  <si>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</si>
  <si>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</si>
  <si>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</si>
  <si>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</si>
  <si>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</si>
  <si>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t>
  </si>
  <si>
    <t>excel20260408sqlsever</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</si>
  <si>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</si>
  <si>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</si>
  <si>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</si>
  <si>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</si>
  <si>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</si>
  <si>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</si>
  <si>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</si>
  <si>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</si>
  <si>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</si>
  <si>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</si>
  <si>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</si>
  <si>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</si>
  <si>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</si>
  <si>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</si>
  <si>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</si>
  <si>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</si>
  <si>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</si>
  <si>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</si>
  <si>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</si>
  <si>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</si>
  <si>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</si>
  <si>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</si>
  <si>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</si>
  <si>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</si>
  <si>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</si>
  <si>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</si>
  <si>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</si>
  <si>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</si>
  <si>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</si>
  <si>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钢笔</t>
  </si>
  <si>
    <t>文具</t>
  </si>
  <si>
    <t>支</t>
  </si>
  <si>
    <t>实际数量</t>
  </si>
  <si>
    <t>B仓库</t>
  </si>
  <si>
    <t>双击
勾选</t>
  </si>
  <si>
    <t>id</t>
  </si>
  <si>
    <t>订单号</t>
  </si>
  <si>
    <t>价格</t>
  </si>
  <si>
    <t>类型</t>
  </si>
  <si>
    <t>时间</t>
  </si>
  <si>
    <t>公司名</t>
  </si>
  <si>
    <t>进货方</t>
  </si>
  <si>
    <t>采购单</t>
  </si>
  <si>
    <t>订单号:</t>
  </si>
  <si>
    <t>入库时间:</t>
  </si>
  <si>
    <t>供应商:</t>
  </si>
  <si>
    <t>海蓝</t>
  </si>
  <si>
    <t>仓库:</t>
  </si>
  <si>
    <t>合计金额：29000</t>
  </si>
  <si>
    <t>商品售价</t>
  </si>
  <si>
    <t>商品数量</t>
  </si>
  <si>
    <t>期初合计金额：399</t>
  </si>
  <si>
    <t>期末合计金额：0</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</si>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</sst>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strCache>
            </c:strRef>
          </c:cat>
          <c:val>
            <c:numRef>
              <c:f>销售退货统计!$N$4:$U$4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strCache>
            </c:strRef>
          </c:cat>
          <c:val>
            <c:numRef>
              <c:f>销售退货统计!$N$4:$U$4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strCache>
            </c:strRef>
          </c:cat>
          <c:val>
            <c:numRef>
              <c:f>采购退货统计!$N$4:$U$4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strCache>
            </c:strRef>
          </c:cat>
          <c:val>
            <c:numRef>
              <c:f>采购退货统计!$N$4:$U$4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297815</xdr:colOff>
      <xdr:row>0</xdr:row>
      <xdr:rowOff>85725</xdr:rowOff>
    </xdr:from>
    <xdr:to>
      <xdr:col>7</xdr:col>
      <xdr:colOff>996315</xdr:colOff>
      <xdr:row>0</xdr:row>
      <xdr:rowOff>600710</xdr:rowOff>
    </xdr:to>
    <xdr:sp macro="[0]!up">
      <xdr:nvSpPr>
        <xdr:cNvPr id="3" name="nextPage"/>
        <xdr:cNvSpPr/>
      </xdr:nvSpPr>
      <xdr:spPr>
        <a:xfrm>
          <a:off x="7793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1183640</xdr:colOff>
      <xdr:row>0</xdr:row>
      <xdr:rowOff>159385</xdr:rowOff>
    </xdr:from>
    <xdr:to>
      <xdr:col>10</xdr:col>
      <xdr:colOff>228600</xdr:colOff>
      <xdr:row>0</xdr:row>
      <xdr:rowOff>565785</xdr:rowOff>
    </xdr:to>
    <xdr:sp macro="[0]!OpenWebPage">
      <xdr:nvSpPr>
        <xdr:cNvPr id="10" name="圆角矩形 13"/>
        <xdr:cNvSpPr/>
      </xdr:nvSpPr>
      <xdr:spPr>
        <a:xfrm>
          <a:off x="867981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使用说明</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1" sqref="F11"/>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sD3k+oXdFS1uYuBARZE1McPXGRHRWhGrdTnfIoD8a3ANN0LaKn4iN8RcLOAxJmMuFJp5M+OIsdkSqOowYok/hg==" saltValue="T1qhJTd0izhYipoHRp3N6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AP16" sqref="AP16"/>
    </sheetView>
  </sheetViews>
  <sheetFormatPr defaultColWidth="9" defaultRowHeight="14.25" outlineLevelRow="2" outlineLevelCol="7"/>
  <cols>
    <col min="1" max="1" width="9.375"/>
    <col min="3" max="3" width="11.875" customWidth="1"/>
  </cols>
  <sheetData>
    <row r="1" spans="1:8">
      <c r="A1" s="74">
        <v>46126</v>
      </c>
      <c r="C1" s="74">
        <v>46126</v>
      </c>
      <c r="D1">
        <v>1048576</v>
      </c>
      <c r="E1"/>
      <c r="F1" t="s">
        <v>23</v>
      </c>
      <c r="G1">
        <v>48</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8" sqref="E8"/>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34</v>
      </c>
      <c r="D4" s="60"/>
      <c r="E4" s="60"/>
      <c r="F4" s="60"/>
      <c r="G4" s="60"/>
      <c r="H4" s="60"/>
      <c r="I4" s="9"/>
    </row>
    <row r="5" s="2" customFormat="1" ht="30" customHeight="1" spans="1:9">
      <c r="B5" s="9"/>
      <c r="C5" s="61" t="s">
        <v>35</v>
      </c>
      <c r="D5" s="62" t="s">
        <v>36</v>
      </c>
      <c r="E5" s="61" t="s">
        <v>37</v>
      </c>
      <c r="F5" s="62" t="s">
        <v>38</v>
      </c>
      <c r="G5" s="61" t="s">
        <v>39</v>
      </c>
      <c r="H5" s="73">
        <v>45205</v>
      </c>
      <c r="I5" s="9"/>
    </row>
    <row r="6" s="2" customFormat="1" ht="30" customHeight="1" spans="1:9">
      <c r="B6" s="9"/>
      <c r="C6" s="65" t="s">
        <v>27</v>
      </c>
      <c r="D6" s="65" t="s">
        <v>28</v>
      </c>
      <c r="E6" s="65" t="s">
        <v>29</v>
      </c>
      <c r="F6" s="65" t="s">
        <v>31</v>
      </c>
      <c r="G6" s="65" t="s">
        <v>40</v>
      </c>
      <c r="H6" s="65" t="s">
        <v>32</v>
      </c>
      <c r="I6" s="9"/>
    </row>
    <row r="7" customHeight="1" spans="1:9">
      <c r="C7" s="66" t="s">
        <v>41</v>
      </c>
      <c r="D7" s="66" t="s">
        <v>42</v>
      </c>
      <c r="E7" s="66" t="s">
        <v>43</v>
      </c>
      <c r="F7" s="66">
        <v>10</v>
      </c>
      <c r="G7" s="66">
        <v>10</v>
      </c>
      <c r="H7" s="66">
        <v>100</v>
      </c>
    </row>
    <row r="8" customHeight="1" spans="1:9">
      <c r="C8" s="66" t="s">
        <v>44</v>
      </c>
      <c r="D8" s="66" t="s">
        <v>45</v>
      </c>
      <c r="E8" s="66" t="s">
        <v>43</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46</v>
      </c>
      <c r="D19" s="68">
        <f>G19</f>
        <v>140</v>
      </c>
      <c r="E19" s="68"/>
      <c r="F19" s="67" t="s">
        <v>47</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48</v>
      </c>
      <c r="H2" s="35"/>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40</v>
      </c>
      <c r="J4" s="44"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F9" sqref="F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49</v>
      </c>
      <c r="D4" s="60"/>
      <c r="E4" s="60"/>
      <c r="F4" s="60"/>
      <c r="G4" s="60"/>
      <c r="H4" s="60"/>
      <c r="I4" s="9"/>
    </row>
    <row r="5" s="2" customFormat="1" ht="30" customHeight="1" spans="1:9">
      <c r="B5" s="9"/>
      <c r="C5" s="61" t="s">
        <v>35</v>
      </c>
      <c r="D5" s="62">
        <v>123</v>
      </c>
      <c r="E5" s="61" t="s">
        <v>50</v>
      </c>
      <c r="F5" s="62" t="s">
        <v>51</v>
      </c>
      <c r="G5" s="61" t="s">
        <v>52</v>
      </c>
      <c r="H5" s="73">
        <v>45790</v>
      </c>
      <c r="I5" s="9"/>
    </row>
    <row r="6" s="2" customFormat="1" ht="30" customHeight="1" spans="1:9">
      <c r="B6" s="9"/>
      <c r="C6" s="65" t="s">
        <v>27</v>
      </c>
      <c r="D6" s="65" t="s">
        <v>28</v>
      </c>
      <c r="E6" s="65" t="s">
        <v>29</v>
      </c>
      <c r="F6" s="65" t="s">
        <v>31</v>
      </c>
      <c r="G6" s="65" t="s">
        <v>40</v>
      </c>
      <c r="H6" s="65" t="s">
        <v>32</v>
      </c>
      <c r="I6" s="9"/>
    </row>
    <row r="7" s="3" customFormat="1" customHeight="1" spans="1:9">
      <c r="B7" s="4"/>
      <c r="C7" s="66" t="s">
        <v>41</v>
      </c>
      <c r="D7" s="66" t="s">
        <v>42</v>
      </c>
      <c r="E7" s="66" t="s">
        <v>43</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46</v>
      </c>
      <c r="D19" s="68">
        <f>G19</f>
        <v>1</v>
      </c>
      <c r="E19" s="68"/>
      <c r="F19" s="67" t="s">
        <v>47</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5"/>
  <sheetViews>
    <sheetView showGridLines="0" workbookViewId="0">
      <pane ySplit="4" topLeftCell="A5" activePane="bottomLeft" state="frozen"/>
      <selection/>
      <selection pane="bottomLeft" activeCell="F8" sqref="F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53</v>
      </c>
      <c r="H2" s="49"/>
      <c r="I2" s="35"/>
    </row>
    <row r="3" s="2" customFormat="1" customHeight="1" spans="1:10">
      <c r="B3" s="9"/>
      <c r="C3" s="50"/>
      <c r="D3" s="50"/>
      <c r="E3" s="50"/>
      <c r="F3" s="50"/>
      <c r="G3" s="50"/>
      <c r="H3" s="50"/>
      <c r="I3" s="50"/>
      <c r="J3" s="9"/>
    </row>
    <row r="4" s="2" customFormat="1" ht="30" customHeight="1" spans="1:10">
      <c r="B4" s="9"/>
      <c r="C4" s="44" t="s">
        <v>26</v>
      </c>
      <c r="D4" s="44" t="s">
        <v>27</v>
      </c>
      <c r="E4" s="44" t="s">
        <v>28</v>
      </c>
      <c r="F4" s="44" t="s">
        <v>29</v>
      </c>
      <c r="G4" s="44" t="s">
        <v>30</v>
      </c>
      <c r="H4" s="44" t="s">
        <v>33</v>
      </c>
      <c r="I4" s="44" t="s">
        <v>57</v>
      </c>
      <c r="J4" s="9"/>
    </row>
    <row r="5" customHeight="1" spans="1:10">
      <c r="C5" s="47">
        <v>1</v>
      </c>
      <c r="D5" s="47" t="s">
        <v>54</v>
      </c>
      <c r="E5" s="47">
        <v>1001</v>
      </c>
      <c r="F5" s="47" t="s">
        <v>55</v>
      </c>
      <c r="G5" s="47" t="s">
        <v>56</v>
      </c>
      <c r="H5" s="47">
        <v>10</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58</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20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仓库资料!$D$5:$D$1000</formula1>
    </dataValidation>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5"/>
  <sheetViews>
    <sheetView showGridLines="0" workbookViewId="0">
      <pane ySplit="4" topLeftCell="A5" activePane="bottomLeft" state="frozen"/>
      <selection/>
      <selection pane="bottomLeft" activeCell="I5" sqref="I5"/>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H5" s="47">
        <v>12</v>
      </c>
      <c r="I5" s="47">
        <v>12</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59</v>
      </c>
      <c r="C4" s="9" t="s">
        <v>60</v>
      </c>
      <c r="D4" s="44" t="s">
        <v>26</v>
      </c>
      <c r="E4" s="44" t="s">
        <v>61</v>
      </c>
      <c r="F4" s="44" t="s">
        <v>28</v>
      </c>
      <c r="G4" s="44" t="s">
        <v>27</v>
      </c>
      <c r="H4" s="44" t="s">
        <v>29</v>
      </c>
      <c r="I4" s="44" t="s">
        <v>62</v>
      </c>
      <c r="J4" s="44" t="s">
        <v>31</v>
      </c>
      <c r="K4" s="44" t="s">
        <v>63</v>
      </c>
      <c r="L4" s="45" t="s">
        <v>64</v>
      </c>
      <c r="M4" s="44" t="s">
        <v>65</v>
      </c>
      <c r="N4" s="44" t="s">
        <v>66</v>
      </c>
      <c r="O4" s="9"/>
    </row>
    <row r="5" s="3" customFormat="1" customHeight="1" spans="1:15">
      <c r="B5" s="69"/>
      <c r="C5" s="4"/>
      <c r="D5" s="13"/>
      <c r="E5" s="13"/>
      <c r="F5" s="13"/>
      <c r="G5" s="13"/>
      <c r="H5" s="13"/>
      <c r="I5" s="13"/>
      <c r="J5" s="13"/>
      <c r="K5" s="13"/>
      <c r="L5" s="40"/>
      <c r="M5" s="13"/>
      <c r="N5" s="13"/>
      <c r="O5" s="4"/>
    </row>
    <row r="6" s="3" customFormat="1" customHeight="1" spans="1:15">
      <c r="B6" s="69"/>
      <c r="C6" s="4"/>
      <c r="D6" s="13"/>
      <c r="E6" s="13"/>
      <c r="F6" s="13"/>
      <c r="G6" s="13"/>
      <c r="H6" s="13"/>
      <c r="I6" s="13"/>
      <c r="J6" s="13"/>
      <c r="K6" s="13"/>
      <c r="L6" s="40"/>
      <c r="M6" s="13"/>
      <c r="N6" s="13"/>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C4" sqref="C4:H4"/>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67</v>
      </c>
      <c r="D4" s="60"/>
      <c r="E4" s="60"/>
      <c r="F4" s="60"/>
      <c r="G4" s="60"/>
      <c r="H4" s="60"/>
      <c r="I4" s="9"/>
    </row>
    <row r="5" s="2" customFormat="1" ht="30" customHeight="1" spans="1:9">
      <c r="B5" s="9"/>
      <c r="C5" s="61" t="s">
        <v>68</v>
      </c>
      <c r="D5" s="62">
        <v>12</v>
      </c>
      <c r="E5" s="61"/>
      <c r="F5" s="62"/>
      <c r="G5" s="61" t="s">
        <v>69</v>
      </c>
      <c r="H5" s="63">
        <v>46120</v>
      </c>
      <c r="I5" s="9"/>
    </row>
    <row r="6" s="2" customFormat="1" ht="30" customHeight="1" spans="1:9">
      <c r="B6" s="9"/>
      <c r="C6" s="61" t="s">
        <v>70</v>
      </c>
      <c r="D6" s="62" t="s">
        <v>71</v>
      </c>
      <c r="E6" s="64"/>
      <c r="F6" s="64"/>
      <c r="G6" s="61" t="s">
        <v>72</v>
      </c>
      <c r="H6" s="62" t="s">
        <v>53</v>
      </c>
      <c r="I6" s="9"/>
    </row>
    <row r="7" s="2" customFormat="1" ht="30" customHeight="1" spans="1:9">
      <c r="B7" s="9"/>
      <c r="C7" s="65" t="s">
        <v>27</v>
      </c>
      <c r="D7" s="65" t="s">
        <v>28</v>
      </c>
      <c r="E7" s="65" t="s">
        <v>29</v>
      </c>
      <c r="F7" s="65" t="s">
        <v>31</v>
      </c>
      <c r="G7" s="65" t="s">
        <v>40</v>
      </c>
      <c r="H7" s="65" t="s">
        <v>32</v>
      </c>
      <c r="I7" s="9"/>
    </row>
    <row r="8" customHeight="1" spans="1:9">
      <c r="C8" s="66" t="s">
        <v>54</v>
      </c>
      <c r="D8" s="66">
        <v>1001</v>
      </c>
      <c r="E8" s="66" t="s">
        <v>55</v>
      </c>
      <c r="F8" s="66">
        <v>12</v>
      </c>
      <c r="G8" s="66">
        <v>12</v>
      </c>
      <c r="H8" s="66">
        <v>144</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46</v>
      </c>
      <c r="D20" s="68">
        <f>G20</f>
        <v>144</v>
      </c>
      <c r="E20" s="68"/>
      <c r="F20" s="67" t="s">
        <v>47</v>
      </c>
      <c r="G20" s="67">
        <f>SUM(H8:H19)</f>
        <v>144</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0" sqref="H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73</v>
      </c>
    </row>
    <row r="3" s="2" customFormat="1" customHeight="1" spans="1:11">
      <c r="B3" s="9"/>
      <c r="C3" s="9"/>
      <c r="D3" s="9"/>
      <c r="E3" s="9"/>
      <c r="F3" s="9"/>
      <c r="G3" s="9"/>
      <c r="H3" s="9"/>
      <c r="I3" s="9"/>
      <c r="J3" s="9"/>
      <c r="K3" s="9"/>
    </row>
    <row r="4" s="2" customFormat="1" ht="30" customHeight="1" spans="1:11">
      <c r="B4" s="9"/>
      <c r="C4" s="9" t="s">
        <v>60</v>
      </c>
      <c r="D4" s="44" t="s">
        <v>26</v>
      </c>
      <c r="E4" s="44" t="s">
        <v>27</v>
      </c>
      <c r="F4" s="44" t="s">
        <v>28</v>
      </c>
      <c r="G4" s="44" t="s">
        <v>29</v>
      </c>
      <c r="H4" s="44" t="s">
        <v>74</v>
      </c>
      <c r="I4" s="44" t="s">
        <v>75</v>
      </c>
      <c r="J4" s="44"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5"/>
  <sheetViews>
    <sheetView showGridLines="0" workbookViewId="0">
      <pane ySplit="4" topLeftCell="A5"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76</v>
      </c>
      <c r="I2" s="46"/>
      <c r="J2" s="46" t="s">
        <v>77</v>
      </c>
    </row>
    <row r="3" s="2" customFormat="1" customHeight="1" spans="1:11">
      <c r="B3" s="9"/>
      <c r="C3" s="9"/>
      <c r="D3" s="9"/>
      <c r="E3" s="9"/>
      <c r="F3" s="9"/>
      <c r="G3" s="9"/>
      <c r="H3" s="9"/>
      <c r="I3" s="9"/>
      <c r="J3" s="9"/>
      <c r="K3" s="9"/>
    </row>
    <row r="4" s="2" customFormat="1" ht="30" customHeight="1" spans="1:11">
      <c r="B4" s="9"/>
      <c r="C4" s="44" t="s">
        <v>26</v>
      </c>
      <c r="D4" s="44" t="s">
        <v>27</v>
      </c>
      <c r="E4" s="44" t="s">
        <v>28</v>
      </c>
      <c r="F4" s="44" t="s">
        <v>29</v>
      </c>
      <c r="G4" s="44" t="s">
        <v>78</v>
      </c>
      <c r="H4" s="44" t="s">
        <v>79</v>
      </c>
      <c r="I4" s="44" t="s">
        <v>80</v>
      </c>
      <c r="J4" s="44" t="s">
        <v>81</v>
      </c>
      <c r="K4" s="9"/>
    </row>
    <row r="5" customHeight="1" spans="1:11">
      <c r="C5" s="13">
        <v>1</v>
      </c>
      <c r="D5" s="13" t="s">
        <v>54</v>
      </c>
      <c r="E5" s="13">
        <v>1001</v>
      </c>
      <c r="F5" s="13" t="s">
        <v>55</v>
      </c>
      <c r="G5" s="13">
        <v>139</v>
      </c>
      <c r="H5" s="13">
        <v>399</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82</v>
      </c>
      <c r="K3" s="51" t="s">
        <v>83</v>
      </c>
      <c r="L3" s="51" t="s">
        <v>84</v>
      </c>
      <c r="M3" s="51" t="s">
        <v>85</v>
      </c>
      <c r="N3" s="52" t="s">
        <v>58</v>
      </c>
      <c r="O3" s="52"/>
      <c r="P3" s="52"/>
      <c r="Q3" s="52"/>
      <c r="R3" s="52"/>
      <c r="S3" s="52"/>
      <c r="T3" s="52"/>
      <c r="U3" s="52"/>
    </row>
    <row r="4" s="2" customFormat="1" ht="30" customHeight="1" spans="1:21">
      <c r="A4" s="9"/>
      <c r="B4" s="44" t="s">
        <v>26</v>
      </c>
      <c r="C4" s="44" t="s">
        <v>86</v>
      </c>
      <c r="D4" s="44" t="s">
        <v>87</v>
      </c>
      <c r="E4" s="44" t="s">
        <v>88</v>
      </c>
      <c r="F4" s="44" t="s">
        <v>31</v>
      </c>
      <c r="G4" s="44" t="s">
        <v>89</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I8" sqref="I8"/>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82</v>
      </c>
      <c r="K3" s="51" t="s">
        <v>83</v>
      </c>
      <c r="L3" s="51" t="s">
        <v>84</v>
      </c>
      <c r="M3" s="51" t="s">
        <v>85</v>
      </c>
      <c r="N3" s="52" t="s">
        <v>58</v>
      </c>
      <c r="O3" s="52"/>
      <c r="P3" s="52"/>
      <c r="Q3" s="52"/>
      <c r="R3" s="52"/>
      <c r="S3" s="52"/>
      <c r="T3" s="52"/>
      <c r="U3" s="52"/>
    </row>
    <row r="4" s="2" customFormat="1" ht="30" customHeight="1" spans="1:21">
      <c r="A4" s="9"/>
      <c r="B4" s="44" t="s">
        <v>26</v>
      </c>
      <c r="C4" s="44" t="s">
        <v>86</v>
      </c>
      <c r="D4" s="44" t="s">
        <v>87</v>
      </c>
      <c r="E4" s="44" t="s">
        <v>88</v>
      </c>
      <c r="F4" s="44" t="s">
        <v>31</v>
      </c>
      <c r="G4" s="44" t="s">
        <v>89</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82</v>
      </c>
      <c r="K3" s="51" t="s">
        <v>83</v>
      </c>
      <c r="L3" s="51" t="s">
        <v>84</v>
      </c>
      <c r="M3" s="51" t="s">
        <v>85</v>
      </c>
      <c r="N3" s="52" t="s">
        <v>58</v>
      </c>
      <c r="O3" s="52" t="s">
        <v>53</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26</v>
      </c>
      <c r="C4" s="44" t="s">
        <v>86</v>
      </c>
      <c r="D4" s="44" t="s">
        <v>87</v>
      </c>
      <c r="E4" s="44" t="s">
        <v>88</v>
      </c>
      <c r="F4" s="44" t="s">
        <v>31</v>
      </c>
      <c r="G4" s="44" t="s">
        <v>89</v>
      </c>
      <c r="H4" s="9"/>
      <c r="J4" s="54">
        <v>8</v>
      </c>
      <c r="K4" s="54">
        <v>641</v>
      </c>
      <c r="L4" s="55">
        <v>8</v>
      </c>
      <c r="M4" s="54">
        <v>1</v>
      </c>
      <c r="N4" s="52">
        <v>50</v>
      </c>
      <c r="O4" s="52">
        <v>30</v>
      </c>
      <c r="P4" s="52"/>
      <c r="Q4" s="52"/>
      <c r="R4" s="52"/>
      <c r="S4" s="52"/>
      <c r="T4" s="52"/>
      <c r="U4" s="52"/>
      <c r="V4" s="53"/>
      <c r="W4" s="53"/>
      <c r="X4" s="53"/>
      <c r="Y4" s="53"/>
      <c r="Z4" s="53"/>
      <c r="AA4" s="53"/>
      <c r="AB4" s="53"/>
      <c r="AC4" s="53"/>
      <c r="AD4" s="53"/>
      <c r="AE4" s="53"/>
      <c r="AF4" s="53"/>
      <c r="AG4" s="53"/>
      <c r="AH4" s="53"/>
    </row>
    <row r="5" customHeight="1" spans="1:34">
      <c r="B5" s="47">
        <v>1</v>
      </c>
      <c r="C5" s="47" t="s">
        <v>55</v>
      </c>
      <c r="D5" s="47" t="s">
        <v>54</v>
      </c>
      <c r="E5" s="47">
        <v>2</v>
      </c>
      <c r="F5" s="47">
        <v>100</v>
      </c>
    </row>
    <row r="6" customHeight="1" spans="1:34">
      <c r="B6" s="47">
        <v>2</v>
      </c>
      <c r="C6" s="47" t="s">
        <v>55</v>
      </c>
      <c r="D6" s="47" t="s">
        <v>54</v>
      </c>
      <c r="E6" s="47">
        <v>1</v>
      </c>
      <c r="F6" s="47">
        <v>1</v>
      </c>
    </row>
    <row r="7" customHeight="1" spans="1:34">
      <c r="B7" s="47">
        <v>3</v>
      </c>
      <c r="C7" s="47" t="s">
        <v>55</v>
      </c>
      <c r="D7" s="47" t="s">
        <v>54</v>
      </c>
      <c r="E7" s="47">
        <v>10</v>
      </c>
      <c r="F7" s="47">
        <v>10</v>
      </c>
      <c r="G7" s="47" t="s">
        <v>58</v>
      </c>
    </row>
    <row r="8" customHeight="1" spans="1:34">
      <c r="B8" s="47">
        <v>4</v>
      </c>
      <c r="C8" s="47" t="s">
        <v>55</v>
      </c>
      <c r="D8" s="47" t="s">
        <v>54</v>
      </c>
      <c r="E8" s="47">
        <v>10</v>
      </c>
      <c r="F8" s="47">
        <v>10</v>
      </c>
      <c r="G8" s="47" t="s">
        <v>53</v>
      </c>
    </row>
    <row r="9" customHeight="1" spans="1:34">
      <c r="B9" s="47">
        <v>5</v>
      </c>
      <c r="C9" s="47" t="s">
        <v>55</v>
      </c>
      <c r="D9" s="47" t="s">
        <v>54</v>
      </c>
      <c r="F9" s="47">
        <v>20</v>
      </c>
      <c r="G9" s="47" t="s">
        <v>53</v>
      </c>
    </row>
    <row r="10" customHeight="1" spans="1:34">
      <c r="B10" s="47">
        <v>6</v>
      </c>
      <c r="C10" s="47" t="s">
        <v>55</v>
      </c>
      <c r="D10" s="47" t="s">
        <v>54</v>
      </c>
      <c r="E10" s="47">
        <v>2</v>
      </c>
      <c r="F10" s="47">
        <v>10</v>
      </c>
      <c r="G10" s="47" t="s">
        <v>58</v>
      </c>
    </row>
    <row r="11" customHeight="1" spans="1:34">
      <c r="B11" s="47">
        <v>7</v>
      </c>
      <c r="C11" s="47" t="s">
        <v>55</v>
      </c>
      <c r="D11" s="47" t="s">
        <v>54</v>
      </c>
      <c r="E11" s="47">
        <v>2</v>
      </c>
      <c r="F11" s="47">
        <v>10</v>
      </c>
      <c r="G11" s="47" t="s">
        <v>58</v>
      </c>
    </row>
    <row r="12" customHeight="1" spans="1:34">
      <c r="B12" s="47">
        <v>8</v>
      </c>
      <c r="C12" s="47" t="s">
        <v>55</v>
      </c>
      <c r="D12" s="47" t="s">
        <v>54</v>
      </c>
      <c r="E12" s="47">
        <v>10</v>
      </c>
      <c r="F12" s="47">
        <v>20</v>
      </c>
      <c r="G12"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5"/>
  <sheetViews>
    <sheetView showGridLines="0" workbookViewId="0">
      <pane ySplit="4" topLeftCell="A5" activePane="bottomLeft" state="frozen"/>
      <selection/>
      <selection pane="bottomLeft" activeCell="H11" sqref="H11"/>
    </sheetView>
  </sheetViews>
  <sheetFormatPr defaultColWidth="9" defaultRowHeight="20.1" customHeight="1" outlineLevelRow="4"/>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26</v>
      </c>
      <c r="D4" s="44" t="s">
        <v>27</v>
      </c>
      <c r="E4" s="44" t="s">
        <v>28</v>
      </c>
      <c r="F4" s="44" t="s">
        <v>29</v>
      </c>
      <c r="G4" s="44" t="s">
        <v>33</v>
      </c>
      <c r="H4" s="44" t="s">
        <v>90</v>
      </c>
      <c r="I4" s="9"/>
    </row>
    <row r="5" customHeight="1" spans="1:9">
      <c r="C5" s="13">
        <v>1</v>
      </c>
      <c r="D5" s="13" t="s">
        <v>54</v>
      </c>
      <c r="E5" s="13">
        <v>1001</v>
      </c>
      <c r="F5" s="13" t="s">
        <v>55</v>
      </c>
      <c r="G5" s="13">
        <v>139</v>
      </c>
      <c r="H5" s="13">
        <v>399</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8" activePane="bottomLeft" state="frozen"/>
      <selection/>
      <selection pane="bottomLeft" activeCell="H14" sqref="H14"/>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60</v>
      </c>
      <c r="D4" s="44" t="s">
        <v>26</v>
      </c>
      <c r="E4" s="44" t="s">
        <v>61</v>
      </c>
      <c r="F4" s="44" t="s">
        <v>28</v>
      </c>
      <c r="G4" s="44" t="s">
        <v>27</v>
      </c>
      <c r="H4" s="44" t="s">
        <v>29</v>
      </c>
      <c r="I4" s="44" t="s">
        <v>62</v>
      </c>
      <c r="J4" s="44" t="s">
        <v>31</v>
      </c>
      <c r="K4" s="44" t="s">
        <v>91</v>
      </c>
      <c r="L4" s="45" t="s">
        <v>64</v>
      </c>
      <c r="M4" s="44" t="s">
        <v>65</v>
      </c>
      <c r="N4" s="44" t="s">
        <v>92</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9" sqref="G9"/>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48</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60</v>
      </c>
      <c r="D4" s="16" t="s">
        <v>26</v>
      </c>
      <c r="E4" s="38" t="s">
        <v>28</v>
      </c>
      <c r="F4" s="38" t="s">
        <v>27</v>
      </c>
      <c r="G4" s="38" t="s">
        <v>29</v>
      </c>
      <c r="H4" s="16" t="s">
        <v>93</v>
      </c>
      <c r="I4" s="16"/>
      <c r="J4" s="16" t="s">
        <v>94</v>
      </c>
      <c r="K4" s="16"/>
      <c r="L4" s="16" t="s">
        <v>95</v>
      </c>
      <c r="M4" s="16"/>
      <c r="N4" s="16" t="s">
        <v>96</v>
      </c>
      <c r="O4" s="16"/>
      <c r="P4" s="16" t="s">
        <v>97</v>
      </c>
      <c r="Q4" s="36"/>
    </row>
    <row r="5" s="27" customFormat="1" ht="24.95" customHeight="1" spans="1:17">
      <c r="B5" s="36"/>
      <c r="C5" s="36"/>
      <c r="D5" s="24"/>
      <c r="E5" s="39"/>
      <c r="F5" s="39"/>
      <c r="G5" s="39"/>
      <c r="H5" s="24" t="s">
        <v>31</v>
      </c>
      <c r="I5" s="24" t="s">
        <v>32</v>
      </c>
      <c r="J5" s="24" t="s">
        <v>31</v>
      </c>
      <c r="K5" s="24" t="s">
        <v>32</v>
      </c>
      <c r="L5" s="24" t="s">
        <v>31</v>
      </c>
      <c r="M5" s="24" t="s">
        <v>32</v>
      </c>
      <c r="N5" s="24" t="s">
        <v>31</v>
      </c>
      <c r="O5" s="24" t="s">
        <v>32</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10" sqref="G10"/>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60</v>
      </c>
      <c r="D4" s="16" t="s">
        <v>98</v>
      </c>
      <c r="E4" s="16" t="s">
        <v>28</v>
      </c>
      <c r="F4" s="16" t="s">
        <v>29</v>
      </c>
      <c r="G4" s="16" t="s">
        <v>27</v>
      </c>
      <c r="H4" s="24" t="s">
        <v>99</v>
      </c>
      <c r="I4" s="24" t="s">
        <v>100</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I10" sqref="I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60</v>
      </c>
      <c r="D4" s="16" t="s">
        <v>28</v>
      </c>
      <c r="E4" s="16" t="s">
        <v>27</v>
      </c>
      <c r="F4" s="16" t="s">
        <v>86</v>
      </c>
      <c r="G4" s="22" t="s">
        <v>94</v>
      </c>
      <c r="H4" s="23"/>
      <c r="I4" s="22" t="s">
        <v>95</v>
      </c>
      <c r="J4" s="23"/>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1">
        <v>1001</v>
      </c>
      <c r="E6" s="13" t="s">
        <v>54</v>
      </c>
      <c r="F6" s="13" t="s">
        <v>55</v>
      </c>
      <c r="G6" s="13">
        <v>130</v>
      </c>
      <c r="H6" s="13">
        <v>420</v>
      </c>
      <c r="I6" s="13">
        <v>11</v>
      </c>
      <c r="J6" s="13">
        <v>21</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8"/>
  <sheetViews>
    <sheetView showGridLines="0" workbookViewId="0">
      <pane ySplit="4" topLeftCell="A5" activePane="bottomLeft" state="frozen"/>
      <selection/>
      <selection pane="bottomLeft" activeCell="H9" sqref="H9"/>
    </sheetView>
  </sheetViews>
  <sheetFormatPr defaultColWidth="9" defaultRowHeight="20.1" customHeight="1" outlineLevelRow="7"/>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60</v>
      </c>
      <c r="D4" s="19" t="s">
        <v>26</v>
      </c>
      <c r="E4" s="16" t="s">
        <v>27</v>
      </c>
      <c r="F4" s="16" t="s">
        <v>28</v>
      </c>
      <c r="G4" s="16" t="s">
        <v>29</v>
      </c>
      <c r="H4" s="16" t="s">
        <v>30</v>
      </c>
      <c r="I4" s="16" t="s">
        <v>101</v>
      </c>
      <c r="J4" s="16" t="s">
        <v>98</v>
      </c>
      <c r="K4" s="16" t="s">
        <v>102</v>
      </c>
      <c r="L4" s="16" t="s">
        <v>97</v>
      </c>
      <c r="M4" s="9"/>
    </row>
    <row r="5" customHeight="1" spans="1:13">
      <c r="D5" s="20"/>
      <c r="E5" s="13"/>
      <c r="F5" s="13"/>
      <c r="G5" s="13"/>
      <c r="H5" s="13"/>
      <c r="I5"/>
    </row>
    <row r="6" customHeight="1" spans="1:13">
      <c r="D6" s="20"/>
    </row>
    <row r="8" customHeight="1" spans="1:13">
      <c r="I8"/>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H9" sqref="H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60</v>
      </c>
      <c r="D4" s="16" t="s">
        <v>26</v>
      </c>
      <c r="E4" s="16" t="s">
        <v>103</v>
      </c>
      <c r="F4" s="16" t="s">
        <v>104</v>
      </c>
      <c r="G4" s="16" t="s">
        <v>105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7" sqref="K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60</v>
      </c>
      <c r="D4" s="16" t="s">
        <v>26</v>
      </c>
      <c r="E4" s="16" t="s">
        <v>106</v>
      </c>
      <c r="F4" s="16" t="s">
        <v>104</v>
      </c>
      <c r="G4" s="16" t="s">
        <v>105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M13" sqref="M13"/>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60</v>
      </c>
      <c r="D4" s="16" t="s">
        <v>89</v>
      </c>
      <c r="E4" s="9"/>
    </row>
    <row r="5" s="3" customFormat="1" customHeight="1" spans="1:5">
      <c r="B5" s="4"/>
      <c r="C5" s="4">
        <v>17</v>
      </c>
      <c r="D5" s="13" t="s">
        <v>58</v>
      </c>
      <c r="E5" s="4"/>
    </row>
    <row r="6" s="3" customFormat="1" customHeight="1" spans="1:5">
      <c r="B6" s="4"/>
      <c r="C6" s="4">
        <v>16</v>
      </c>
      <c r="D6" s="13" t="s">
        <v>53</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60</v>
      </c>
      <c r="D4" s="16" t="s">
        <v>26</v>
      </c>
      <c r="E4" s="16" t="s">
        <v>28</v>
      </c>
      <c r="F4" s="16" t="s">
        <v>27</v>
      </c>
      <c r="G4" s="16" t="s">
        <v>29</v>
      </c>
      <c r="H4" s="16" t="s">
        <v>30</v>
      </c>
      <c r="I4" s="16" t="s">
        <v>107</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5" sqref="D5"/>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60</v>
      </c>
      <c r="D4" s="16" t="s">
        <v>108</v>
      </c>
      <c r="E4" s="16" t="s">
        <v>109</v>
      </c>
      <c r="F4" s="16" t="s">
        <v>110</v>
      </c>
      <c r="G4" s="16" t="s">
        <v>111</v>
      </c>
      <c r="H4" s="16" t="s">
        <v>112</v>
      </c>
      <c r="I4" s="16" t="s">
        <v>113</v>
      </c>
      <c r="J4" s="16" t="s">
        <v>114</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115</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2026-04-08T11:32:24Z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